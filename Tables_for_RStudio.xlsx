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mmi\Documents\ETHZ\Autumn 2025\Research project\"/>
    </mc:Choice>
  </mc:AlternateContent>
  <xr:revisionPtr revIDLastSave="0" documentId="13_ncr:1_{3D2D01CA-F23D-4590-AAE3-B3DBC55FD6D8}" xr6:coauthVersionLast="47" xr6:coauthVersionMax="47" xr10:uidLastSave="{00000000-0000-0000-0000-000000000000}"/>
  <bookViews>
    <workbookView xWindow="-110" yWindow="-110" windowWidth="22620" windowHeight="13500" activeTab="2" xr2:uid="{B1014EB8-2F67-45AC-8423-D5557D50E987}"/>
  </bookViews>
  <sheets>
    <sheet name="OD+pH" sheetId="1" r:id="rId1"/>
    <sheet name="OD+DNA.conc." sheetId="7" r:id="rId2"/>
    <sheet name="qPCR_All" sheetId="4" r:id="rId3"/>
    <sheet name="OD_Entero" sheetId="8" r:id="rId4"/>
    <sheet name="Heatmap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A61" i="7" l="1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<sst xmlns="http://schemas.openxmlformats.org/spreadsheetml/2006/main" count="1574" uniqueCount="298">
  <si>
    <t>Corrected OD</t>
  </si>
  <si>
    <t>Donor</t>
  </si>
  <si>
    <t>Mucin</t>
  </si>
  <si>
    <t>GOS</t>
  </si>
  <si>
    <t>6c</t>
  </si>
  <si>
    <t>HMOs</t>
  </si>
  <si>
    <t>Fuc Lac</t>
  </si>
  <si>
    <t>initial pH</t>
  </si>
  <si>
    <t>48h pH</t>
  </si>
  <si>
    <t>pH diff</t>
  </si>
  <si>
    <t>D6</t>
  </si>
  <si>
    <t>H2O</t>
  </si>
  <si>
    <t>HMOs+GOS</t>
  </si>
  <si>
    <t>HMOs+GOS+muc</t>
  </si>
  <si>
    <t>HMOs+fuc+lac+muc</t>
  </si>
  <si>
    <t>HMOs+fuc+lac+muc+GOS</t>
  </si>
  <si>
    <t>HMOs+fuc+lac+muc+GOS+6c</t>
  </si>
  <si>
    <t>muc+6c</t>
  </si>
  <si>
    <t>HMOs+muc+6c</t>
  </si>
  <si>
    <t>D7</t>
  </si>
  <si>
    <t>D8</t>
  </si>
  <si>
    <t>Position (qPCR plate)</t>
  </si>
  <si>
    <t>Sample name</t>
  </si>
  <si>
    <t>pH</t>
  </si>
  <si>
    <t>P1-A1</t>
  </si>
  <si>
    <t>S1</t>
  </si>
  <si>
    <t>P1-A2</t>
  </si>
  <si>
    <t>P1-A3</t>
  </si>
  <si>
    <t>P1-A4</t>
  </si>
  <si>
    <t>S2</t>
  </si>
  <si>
    <t>P1-A5</t>
  </si>
  <si>
    <t>P1-A6</t>
  </si>
  <si>
    <t>P1-A7</t>
  </si>
  <si>
    <t>S3</t>
  </si>
  <si>
    <t>P1-A8</t>
  </si>
  <si>
    <t>P1-A9</t>
  </si>
  <si>
    <t>P1-A10</t>
  </si>
  <si>
    <t>S4</t>
  </si>
  <si>
    <t>P1-A11</t>
  </si>
  <si>
    <t>P1-A12</t>
  </si>
  <si>
    <t>P1-B1</t>
  </si>
  <si>
    <t>S11</t>
  </si>
  <si>
    <t>P1-B2</t>
  </si>
  <si>
    <t>P1-B3</t>
  </si>
  <si>
    <t>P1-B4</t>
  </si>
  <si>
    <t>S12</t>
  </si>
  <si>
    <t>P1-B5</t>
  </si>
  <si>
    <t>P1-B6</t>
  </si>
  <si>
    <t>P1-B7</t>
  </si>
  <si>
    <t>S13</t>
  </si>
  <si>
    <t>P1-B8</t>
  </si>
  <si>
    <t>P1-B9</t>
  </si>
  <si>
    <t>P1-B10</t>
  </si>
  <si>
    <t>S14</t>
  </si>
  <si>
    <t>P1-B11</t>
  </si>
  <si>
    <t>P1-B12</t>
  </si>
  <si>
    <t>P1-C1</t>
  </si>
  <si>
    <t>S21</t>
  </si>
  <si>
    <t>P1-C2</t>
  </si>
  <si>
    <t>P1-C3</t>
  </si>
  <si>
    <t>P1-C4</t>
  </si>
  <si>
    <t>S22</t>
  </si>
  <si>
    <t>P1-C5</t>
  </si>
  <si>
    <t>P1-C6</t>
  </si>
  <si>
    <t>P1-C7</t>
  </si>
  <si>
    <t>S23</t>
  </si>
  <si>
    <t>P1-C8</t>
  </si>
  <si>
    <t>P1-C9</t>
  </si>
  <si>
    <t>P1-C10</t>
  </si>
  <si>
    <t>S24</t>
  </si>
  <si>
    <t>P1-C11</t>
  </si>
  <si>
    <t>P1-C12</t>
  </si>
  <si>
    <t>P1-D1</t>
  </si>
  <si>
    <t>S31</t>
  </si>
  <si>
    <t>P1-D2</t>
  </si>
  <si>
    <t>P1-D3</t>
  </si>
  <si>
    <t>P1-D4</t>
  </si>
  <si>
    <t>S32</t>
  </si>
  <si>
    <t>P1-D5</t>
  </si>
  <si>
    <t>P1-D6</t>
  </si>
  <si>
    <t>P1-D7</t>
  </si>
  <si>
    <t>S33</t>
  </si>
  <si>
    <t>P1-D8</t>
  </si>
  <si>
    <t>P1-D9</t>
  </si>
  <si>
    <t>P1-D10</t>
  </si>
  <si>
    <t>S34</t>
  </si>
  <si>
    <t>P1-D11</t>
  </si>
  <si>
    <t>P1-D12</t>
  </si>
  <si>
    <t>P1-E1</t>
  </si>
  <si>
    <t>S41</t>
  </si>
  <si>
    <t>P1-E2</t>
  </si>
  <si>
    <t>P1-E3</t>
  </si>
  <si>
    <t>P1-E4</t>
  </si>
  <si>
    <t>S42</t>
  </si>
  <si>
    <t>P1-E5</t>
  </si>
  <si>
    <t>P1-E6</t>
  </si>
  <si>
    <t>P1-E7</t>
  </si>
  <si>
    <t>S43</t>
  </si>
  <si>
    <t>P1-E8</t>
  </si>
  <si>
    <t>P1-E9</t>
  </si>
  <si>
    <t>P1-E10</t>
  </si>
  <si>
    <t>S44</t>
  </si>
  <si>
    <t>P1-E11</t>
  </si>
  <si>
    <t>P1-E12</t>
  </si>
  <si>
    <t>P1-F1</t>
  </si>
  <si>
    <t>S51</t>
  </si>
  <si>
    <t>P1-F2</t>
  </si>
  <si>
    <t>P1-F3</t>
  </si>
  <si>
    <t>P1-F4</t>
  </si>
  <si>
    <t>S52</t>
  </si>
  <si>
    <t>P1-F5</t>
  </si>
  <si>
    <t>P1-F6</t>
  </si>
  <si>
    <t>P1-F7</t>
  </si>
  <si>
    <t>S53</t>
  </si>
  <si>
    <t>P1-F8</t>
  </si>
  <si>
    <t>P1-F9</t>
  </si>
  <si>
    <t>P1-F10</t>
  </si>
  <si>
    <t>S54</t>
  </si>
  <si>
    <t>P1-F11</t>
  </si>
  <si>
    <t>P1-F12</t>
  </si>
  <si>
    <t>P1-G1</t>
  </si>
  <si>
    <t>S61</t>
  </si>
  <si>
    <t>Raw feces</t>
  </si>
  <si>
    <t>P1-G2</t>
  </si>
  <si>
    <t>P1-G3</t>
  </si>
  <si>
    <t>P1-G4</t>
  </si>
  <si>
    <t>P1-G5</t>
  </si>
  <si>
    <t>P1-G6</t>
  </si>
  <si>
    <t>P1-G7</t>
  </si>
  <si>
    <t>S62</t>
  </si>
  <si>
    <t>P1-G8</t>
  </si>
  <si>
    <t>P1-G9</t>
  </si>
  <si>
    <t>P1-G10</t>
  </si>
  <si>
    <t>P1-G11</t>
  </si>
  <si>
    <t>P1-G12</t>
  </si>
  <si>
    <t>P2-A1</t>
  </si>
  <si>
    <t>S5</t>
  </si>
  <si>
    <t>P2-A2</t>
  </si>
  <si>
    <t>P2-A3</t>
  </si>
  <si>
    <t>P2-A4</t>
  </si>
  <si>
    <t>S6</t>
  </si>
  <si>
    <t>P2-A5</t>
  </si>
  <si>
    <t>P2-A6</t>
  </si>
  <si>
    <t>P2-A7</t>
  </si>
  <si>
    <t>S7</t>
  </si>
  <si>
    <t>P2-A8</t>
  </si>
  <si>
    <t>P2-A9</t>
  </si>
  <si>
    <t>P2-A10</t>
  </si>
  <si>
    <t>S8</t>
  </si>
  <si>
    <t>P2-A11</t>
  </si>
  <si>
    <t>P2-A12</t>
  </si>
  <si>
    <t>P2-B1</t>
  </si>
  <si>
    <t>S15</t>
  </si>
  <si>
    <t>P2-B2</t>
  </si>
  <si>
    <t>P2-B3</t>
  </si>
  <si>
    <t>P2-B4</t>
  </si>
  <si>
    <t>S16</t>
  </si>
  <si>
    <t>P2-B5</t>
  </si>
  <si>
    <t>P2-B6</t>
  </si>
  <si>
    <t>P2-B7</t>
  </si>
  <si>
    <t>S17</t>
  </si>
  <si>
    <t>P2-B8</t>
  </si>
  <si>
    <t>P2-B9</t>
  </si>
  <si>
    <t>P2-B10</t>
  </si>
  <si>
    <t>S18</t>
  </si>
  <si>
    <t>P2-B11</t>
  </si>
  <si>
    <t>P2-B12</t>
  </si>
  <si>
    <t>P2-C1</t>
  </si>
  <si>
    <t>S25</t>
  </si>
  <si>
    <t>P2-C2</t>
  </si>
  <si>
    <t>P2-C3</t>
  </si>
  <si>
    <t>P2-C4</t>
  </si>
  <si>
    <t>S26</t>
  </si>
  <si>
    <t>P2-C5</t>
  </si>
  <si>
    <t>P2-C6</t>
  </si>
  <si>
    <t>P2-C7</t>
  </si>
  <si>
    <t>S27</t>
  </si>
  <si>
    <t>P2-C8</t>
  </si>
  <si>
    <t>P2-C9</t>
  </si>
  <si>
    <t>P2-C10</t>
  </si>
  <si>
    <t>S28</t>
  </si>
  <si>
    <t>P2-C11</t>
  </si>
  <si>
    <t>P2-C12</t>
  </si>
  <si>
    <t>P2-D1</t>
  </si>
  <si>
    <t>S35</t>
  </si>
  <si>
    <t>P2-D2</t>
  </si>
  <si>
    <t>P2-D3</t>
  </si>
  <si>
    <t>P2-D4</t>
  </si>
  <si>
    <t>S36</t>
  </si>
  <si>
    <t>P2-D5</t>
  </si>
  <si>
    <t>P2-D6</t>
  </si>
  <si>
    <t>P2-D7</t>
  </si>
  <si>
    <t>S37</t>
  </si>
  <si>
    <t>P2-D8</t>
  </si>
  <si>
    <t>P2-D9</t>
  </si>
  <si>
    <t>P2-D10</t>
  </si>
  <si>
    <t>S38</t>
  </si>
  <si>
    <t>P2-D11</t>
  </si>
  <si>
    <t>P2-D12</t>
  </si>
  <si>
    <t>P2-E1</t>
  </si>
  <si>
    <t>S45</t>
  </si>
  <si>
    <t>P2-E2</t>
  </si>
  <si>
    <t>P2-E3</t>
  </si>
  <si>
    <t>P2-E4</t>
  </si>
  <si>
    <t>S46</t>
  </si>
  <si>
    <t>P2-E5</t>
  </si>
  <si>
    <t>P2-E6</t>
  </si>
  <si>
    <t>P2-E7</t>
  </si>
  <si>
    <t>S47</t>
  </si>
  <si>
    <t>P2-E8</t>
  </si>
  <si>
    <t>P2-E9</t>
  </si>
  <si>
    <t>P2-E10</t>
  </si>
  <si>
    <t>S48</t>
  </si>
  <si>
    <t>P2-E11</t>
  </si>
  <si>
    <t>P2-E12</t>
  </si>
  <si>
    <t>P2-F1</t>
  </si>
  <si>
    <t>S55</t>
  </si>
  <si>
    <t>P2-F2</t>
  </si>
  <si>
    <t>P2-F3</t>
  </si>
  <si>
    <t>P2-F4</t>
  </si>
  <si>
    <t>S56</t>
  </si>
  <si>
    <t>P2-F5</t>
  </si>
  <si>
    <t>P2-F6</t>
  </si>
  <si>
    <t>P2-F7</t>
  </si>
  <si>
    <t>S57</t>
  </si>
  <si>
    <t>P2-F8</t>
  </si>
  <si>
    <t>P2-F9</t>
  </si>
  <si>
    <t>P2-F10</t>
  </si>
  <si>
    <t>S58</t>
  </si>
  <si>
    <t>P2-F11</t>
  </si>
  <si>
    <t>P2-F12</t>
  </si>
  <si>
    <t>P2-G1</t>
  </si>
  <si>
    <t>S63</t>
  </si>
  <si>
    <t>P2-G2</t>
  </si>
  <si>
    <t>P2-G3</t>
  </si>
  <si>
    <t>P2-G4</t>
  </si>
  <si>
    <t>P2-G5</t>
  </si>
  <si>
    <t>P2-G6</t>
  </si>
  <si>
    <t>P3-A1</t>
  </si>
  <si>
    <t>S9</t>
  </si>
  <si>
    <t>P3-A2</t>
  </si>
  <si>
    <t>P3-A3</t>
  </si>
  <si>
    <t>P3-A4</t>
  </si>
  <si>
    <t>S10</t>
  </si>
  <si>
    <t>P3-A5</t>
  </si>
  <si>
    <t>P3-A6</t>
  </si>
  <si>
    <t>P3-B1</t>
  </si>
  <si>
    <t>S19</t>
  </si>
  <si>
    <t>P3-B2</t>
  </si>
  <si>
    <t>P3-B3</t>
  </si>
  <si>
    <t>P3-B4</t>
  </si>
  <si>
    <t>S20</t>
  </si>
  <si>
    <t>P3-B5</t>
  </si>
  <si>
    <t>P3-B6</t>
  </si>
  <si>
    <t>P3-C1</t>
  </si>
  <si>
    <t>S29</t>
  </si>
  <si>
    <t>P3-C2</t>
  </si>
  <si>
    <t>P3-C3</t>
  </si>
  <si>
    <t>P3-C4</t>
  </si>
  <si>
    <t>S30</t>
  </si>
  <si>
    <t>P3-C5</t>
  </si>
  <si>
    <t>P3-C6</t>
  </si>
  <si>
    <t>P3-D1</t>
  </si>
  <si>
    <t>S39</t>
  </si>
  <si>
    <t>P3-D2</t>
  </si>
  <si>
    <t>P3-D3</t>
  </si>
  <si>
    <t>P3-D4</t>
  </si>
  <si>
    <t>S40</t>
  </si>
  <si>
    <t>P3-D5</t>
  </si>
  <si>
    <t>P3-D6</t>
  </si>
  <si>
    <t>P3-E1</t>
  </si>
  <si>
    <t>S49</t>
  </si>
  <si>
    <t>P3-E2</t>
  </si>
  <si>
    <t>P3-E3</t>
  </si>
  <si>
    <t>P3-E4</t>
  </si>
  <si>
    <t>S50</t>
  </si>
  <si>
    <t>P3-E5</t>
  </si>
  <si>
    <t>P3-E6</t>
  </si>
  <si>
    <t>P3-F1</t>
  </si>
  <si>
    <t>S59</t>
  </si>
  <si>
    <t>P3-F2</t>
  </si>
  <si>
    <t>P3-F3</t>
  </si>
  <si>
    <t>P3-F4</t>
  </si>
  <si>
    <t>S60</t>
  </si>
  <si>
    <t>P3-F5</t>
  </si>
  <si>
    <t>P3-F6</t>
  </si>
  <si>
    <t xml:space="preserve">Copies ITS/mL </t>
  </si>
  <si>
    <t xml:space="preserve">Copies 16S/mL </t>
  </si>
  <si>
    <t>Mean Corrected OD</t>
  </si>
  <si>
    <t>DNA conc.</t>
  </si>
  <si>
    <t>Mean Bacteria/mL</t>
  </si>
  <si>
    <t>Supplement mix</t>
  </si>
  <si>
    <t>Bifido/mL</t>
  </si>
  <si>
    <t>Entero/mL</t>
  </si>
  <si>
    <t>Mean ITS/mL</t>
  </si>
  <si>
    <t>Mean Entero/mL</t>
  </si>
  <si>
    <t>Mean 16S/mL</t>
  </si>
  <si>
    <t>Mean Bifido/mL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</si>
</sst>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BE2D5"/>
        <bgColor rgb="FFFBE2D5"/>
      </patternFill>
    </fill>
    <fill>
      <patternFill patternType="solid">
        <fgColor rgb="FFD0D0D0"/>
        <bgColor rgb="FFD0D0D0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Border="0" applyProtection="0"/>
  </cellStyleXfs>
  <cellXfs count="47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49" fontId="2" fillId="4" borderId="3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9" fontId="3" fillId="6" borderId="5" xfId="0" applyNumberFormat="1" applyFont="1" applyFill="1" applyBorder="1" applyAlignment="1">
      <alignment horizontal="center"/>
    </xf>
    <xf numFmtId="165" fontId="3" fillId="6" borderId="5" xfId="0" applyNumberFormat="1" applyFont="1" applyFill="1" applyBorder="1" applyAlignment="1">
      <alignment horizontal="center"/>
    </xf>
    <xf numFmtId="0" fontId="3" fillId="6" borderId="4" xfId="0" applyFont="1" applyFill="1" applyBorder="1"/>
    <xf numFmtId="0" fontId="3" fillId="7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7" borderId="5" xfId="0" applyFont="1" applyFill="1" applyBorder="1" applyAlignment="1">
      <alignment horizontal="left"/>
    </xf>
    <xf numFmtId="49" fontId="3" fillId="6" borderId="4" xfId="0" applyNumberFormat="1" applyFont="1" applyFill="1" applyBorder="1" applyAlignment="1">
      <alignment horizontal="center"/>
    </xf>
    <xf numFmtId="165" fontId="3" fillId="6" borderId="4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49" fontId="3" fillId="0" borderId="6" xfId="0" applyNumberFormat="1" applyFont="1" applyBorder="1"/>
    <xf numFmtId="49" fontId="3" fillId="7" borderId="6" xfId="0" applyNumberFormat="1" applyFont="1" applyFill="1" applyBorder="1" applyAlignment="1">
      <alignment horizontal="center"/>
    </xf>
    <xf numFmtId="164" fontId="0" fillId="0" borderId="6" xfId="0" applyNumberFormat="1" applyBorder="1"/>
    <xf numFmtId="0" fontId="0" fillId="0" borderId="6" xfId="0" applyBorder="1"/>
    <xf numFmtId="2" fontId="0" fillId="0" borderId="6" xfId="0" applyNumberFormat="1" applyBorder="1"/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49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/>
    </xf>
    <xf numFmtId="0" fontId="4" fillId="2" borderId="1" xfId="0" applyFont="1" applyFill="1" applyBorder="1"/>
    <xf numFmtId="164" fontId="0" fillId="0" borderId="7" xfId="0" applyNumberFormat="1" applyBorder="1"/>
    <xf numFmtId="2" fontId="0" fillId="0" borderId="0" xfId="0" applyNumberFormat="1"/>
    <xf numFmtId="2" fontId="4" fillId="2" borderId="1" xfId="0" applyNumberFormat="1" applyFont="1" applyFill="1" applyBorder="1"/>
    <xf numFmtId="2" fontId="0" fillId="0" borderId="8" xfId="0" applyNumberFormat="1" applyBorder="1"/>
    <xf numFmtId="0" fontId="4" fillId="0" borderId="0" xfId="0" applyFont="1"/>
    <xf numFmtId="1" fontId="2" fillId="4" borderId="1" xfId="0" applyNumberFormat="1" applyFont="1" applyFill="1" applyBorder="1" applyAlignment="1">
      <alignment horizontal="center"/>
    </xf>
    <xf numFmtId="1" fontId="3" fillId="0" borderId="6" xfId="0" applyNumberFormat="1" applyFont="1" applyBorder="1"/>
    <xf numFmtId="1" fontId="3" fillId="7" borderId="6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/>
    <xf numFmtId="1" fontId="0" fillId="0" borderId="0" xfId="0" applyNumberFormat="1"/>
  </cellXfs>
  <cellStyles count="2">
    <cellStyle name="Normal" xfId="0" builtinId="0"/>
    <cellStyle name="Normal 3" xfId="1" xr:uid="{3C923A10-38EA-48A1-89E9-6C03F093BF9C}"/>
  </cellStyles>
  <dxfs count="13"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  <dxf>
      <font>
        <color rgb="FF000000"/>
        <family val="2"/>
      </font>
      <fill>
        <patternFill patternType="solid">
          <fgColor rgb="FFD0D0D0"/>
          <bgColor rgb="FFD0D0D0"/>
        </patternFill>
      </fill>
    </dxf>
    <dxf>
      <fill>
        <patternFill patternType="solid">
          <fgColor rgb="FFE8E8E8"/>
          <bgColor rgb="FFE8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13C3-BD42-4360-AE1A-3F714C9D1D9D}">
  <dimension ref="A1:V181"/>
  <sheetViews>
    <sheetView workbookViewId="0">
      <selection activeCell="B1" sqref="B1"/>
    </sheetView>
  </sheetViews>
  <sheetFormatPr defaultRowHeight="14.5" x14ac:dyDescent="0.35"/>
  <cols>
    <col min="2" max="2" width="25.36328125" bestFit="1" customWidth="1"/>
    <col min="3" max="3" width="12.453125" customWidth="1"/>
    <col min="4" max="4" width="13.7265625" bestFit="1" customWidth="1"/>
    <col min="6" max="6" width="29.6328125" bestFit="1" customWidth="1"/>
    <col min="7" max="7" width="17" bestFit="1" customWidth="1"/>
    <col min="8" max="8" width="9.36328125" bestFit="1" customWidth="1"/>
  </cols>
  <sheetData>
    <row r="1" spans="1:22" x14ac:dyDescent="0.35">
      <c r="A1" s="2" t="s">
        <v>1</v>
      </c>
      <c r="B1" s="2" t="s">
        <v>291</v>
      </c>
      <c r="C1" s="3" t="s">
        <v>7</v>
      </c>
      <c r="D1" s="2" t="s">
        <v>8</v>
      </c>
      <c r="E1" s="3" t="s">
        <v>9</v>
      </c>
      <c r="F1" s="1" t="s">
        <v>0</v>
      </c>
    </row>
    <row r="2" spans="1:22" x14ac:dyDescent="0.35">
      <c r="A2" s="25" t="s">
        <v>10</v>
      </c>
      <c r="B2" s="25" t="s">
        <v>11</v>
      </c>
      <c r="C2" s="26">
        <v>4.8</v>
      </c>
      <c r="D2" s="25">
        <v>4.78</v>
      </c>
      <c r="E2" s="26">
        <f>D2-C2</f>
        <v>-1.9999999999999574E-2</v>
      </c>
      <c r="F2" s="24">
        <v>-2.3099999874830246E-2</v>
      </c>
    </row>
    <row r="3" spans="1:22" x14ac:dyDescent="0.35">
      <c r="A3" s="25" t="s">
        <v>10</v>
      </c>
      <c r="B3" s="25" t="s">
        <v>11</v>
      </c>
      <c r="C3" s="26">
        <v>4.8</v>
      </c>
      <c r="D3" s="25">
        <v>4.8099999999999996</v>
      </c>
      <c r="E3" s="26">
        <f t="shared" ref="E3:E66" si="0">D3-C3</f>
        <v>9.9999999999997868E-3</v>
      </c>
      <c r="F3" s="24">
        <v>-2.0000003278255463E-2</v>
      </c>
    </row>
    <row r="4" spans="1:22" x14ac:dyDescent="0.35">
      <c r="A4" s="25" t="s">
        <v>10</v>
      </c>
      <c r="B4" s="25" t="s">
        <v>11</v>
      </c>
      <c r="C4" s="26">
        <v>4.8</v>
      </c>
      <c r="D4" s="25">
        <v>4.82</v>
      </c>
      <c r="E4" s="26">
        <f t="shared" si="0"/>
        <v>2.0000000000000462E-2</v>
      </c>
      <c r="F4" s="24">
        <v>-2.2200003266334534E-2</v>
      </c>
    </row>
    <row r="5" spans="1:22" x14ac:dyDescent="0.35">
      <c r="A5" s="25" t="s">
        <v>10</v>
      </c>
      <c r="B5" s="25" t="s">
        <v>5</v>
      </c>
      <c r="C5" s="26">
        <v>4.8</v>
      </c>
      <c r="D5" s="25">
        <v>4.8099999999999996</v>
      </c>
      <c r="E5" s="26">
        <f t="shared" si="0"/>
        <v>9.9999999999997868E-3</v>
      </c>
      <c r="F5" s="24">
        <v>7.4300006031990051E-2</v>
      </c>
    </row>
    <row r="6" spans="1:22" x14ac:dyDescent="0.35">
      <c r="A6" s="25" t="s">
        <v>10</v>
      </c>
      <c r="B6" s="25" t="s">
        <v>5</v>
      </c>
      <c r="C6" s="26">
        <v>4.8</v>
      </c>
      <c r="D6" s="25">
        <v>5.88</v>
      </c>
      <c r="E6" s="26">
        <f t="shared" si="0"/>
        <v>1.08</v>
      </c>
      <c r="F6" s="24">
        <v>7.0600003004074097E-2</v>
      </c>
    </row>
    <row r="7" spans="1:22" x14ac:dyDescent="0.35">
      <c r="A7" s="25" t="s">
        <v>10</v>
      </c>
      <c r="B7" s="25" t="s">
        <v>5</v>
      </c>
      <c r="C7" s="26">
        <v>4.8</v>
      </c>
      <c r="D7" s="25">
        <v>4.79</v>
      </c>
      <c r="E7" s="26">
        <f t="shared" si="0"/>
        <v>-9.9999999999997868E-3</v>
      </c>
      <c r="F7" s="24">
        <v>7.8400000929832458E-2</v>
      </c>
    </row>
    <row r="8" spans="1:22" x14ac:dyDescent="0.35">
      <c r="A8" s="25" t="s">
        <v>10</v>
      </c>
      <c r="B8" s="25" t="s">
        <v>3</v>
      </c>
      <c r="C8" s="26">
        <v>4.8</v>
      </c>
      <c r="D8" s="25">
        <v>4.55</v>
      </c>
      <c r="E8" s="26">
        <f t="shared" si="0"/>
        <v>-0.25</v>
      </c>
      <c r="F8" s="24">
        <v>0.15119999647140503</v>
      </c>
    </row>
    <row r="9" spans="1:22" x14ac:dyDescent="0.35">
      <c r="A9" s="25" t="s">
        <v>10</v>
      </c>
      <c r="B9" s="25" t="s">
        <v>3</v>
      </c>
      <c r="C9" s="26">
        <v>4.8</v>
      </c>
      <c r="D9" s="25">
        <v>4.55</v>
      </c>
      <c r="E9" s="26">
        <f t="shared" si="0"/>
        <v>-0.25</v>
      </c>
      <c r="F9" s="24">
        <v>0.14110000431537628</v>
      </c>
    </row>
    <row r="10" spans="1:22" x14ac:dyDescent="0.35">
      <c r="A10" s="25" t="s">
        <v>10</v>
      </c>
      <c r="B10" s="25" t="s">
        <v>3</v>
      </c>
      <c r="C10" s="26">
        <v>4.8</v>
      </c>
      <c r="D10" s="25">
        <v>4.5599999999999996</v>
      </c>
      <c r="E10" s="26">
        <f t="shared" si="0"/>
        <v>-0.24000000000000021</v>
      </c>
      <c r="F10" s="24">
        <v>0.13289999961853027</v>
      </c>
    </row>
    <row r="11" spans="1:22" x14ac:dyDescent="0.35">
      <c r="A11" s="25" t="s">
        <v>10</v>
      </c>
      <c r="B11" s="25" t="s">
        <v>12</v>
      </c>
      <c r="C11" s="26">
        <v>4.8</v>
      </c>
      <c r="D11" s="25">
        <v>4.58</v>
      </c>
      <c r="E11" s="26">
        <f t="shared" si="0"/>
        <v>-0.21999999999999975</v>
      </c>
      <c r="F11" s="24">
        <v>0.15089999139308929</v>
      </c>
    </row>
    <row r="12" spans="1:22" x14ac:dyDescent="0.35">
      <c r="A12" s="25" t="s">
        <v>10</v>
      </c>
      <c r="B12" s="25" t="s">
        <v>12</v>
      </c>
      <c r="C12" s="26">
        <v>4.8</v>
      </c>
      <c r="D12" s="25">
        <v>4.62</v>
      </c>
      <c r="E12" s="26">
        <f t="shared" si="0"/>
        <v>-0.17999999999999972</v>
      </c>
      <c r="F12" s="24">
        <v>0.11800000071525574</v>
      </c>
    </row>
    <row r="13" spans="1:22" x14ac:dyDescent="0.35">
      <c r="A13" s="25" t="s">
        <v>10</v>
      </c>
      <c r="B13" s="25" t="s">
        <v>12</v>
      </c>
      <c r="C13" s="26">
        <v>4.8</v>
      </c>
      <c r="D13" s="25">
        <v>4.49</v>
      </c>
      <c r="E13" s="26">
        <f t="shared" si="0"/>
        <v>-0.30999999999999961</v>
      </c>
      <c r="F13" s="24">
        <v>0.17209999263286591</v>
      </c>
    </row>
    <row r="14" spans="1:22" x14ac:dyDescent="0.35">
      <c r="A14" s="25" t="s">
        <v>10</v>
      </c>
      <c r="B14" s="25" t="s">
        <v>13</v>
      </c>
      <c r="C14" s="26">
        <v>4.8</v>
      </c>
      <c r="D14" s="25">
        <v>4.54</v>
      </c>
      <c r="E14" s="26">
        <f t="shared" si="0"/>
        <v>-0.25999999999999979</v>
      </c>
      <c r="F14" s="24">
        <v>0.15389999002218246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1:22" ht="15.5" x14ac:dyDescent="0.35">
      <c r="A15" s="25" t="s">
        <v>10</v>
      </c>
      <c r="B15" s="25" t="s">
        <v>13</v>
      </c>
      <c r="C15" s="26">
        <v>4.8</v>
      </c>
      <c r="D15" s="25">
        <v>4.49</v>
      </c>
      <c r="E15" s="26">
        <f t="shared" si="0"/>
        <v>-0.30999999999999961</v>
      </c>
      <c r="F15" s="24">
        <v>0.16780000180006027</v>
      </c>
      <c r="J15" s="31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3"/>
    </row>
    <row r="16" spans="1:22" ht="15.5" x14ac:dyDescent="0.35">
      <c r="A16" s="25" t="s">
        <v>10</v>
      </c>
      <c r="B16" s="25" t="s">
        <v>13</v>
      </c>
      <c r="C16" s="26">
        <v>4.8</v>
      </c>
      <c r="D16" s="25">
        <v>4.4800000000000004</v>
      </c>
      <c r="E16" s="26">
        <f t="shared" si="0"/>
        <v>-0.3199999999999994</v>
      </c>
      <c r="F16" s="24">
        <v>0.1713000163435936</v>
      </c>
      <c r="J16" s="31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</row>
    <row r="17" spans="1:22" ht="15.5" x14ac:dyDescent="0.35">
      <c r="A17" s="25" t="s">
        <v>10</v>
      </c>
      <c r="B17" s="25" t="s">
        <v>14</v>
      </c>
      <c r="C17" s="26">
        <v>4.8</v>
      </c>
      <c r="D17" s="25">
        <v>4.62</v>
      </c>
      <c r="E17" s="26">
        <f t="shared" si="0"/>
        <v>-0.17999999999999972</v>
      </c>
      <c r="F17" s="24">
        <v>0.13430000096559525</v>
      </c>
      <c r="J17" s="31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2"/>
      <c r="V17" s="32"/>
    </row>
    <row r="18" spans="1:22" ht="15.5" x14ac:dyDescent="0.35">
      <c r="A18" s="25" t="s">
        <v>10</v>
      </c>
      <c r="B18" s="25" t="s">
        <v>14</v>
      </c>
      <c r="C18" s="26">
        <v>4.8</v>
      </c>
      <c r="D18" s="25">
        <v>4.57</v>
      </c>
      <c r="E18" s="26">
        <f t="shared" si="0"/>
        <v>-0.22999999999999954</v>
      </c>
      <c r="F18" s="24">
        <v>0.14339999109506607</v>
      </c>
      <c r="J18" s="31"/>
      <c r="K18" s="32"/>
      <c r="L18" s="32"/>
      <c r="M18" s="32"/>
      <c r="N18" s="32"/>
      <c r="O18" s="32"/>
      <c r="P18" s="34"/>
      <c r="Q18" s="32"/>
      <c r="R18" s="32"/>
      <c r="S18" s="32"/>
      <c r="T18" s="32"/>
      <c r="U18" s="32"/>
      <c r="V18" s="32"/>
    </row>
    <row r="19" spans="1:22" ht="15.5" x14ac:dyDescent="0.35">
      <c r="A19" s="25" t="s">
        <v>10</v>
      </c>
      <c r="B19" s="25" t="s">
        <v>14</v>
      </c>
      <c r="C19" s="26">
        <v>4.8</v>
      </c>
      <c r="D19" s="25">
        <v>4.54</v>
      </c>
      <c r="E19" s="26">
        <f t="shared" si="0"/>
        <v>-0.25999999999999979</v>
      </c>
      <c r="F19" s="24">
        <v>0.15720000118017197</v>
      </c>
      <c r="J19" s="31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</row>
    <row r="20" spans="1:22" ht="15.5" x14ac:dyDescent="0.35">
      <c r="A20" s="25" t="s">
        <v>10</v>
      </c>
      <c r="B20" s="25" t="s">
        <v>15</v>
      </c>
      <c r="C20" s="26">
        <v>4.8</v>
      </c>
      <c r="D20" s="25">
        <v>4.66</v>
      </c>
      <c r="E20" s="26">
        <f t="shared" si="0"/>
        <v>-0.13999999999999968</v>
      </c>
      <c r="F20" s="24">
        <v>0.12269999831914902</v>
      </c>
      <c r="J20" s="3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</row>
    <row r="21" spans="1:22" ht="15.5" x14ac:dyDescent="0.35">
      <c r="A21" s="25" t="s">
        <v>10</v>
      </c>
      <c r="B21" s="25" t="s">
        <v>15</v>
      </c>
      <c r="C21" s="26">
        <v>4.8</v>
      </c>
      <c r="D21" s="25">
        <v>4.59</v>
      </c>
      <c r="E21" s="26">
        <f t="shared" si="0"/>
        <v>-0.20999999999999996</v>
      </c>
      <c r="F21" s="24">
        <v>0.16669999808073044</v>
      </c>
      <c r="J21" s="31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</row>
    <row r="22" spans="1:22" ht="15.5" x14ac:dyDescent="0.35">
      <c r="A22" s="25" t="s">
        <v>10</v>
      </c>
      <c r="B22" s="25" t="s">
        <v>15</v>
      </c>
      <c r="C22" s="26">
        <v>4.8</v>
      </c>
      <c r="D22" s="25">
        <v>4.63</v>
      </c>
      <c r="E22" s="26">
        <f t="shared" si="0"/>
        <v>-0.16999999999999993</v>
      </c>
      <c r="F22" s="24">
        <v>0.14150000363588333</v>
      </c>
      <c r="J22" s="31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</row>
    <row r="23" spans="1:22" x14ac:dyDescent="0.35">
      <c r="A23" s="25" t="s">
        <v>10</v>
      </c>
      <c r="B23" s="25" t="s">
        <v>16</v>
      </c>
      <c r="C23" s="26">
        <v>4.8</v>
      </c>
      <c r="D23" s="25">
        <v>4.45</v>
      </c>
      <c r="E23" s="26">
        <f t="shared" si="0"/>
        <v>-0.34999999999999964</v>
      </c>
      <c r="F23" s="24">
        <v>0.24360000342130661</v>
      </c>
    </row>
    <row r="24" spans="1:22" x14ac:dyDescent="0.35">
      <c r="A24" s="25" t="s">
        <v>10</v>
      </c>
      <c r="B24" s="25" t="s">
        <v>16</v>
      </c>
      <c r="C24" s="26">
        <v>4.8</v>
      </c>
      <c r="D24" s="25">
        <v>4.46</v>
      </c>
      <c r="E24" s="26">
        <f t="shared" si="0"/>
        <v>-0.33999999999999986</v>
      </c>
      <c r="F24" s="24">
        <v>0.19449999183416367</v>
      </c>
    </row>
    <row r="25" spans="1:22" x14ac:dyDescent="0.35">
      <c r="A25" s="25" t="s">
        <v>10</v>
      </c>
      <c r="B25" s="25" t="s">
        <v>16</v>
      </c>
      <c r="C25" s="26">
        <v>4.8</v>
      </c>
      <c r="D25" s="25">
        <v>4.38</v>
      </c>
      <c r="E25" s="26">
        <f t="shared" si="0"/>
        <v>-0.41999999999999993</v>
      </c>
      <c r="F25" s="24">
        <v>0.24259998649358749</v>
      </c>
    </row>
    <row r="26" spans="1:22" x14ac:dyDescent="0.35">
      <c r="A26" s="25" t="s">
        <v>10</v>
      </c>
      <c r="B26" s="25" t="s">
        <v>17</v>
      </c>
      <c r="C26" s="26">
        <v>4.8</v>
      </c>
      <c r="D26" s="25">
        <v>4.79</v>
      </c>
      <c r="E26" s="26">
        <f t="shared" si="0"/>
        <v>-9.9999999999997868E-3</v>
      </c>
      <c r="F26" s="24">
        <v>9.2300005257129669E-2</v>
      </c>
    </row>
    <row r="27" spans="1:22" x14ac:dyDescent="0.35">
      <c r="A27" s="25" t="s">
        <v>10</v>
      </c>
      <c r="B27" s="25" t="s">
        <v>17</v>
      </c>
      <c r="C27" s="26">
        <v>4.8</v>
      </c>
      <c r="D27" s="25">
        <v>4.8</v>
      </c>
      <c r="E27" s="26">
        <f t="shared" si="0"/>
        <v>0</v>
      </c>
      <c r="F27" s="24">
        <v>9.2600010335445404E-2</v>
      </c>
    </row>
    <row r="28" spans="1:22" x14ac:dyDescent="0.35">
      <c r="A28" s="25" t="s">
        <v>10</v>
      </c>
      <c r="B28" s="25" t="s">
        <v>17</v>
      </c>
      <c r="C28" s="26">
        <v>4.8</v>
      </c>
      <c r="D28" s="25">
        <v>4.79</v>
      </c>
      <c r="E28" s="26">
        <f t="shared" si="0"/>
        <v>-9.9999999999997868E-3</v>
      </c>
      <c r="F28" s="24">
        <v>9.2500008642673492E-2</v>
      </c>
    </row>
    <row r="29" spans="1:22" x14ac:dyDescent="0.35">
      <c r="A29" s="25" t="s">
        <v>10</v>
      </c>
      <c r="B29" s="25" t="s">
        <v>18</v>
      </c>
      <c r="C29" s="26">
        <v>4.8</v>
      </c>
      <c r="D29" s="25">
        <v>4.78</v>
      </c>
      <c r="E29" s="26">
        <f t="shared" si="0"/>
        <v>-1.9999999999999574E-2</v>
      </c>
      <c r="F29" s="24">
        <v>0.12429999560117722</v>
      </c>
    </row>
    <row r="30" spans="1:22" x14ac:dyDescent="0.35">
      <c r="A30" s="25" t="s">
        <v>10</v>
      </c>
      <c r="B30" s="25" t="s">
        <v>18</v>
      </c>
      <c r="C30" s="26">
        <v>4.8</v>
      </c>
      <c r="D30" s="25">
        <v>4.72</v>
      </c>
      <c r="E30" s="26">
        <f t="shared" si="0"/>
        <v>-8.0000000000000071E-2</v>
      </c>
      <c r="F30" s="24">
        <v>0.12640000134706497</v>
      </c>
    </row>
    <row r="31" spans="1:22" x14ac:dyDescent="0.35">
      <c r="A31" s="25" t="s">
        <v>10</v>
      </c>
      <c r="B31" s="25" t="s">
        <v>18</v>
      </c>
      <c r="C31" s="26">
        <v>4.8</v>
      </c>
      <c r="D31" s="25">
        <v>4.78</v>
      </c>
      <c r="E31" s="26">
        <f t="shared" si="0"/>
        <v>-1.9999999999999574E-2</v>
      </c>
      <c r="F31" s="24">
        <v>0.1103999987244606</v>
      </c>
    </row>
    <row r="32" spans="1:22" x14ac:dyDescent="0.35">
      <c r="A32" s="25" t="s">
        <v>10</v>
      </c>
      <c r="B32" s="25" t="s">
        <v>11</v>
      </c>
      <c r="C32" s="26">
        <v>5.8</v>
      </c>
      <c r="D32" s="25">
        <v>6.26</v>
      </c>
      <c r="E32" s="26">
        <f t="shared" si="0"/>
        <v>0.45999999999999996</v>
      </c>
      <c r="F32" s="24">
        <v>3.8699999451637268E-2</v>
      </c>
    </row>
    <row r="33" spans="1:6" x14ac:dyDescent="0.35">
      <c r="A33" s="25" t="s">
        <v>10</v>
      </c>
      <c r="B33" s="25" t="s">
        <v>11</v>
      </c>
      <c r="C33" s="26">
        <v>5.8</v>
      </c>
      <c r="D33" s="25">
        <v>5.77</v>
      </c>
      <c r="E33" s="26">
        <f t="shared" si="0"/>
        <v>-3.0000000000000249E-2</v>
      </c>
      <c r="F33" s="24">
        <v>8.8100001215934753E-2</v>
      </c>
    </row>
    <row r="34" spans="1:6" x14ac:dyDescent="0.35">
      <c r="A34" s="25" t="s">
        <v>10</v>
      </c>
      <c r="B34" s="25" t="s">
        <v>11</v>
      </c>
      <c r="C34" s="26">
        <v>5.8</v>
      </c>
      <c r="D34" s="25">
        <v>6.19</v>
      </c>
      <c r="E34" s="26">
        <f t="shared" si="0"/>
        <v>0.39000000000000057</v>
      </c>
      <c r="F34" s="24">
        <v>4.9300000071525574E-2</v>
      </c>
    </row>
    <row r="35" spans="1:6" x14ac:dyDescent="0.35">
      <c r="A35" s="25" t="s">
        <v>10</v>
      </c>
      <c r="B35" s="25" t="s">
        <v>5</v>
      </c>
      <c r="C35" s="26">
        <v>5.8</v>
      </c>
      <c r="D35" s="25">
        <v>4.1399999999999997</v>
      </c>
      <c r="E35" s="26">
        <f t="shared" si="0"/>
        <v>-1.6600000000000001</v>
      </c>
      <c r="F35" s="24">
        <v>0.69940000772476196</v>
      </c>
    </row>
    <row r="36" spans="1:6" x14ac:dyDescent="0.35">
      <c r="A36" s="25" t="s">
        <v>10</v>
      </c>
      <c r="B36" s="25" t="s">
        <v>5</v>
      </c>
      <c r="C36" s="26">
        <v>5.8</v>
      </c>
      <c r="D36" s="25">
        <v>4.21</v>
      </c>
      <c r="E36" s="26">
        <f t="shared" si="0"/>
        <v>-1.5899999999999999</v>
      </c>
      <c r="F36" s="24">
        <v>0.71420001983642578</v>
      </c>
    </row>
    <row r="37" spans="1:6" x14ac:dyDescent="0.35">
      <c r="A37" s="25" t="s">
        <v>10</v>
      </c>
      <c r="B37" s="25" t="s">
        <v>5</v>
      </c>
      <c r="C37" s="26">
        <v>5.8</v>
      </c>
      <c r="D37" s="25">
        <v>4.12</v>
      </c>
      <c r="E37" s="26">
        <f t="shared" si="0"/>
        <v>-1.6799999999999997</v>
      </c>
      <c r="F37" s="24">
        <v>0.64810001850128174</v>
      </c>
    </row>
    <row r="38" spans="1:6" x14ac:dyDescent="0.35">
      <c r="A38" s="25" t="s">
        <v>10</v>
      </c>
      <c r="B38" s="25" t="s">
        <v>3</v>
      </c>
      <c r="C38" s="26">
        <v>5.8</v>
      </c>
      <c r="D38" s="25">
        <v>4.09</v>
      </c>
      <c r="E38" s="26">
        <f t="shared" si="0"/>
        <v>-1.71</v>
      </c>
      <c r="F38" s="24">
        <v>1.0350999981164932</v>
      </c>
    </row>
    <row r="39" spans="1:6" x14ac:dyDescent="0.35">
      <c r="A39" s="25" t="s">
        <v>10</v>
      </c>
      <c r="B39" s="25" t="s">
        <v>3</v>
      </c>
      <c r="C39" s="26">
        <v>5.8</v>
      </c>
      <c r="D39" s="25">
        <v>4.09</v>
      </c>
      <c r="E39" s="26">
        <f t="shared" si="0"/>
        <v>-1.71</v>
      </c>
      <c r="F39" s="24">
        <v>0.98290003836154938</v>
      </c>
    </row>
    <row r="40" spans="1:6" x14ac:dyDescent="0.35">
      <c r="A40" s="25" t="s">
        <v>10</v>
      </c>
      <c r="B40" s="25" t="s">
        <v>3</v>
      </c>
      <c r="C40" s="26">
        <v>5.8</v>
      </c>
      <c r="D40" s="25">
        <v>4.08</v>
      </c>
      <c r="E40" s="26">
        <f t="shared" si="0"/>
        <v>-1.7199999999999998</v>
      </c>
      <c r="F40" s="24">
        <v>1.0571999698877335</v>
      </c>
    </row>
    <row r="41" spans="1:6" x14ac:dyDescent="0.35">
      <c r="A41" s="25" t="s">
        <v>10</v>
      </c>
      <c r="B41" s="25" t="s">
        <v>12</v>
      </c>
      <c r="C41" s="26">
        <v>5.8</v>
      </c>
      <c r="D41" s="25">
        <v>4.3099999999999996</v>
      </c>
      <c r="E41" s="26">
        <f t="shared" si="0"/>
        <v>-1.4900000000000002</v>
      </c>
      <c r="F41" s="24">
        <v>0.85089997947216034</v>
      </c>
    </row>
    <row r="42" spans="1:6" x14ac:dyDescent="0.35">
      <c r="A42" s="25" t="s">
        <v>10</v>
      </c>
      <c r="B42" s="25" t="s">
        <v>12</v>
      </c>
      <c r="C42" s="26">
        <v>5.8</v>
      </c>
      <c r="D42" s="25">
        <v>4.32</v>
      </c>
      <c r="E42" s="26">
        <f t="shared" si="0"/>
        <v>-1.4799999999999995</v>
      </c>
      <c r="F42" s="24">
        <v>0.98360000550746918</v>
      </c>
    </row>
    <row r="43" spans="1:6" x14ac:dyDescent="0.35">
      <c r="A43" s="25" t="s">
        <v>10</v>
      </c>
      <c r="B43" s="25" t="s">
        <v>12</v>
      </c>
      <c r="C43" s="26">
        <v>5.8</v>
      </c>
      <c r="D43" s="25">
        <v>4.32</v>
      </c>
      <c r="E43" s="26">
        <f t="shared" si="0"/>
        <v>-1.4799999999999995</v>
      </c>
      <c r="F43" s="24">
        <v>0.77009998261928558</v>
      </c>
    </row>
    <row r="44" spans="1:6" x14ac:dyDescent="0.35">
      <c r="A44" s="25" t="s">
        <v>10</v>
      </c>
      <c r="B44" s="25" t="s">
        <v>13</v>
      </c>
      <c r="C44" s="26">
        <v>5.8</v>
      </c>
      <c r="D44" s="25">
        <v>4.12</v>
      </c>
      <c r="E44" s="26">
        <f t="shared" si="0"/>
        <v>-1.6799999999999997</v>
      </c>
      <c r="F44" s="24">
        <v>1.2074999734759331</v>
      </c>
    </row>
    <row r="45" spans="1:6" x14ac:dyDescent="0.35">
      <c r="A45" s="25" t="s">
        <v>10</v>
      </c>
      <c r="B45" s="25" t="s">
        <v>13</v>
      </c>
      <c r="C45" s="26">
        <v>5.8</v>
      </c>
      <c r="D45" s="25">
        <v>4.12</v>
      </c>
      <c r="E45" s="26">
        <f t="shared" si="0"/>
        <v>-1.6799999999999997</v>
      </c>
      <c r="F45" s="24">
        <v>1.1779999658465385</v>
      </c>
    </row>
    <row r="46" spans="1:6" x14ac:dyDescent="0.35">
      <c r="A46" s="25" t="s">
        <v>10</v>
      </c>
      <c r="B46" s="25" t="s">
        <v>13</v>
      </c>
      <c r="C46" s="26">
        <v>5.8</v>
      </c>
      <c r="D46" s="25">
        <v>4.0999999999999996</v>
      </c>
      <c r="E46" s="26">
        <f t="shared" si="0"/>
        <v>-1.7000000000000002</v>
      </c>
      <c r="F46" s="24">
        <v>1.1033999845385551</v>
      </c>
    </row>
    <row r="47" spans="1:6" x14ac:dyDescent="0.35">
      <c r="A47" s="25" t="s">
        <v>10</v>
      </c>
      <c r="B47" s="25" t="s">
        <v>14</v>
      </c>
      <c r="C47" s="26">
        <v>5.8</v>
      </c>
      <c r="D47" s="25">
        <v>3.95</v>
      </c>
      <c r="E47" s="26">
        <f t="shared" si="0"/>
        <v>-1.8499999999999996</v>
      </c>
      <c r="F47" s="24">
        <v>1.2280000373721123</v>
      </c>
    </row>
    <row r="48" spans="1:6" x14ac:dyDescent="0.35">
      <c r="A48" s="25" t="s">
        <v>10</v>
      </c>
      <c r="B48" s="25" t="s">
        <v>14</v>
      </c>
      <c r="C48" s="26">
        <v>5.8</v>
      </c>
      <c r="D48" s="25">
        <v>3.99</v>
      </c>
      <c r="E48" s="26">
        <f t="shared" si="0"/>
        <v>-1.8099999999999996</v>
      </c>
      <c r="F48" s="24">
        <v>1.3327000066637993</v>
      </c>
    </row>
    <row r="49" spans="1:7" x14ac:dyDescent="0.35">
      <c r="A49" s="25" t="s">
        <v>10</v>
      </c>
      <c r="B49" s="25" t="s">
        <v>14</v>
      </c>
      <c r="C49" s="26">
        <v>5.8</v>
      </c>
      <c r="D49" s="25">
        <v>3.93</v>
      </c>
      <c r="E49" s="26">
        <f t="shared" si="0"/>
        <v>-1.8699999999999997</v>
      </c>
      <c r="F49" s="24">
        <v>1.2092000171542168</v>
      </c>
    </row>
    <row r="50" spans="1:7" x14ac:dyDescent="0.35">
      <c r="A50" s="25" t="s">
        <v>10</v>
      </c>
      <c r="B50" s="25" t="s">
        <v>15</v>
      </c>
      <c r="C50" s="26">
        <v>5.8</v>
      </c>
      <c r="D50" s="25">
        <v>3.96</v>
      </c>
      <c r="E50" s="26">
        <f t="shared" si="0"/>
        <v>-1.8399999999999999</v>
      </c>
      <c r="F50" s="24">
        <v>1.240199975669384</v>
      </c>
    </row>
    <row r="51" spans="1:7" x14ac:dyDescent="0.35">
      <c r="A51" s="25" t="s">
        <v>10</v>
      </c>
      <c r="B51" s="25" t="s">
        <v>15</v>
      </c>
      <c r="C51" s="26">
        <v>5.8</v>
      </c>
      <c r="D51" s="25">
        <v>3.96</v>
      </c>
      <c r="E51" s="26">
        <f t="shared" si="0"/>
        <v>-1.8399999999999999</v>
      </c>
      <c r="F51" s="24">
        <v>1.2522999569773674</v>
      </c>
    </row>
    <row r="52" spans="1:7" x14ac:dyDescent="0.35">
      <c r="A52" s="25" t="s">
        <v>10</v>
      </c>
      <c r="B52" s="25" t="s">
        <v>15</v>
      </c>
      <c r="C52" s="26">
        <v>5.8</v>
      </c>
      <c r="D52" s="25">
        <v>3.94</v>
      </c>
      <c r="E52" s="26">
        <f t="shared" si="0"/>
        <v>-1.8599999999999999</v>
      </c>
      <c r="F52" s="24">
        <v>1.1774000450968742</v>
      </c>
    </row>
    <row r="53" spans="1:7" x14ac:dyDescent="0.35">
      <c r="A53" s="25" t="s">
        <v>10</v>
      </c>
      <c r="B53" s="25" t="s">
        <v>16</v>
      </c>
      <c r="C53" s="26">
        <v>5.8</v>
      </c>
      <c r="D53" s="25">
        <v>3.98</v>
      </c>
      <c r="E53" s="26">
        <f t="shared" si="0"/>
        <v>-1.8199999999999998</v>
      </c>
      <c r="F53" s="24">
        <v>1.3334000334143639</v>
      </c>
    </row>
    <row r="54" spans="1:7" x14ac:dyDescent="0.35">
      <c r="A54" s="25" t="s">
        <v>10</v>
      </c>
      <c r="B54" s="25" t="s">
        <v>16</v>
      </c>
      <c r="C54" s="26">
        <v>5.8</v>
      </c>
      <c r="D54" s="25">
        <v>3.96</v>
      </c>
      <c r="E54" s="26">
        <f t="shared" si="0"/>
        <v>-1.8399999999999999</v>
      </c>
      <c r="F54" s="24">
        <v>1.3170999512076378</v>
      </c>
    </row>
    <row r="55" spans="1:7" x14ac:dyDescent="0.35">
      <c r="A55" s="25" t="s">
        <v>10</v>
      </c>
      <c r="B55" s="25" t="s">
        <v>16</v>
      </c>
      <c r="C55" s="26">
        <v>5.8</v>
      </c>
      <c r="D55" s="25">
        <v>3.91</v>
      </c>
      <c r="E55" s="26">
        <f t="shared" si="0"/>
        <v>-1.8899999999999997</v>
      </c>
      <c r="F55" s="24">
        <v>1.1477999910712242</v>
      </c>
    </row>
    <row r="56" spans="1:7" x14ac:dyDescent="0.35">
      <c r="A56" s="25" t="s">
        <v>10</v>
      </c>
      <c r="B56" s="25" t="s">
        <v>17</v>
      </c>
      <c r="C56" s="26">
        <v>5.8</v>
      </c>
      <c r="D56" s="25">
        <v>5.19</v>
      </c>
      <c r="E56" s="26">
        <f t="shared" si="0"/>
        <v>-0.60999999999999943</v>
      </c>
      <c r="F56" s="24">
        <v>0.40100003033876419</v>
      </c>
    </row>
    <row r="57" spans="1:7" x14ac:dyDescent="0.35">
      <c r="A57" s="25" t="s">
        <v>10</v>
      </c>
      <c r="B57" s="25" t="s">
        <v>17</v>
      </c>
      <c r="C57" s="26">
        <v>5.8</v>
      </c>
      <c r="D57" s="25">
        <v>5.19</v>
      </c>
      <c r="E57" s="26">
        <f t="shared" si="0"/>
        <v>-0.60999999999999943</v>
      </c>
      <c r="F57" s="24">
        <v>0.26560000330209732</v>
      </c>
    </row>
    <row r="58" spans="1:7" x14ac:dyDescent="0.35">
      <c r="A58" s="25" t="s">
        <v>10</v>
      </c>
      <c r="B58" s="25" t="s">
        <v>17</v>
      </c>
      <c r="C58" s="26">
        <v>5.8</v>
      </c>
      <c r="D58" s="25">
        <v>5.15</v>
      </c>
      <c r="E58" s="26">
        <f t="shared" si="0"/>
        <v>-0.64999999999999947</v>
      </c>
      <c r="F58" s="24">
        <v>0.43890000134706497</v>
      </c>
    </row>
    <row r="59" spans="1:7" x14ac:dyDescent="0.35">
      <c r="A59" s="25" t="s">
        <v>10</v>
      </c>
      <c r="B59" s="25" t="s">
        <v>18</v>
      </c>
      <c r="C59" s="26">
        <v>5.8</v>
      </c>
      <c r="D59" s="25">
        <v>3.97</v>
      </c>
      <c r="E59" s="26">
        <f t="shared" si="0"/>
        <v>-1.8299999999999996</v>
      </c>
      <c r="F59" s="24">
        <v>0.96819997578859329</v>
      </c>
    </row>
    <row r="60" spans="1:7" x14ac:dyDescent="0.35">
      <c r="A60" s="25" t="s">
        <v>10</v>
      </c>
      <c r="B60" s="25" t="s">
        <v>18</v>
      </c>
      <c r="C60" s="26">
        <v>5.8</v>
      </c>
      <c r="D60" s="25">
        <v>3.95</v>
      </c>
      <c r="E60" s="26">
        <f t="shared" si="0"/>
        <v>-1.8499999999999996</v>
      </c>
      <c r="F60" s="24">
        <v>0.84120000153779984</v>
      </c>
    </row>
    <row r="61" spans="1:7" x14ac:dyDescent="0.35">
      <c r="A61" s="25" t="s">
        <v>10</v>
      </c>
      <c r="B61" s="25" t="s">
        <v>18</v>
      </c>
      <c r="C61" s="26">
        <v>5.8</v>
      </c>
      <c r="D61" s="25">
        <v>3.96</v>
      </c>
      <c r="E61" s="26">
        <f t="shared" si="0"/>
        <v>-1.8399999999999999</v>
      </c>
      <c r="F61" s="24">
        <v>0.99230004101991653</v>
      </c>
    </row>
    <row r="62" spans="1:7" x14ac:dyDescent="0.35">
      <c r="A62" s="25" t="s">
        <v>19</v>
      </c>
      <c r="B62" s="25" t="s">
        <v>11</v>
      </c>
      <c r="C62" s="26">
        <v>4.8</v>
      </c>
      <c r="D62" s="25">
        <v>4.8600000000000003</v>
      </c>
      <c r="E62" s="26">
        <f t="shared" si="0"/>
        <v>6.0000000000000497E-2</v>
      </c>
      <c r="F62" s="36">
        <v>4.2799994349479675E-2</v>
      </c>
    </row>
    <row r="63" spans="1:7" x14ac:dyDescent="0.35">
      <c r="A63" s="25" t="s">
        <v>19</v>
      </c>
      <c r="B63" s="25" t="s">
        <v>11</v>
      </c>
      <c r="C63" s="26">
        <v>4.8</v>
      </c>
      <c r="D63" s="25">
        <v>4.8600000000000003</v>
      </c>
      <c r="E63" s="26">
        <f t="shared" si="0"/>
        <v>6.0000000000000497E-2</v>
      </c>
      <c r="F63" s="36">
        <v>3.8300000131130219E-2</v>
      </c>
      <c r="G63" s="30"/>
    </row>
    <row r="64" spans="1:7" x14ac:dyDescent="0.35">
      <c r="A64" s="25" t="s">
        <v>19</v>
      </c>
      <c r="B64" s="25" t="s">
        <v>11</v>
      </c>
      <c r="C64" s="26">
        <v>4.8</v>
      </c>
      <c r="D64" s="25">
        <v>4.8600000000000003</v>
      </c>
      <c r="E64" s="26">
        <f t="shared" si="0"/>
        <v>6.0000000000000497E-2</v>
      </c>
      <c r="F64" s="24">
        <v>4.3999999761581421E-2</v>
      </c>
      <c r="G64" s="30"/>
    </row>
    <row r="65" spans="1:7" x14ac:dyDescent="0.35">
      <c r="A65" s="25" t="s">
        <v>19</v>
      </c>
      <c r="B65" s="25" t="s">
        <v>5</v>
      </c>
      <c r="C65" s="26">
        <v>4.8</v>
      </c>
      <c r="D65" s="25">
        <v>4.8499999999999996</v>
      </c>
      <c r="E65" s="26">
        <f t="shared" si="0"/>
        <v>4.9999999999999822E-2</v>
      </c>
      <c r="F65" s="24">
        <v>4.6199992299079895E-2</v>
      </c>
      <c r="G65" s="30"/>
    </row>
    <row r="66" spans="1:7" x14ac:dyDescent="0.35">
      <c r="A66" s="25" t="s">
        <v>19</v>
      </c>
      <c r="B66" s="25" t="s">
        <v>5</v>
      </c>
      <c r="C66" s="26">
        <v>4.8</v>
      </c>
      <c r="D66" s="25">
        <v>4.8499999999999996</v>
      </c>
      <c r="E66" s="26">
        <f t="shared" si="0"/>
        <v>4.9999999999999822E-2</v>
      </c>
      <c r="F66" s="24">
        <v>4.2300000786781311E-2</v>
      </c>
      <c r="G66" s="30"/>
    </row>
    <row r="67" spans="1:7" x14ac:dyDescent="0.35">
      <c r="A67" s="25" t="s">
        <v>19</v>
      </c>
      <c r="B67" s="25" t="s">
        <v>5</v>
      </c>
      <c r="C67" s="26">
        <v>4.8</v>
      </c>
      <c r="D67" s="25">
        <v>4.84</v>
      </c>
      <c r="E67" s="26">
        <f t="shared" ref="E67:E130" si="1">D67-C67</f>
        <v>4.0000000000000036E-2</v>
      </c>
      <c r="F67" s="24">
        <v>4.479999840259552E-2</v>
      </c>
      <c r="G67" s="30"/>
    </row>
    <row r="68" spans="1:7" x14ac:dyDescent="0.35">
      <c r="A68" s="25" t="s">
        <v>19</v>
      </c>
      <c r="B68" s="25" t="s">
        <v>3</v>
      </c>
      <c r="C68" s="26">
        <v>4.8</v>
      </c>
      <c r="D68" s="25">
        <v>4.84</v>
      </c>
      <c r="E68" s="26">
        <f t="shared" si="1"/>
        <v>4.0000000000000036E-2</v>
      </c>
      <c r="F68" s="24">
        <v>4.7399997711181641E-2</v>
      </c>
      <c r="G68" s="30"/>
    </row>
    <row r="69" spans="1:7" x14ac:dyDescent="0.35">
      <c r="A69" s="25" t="s">
        <v>19</v>
      </c>
      <c r="B69" s="25" t="s">
        <v>3</v>
      </c>
      <c r="C69" s="26">
        <v>4.8</v>
      </c>
      <c r="D69" s="25">
        <v>4.84</v>
      </c>
      <c r="E69" s="26">
        <f t="shared" si="1"/>
        <v>4.0000000000000036E-2</v>
      </c>
      <c r="F69" s="24">
        <v>4.4300004839897156E-2</v>
      </c>
      <c r="G69" s="30"/>
    </row>
    <row r="70" spans="1:7" x14ac:dyDescent="0.35">
      <c r="A70" s="25" t="s">
        <v>19</v>
      </c>
      <c r="B70" s="25" t="s">
        <v>3</v>
      </c>
      <c r="C70" s="26">
        <v>4.8</v>
      </c>
      <c r="D70" s="25">
        <v>4.83</v>
      </c>
      <c r="E70" s="26">
        <f t="shared" si="1"/>
        <v>3.0000000000000249E-2</v>
      </c>
      <c r="F70" s="24">
        <v>4.4699996709823608E-2</v>
      </c>
      <c r="G70" s="30"/>
    </row>
    <row r="71" spans="1:7" x14ac:dyDescent="0.35">
      <c r="A71" s="25" t="s">
        <v>19</v>
      </c>
      <c r="B71" s="25" t="s">
        <v>12</v>
      </c>
      <c r="C71" s="26">
        <v>4.8</v>
      </c>
      <c r="D71" s="25">
        <v>4.8499999999999996</v>
      </c>
      <c r="E71" s="26">
        <f t="shared" si="1"/>
        <v>4.9999999999999822E-2</v>
      </c>
      <c r="F71" s="24">
        <v>4.6800002455711365E-2</v>
      </c>
      <c r="G71" s="30"/>
    </row>
    <row r="72" spans="1:7" x14ac:dyDescent="0.35">
      <c r="A72" s="25" t="s">
        <v>19</v>
      </c>
      <c r="B72" s="25" t="s">
        <v>12</v>
      </c>
      <c r="C72" s="26">
        <v>4.8</v>
      </c>
      <c r="D72" s="25">
        <v>4.84</v>
      </c>
      <c r="E72" s="26">
        <f t="shared" si="1"/>
        <v>4.0000000000000036E-2</v>
      </c>
      <c r="F72" s="24">
        <v>4.5499995350837708E-2</v>
      </c>
      <c r="G72" s="30"/>
    </row>
    <row r="73" spans="1:7" x14ac:dyDescent="0.35">
      <c r="A73" s="25" t="s">
        <v>19</v>
      </c>
      <c r="B73" s="25" t="s">
        <v>12</v>
      </c>
      <c r="C73" s="26">
        <v>4.8</v>
      </c>
      <c r="D73" s="25">
        <v>4.84</v>
      </c>
      <c r="E73" s="26">
        <f t="shared" si="1"/>
        <v>4.0000000000000036E-2</v>
      </c>
      <c r="F73" s="24">
        <v>4.5699998736381531E-2</v>
      </c>
      <c r="G73" s="30"/>
    </row>
    <row r="74" spans="1:7" x14ac:dyDescent="0.35">
      <c r="A74" s="25" t="s">
        <v>19</v>
      </c>
      <c r="B74" s="25" t="s">
        <v>13</v>
      </c>
      <c r="C74" s="26">
        <v>4.8</v>
      </c>
      <c r="D74" s="25">
        <v>4.71</v>
      </c>
      <c r="E74" s="26">
        <f t="shared" si="1"/>
        <v>-8.9999999999999858E-2</v>
      </c>
      <c r="F74" s="24">
        <v>0.12200000137090683</v>
      </c>
      <c r="G74" s="30"/>
    </row>
    <row r="75" spans="1:7" x14ac:dyDescent="0.35">
      <c r="A75" s="25" t="s">
        <v>19</v>
      </c>
      <c r="B75" s="25" t="s">
        <v>13</v>
      </c>
      <c r="C75" s="26">
        <v>4.8</v>
      </c>
      <c r="D75" s="25">
        <v>4.8099999999999996</v>
      </c>
      <c r="E75" s="26">
        <f t="shared" si="1"/>
        <v>9.9999999999997868E-3</v>
      </c>
      <c r="F75" s="24">
        <v>3.9500005543231964E-2</v>
      </c>
      <c r="G75" s="30"/>
    </row>
    <row r="76" spans="1:7" x14ac:dyDescent="0.35">
      <c r="A76" s="25" t="s">
        <v>19</v>
      </c>
      <c r="B76" s="25" t="s">
        <v>13</v>
      </c>
      <c r="C76" s="26">
        <v>4.8</v>
      </c>
      <c r="D76" s="25">
        <v>4.7300000000000004</v>
      </c>
      <c r="E76" s="26">
        <f t="shared" si="1"/>
        <v>-6.9999999999999396E-2</v>
      </c>
      <c r="F76" s="24">
        <v>0.10270000249147415</v>
      </c>
      <c r="G76" s="30"/>
    </row>
    <row r="77" spans="1:7" x14ac:dyDescent="0.35">
      <c r="A77" s="25" t="s">
        <v>19</v>
      </c>
      <c r="B77" s="25" t="s">
        <v>14</v>
      </c>
      <c r="C77" s="26">
        <v>4.8</v>
      </c>
      <c r="D77" s="25">
        <v>4.82</v>
      </c>
      <c r="E77" s="26">
        <f t="shared" si="1"/>
        <v>2.0000000000000462E-2</v>
      </c>
      <c r="F77" s="24">
        <v>5.5299989879131317E-2</v>
      </c>
      <c r="G77" s="30"/>
    </row>
    <row r="78" spans="1:7" x14ac:dyDescent="0.35">
      <c r="A78" s="25" t="s">
        <v>19</v>
      </c>
      <c r="B78" s="25" t="s">
        <v>14</v>
      </c>
      <c r="C78" s="26">
        <v>4.8</v>
      </c>
      <c r="D78" s="25">
        <v>4.82</v>
      </c>
      <c r="E78" s="26">
        <f t="shared" si="1"/>
        <v>2.0000000000000462E-2</v>
      </c>
      <c r="F78" s="24">
        <v>4.6199999749660492E-2</v>
      </c>
      <c r="G78" s="30"/>
    </row>
    <row r="79" spans="1:7" x14ac:dyDescent="0.35">
      <c r="A79" s="25" t="s">
        <v>19</v>
      </c>
      <c r="B79" s="25" t="s">
        <v>14</v>
      </c>
      <c r="C79" s="26">
        <v>4.8</v>
      </c>
      <c r="D79" s="25">
        <v>4.82</v>
      </c>
      <c r="E79" s="26">
        <f t="shared" si="1"/>
        <v>2.0000000000000462E-2</v>
      </c>
      <c r="F79" s="24">
        <v>4.6999998390674591E-2</v>
      </c>
      <c r="G79" s="30"/>
    </row>
    <row r="80" spans="1:7" x14ac:dyDescent="0.35">
      <c r="A80" s="25" t="s">
        <v>19</v>
      </c>
      <c r="B80" s="25" t="s">
        <v>15</v>
      </c>
      <c r="C80" s="26">
        <v>4.8</v>
      </c>
      <c r="D80" s="25">
        <v>4.75</v>
      </c>
      <c r="E80" s="26">
        <f t="shared" si="1"/>
        <v>-4.9999999999999822E-2</v>
      </c>
      <c r="F80" s="24">
        <v>0.10110000520944618</v>
      </c>
      <c r="G80" s="30"/>
    </row>
    <row r="81" spans="1:7" x14ac:dyDescent="0.35">
      <c r="A81" s="25" t="s">
        <v>19</v>
      </c>
      <c r="B81" s="25" t="s">
        <v>15</v>
      </c>
      <c r="C81" s="26">
        <v>4.8</v>
      </c>
      <c r="D81" s="25">
        <v>4.4000000000000004</v>
      </c>
      <c r="E81" s="26">
        <f t="shared" si="1"/>
        <v>-0.39999999999999947</v>
      </c>
      <c r="F81" s="24">
        <v>0.26149999350309372</v>
      </c>
      <c r="G81" s="30"/>
    </row>
    <row r="82" spans="1:7" x14ac:dyDescent="0.35">
      <c r="A82" s="25" t="s">
        <v>19</v>
      </c>
      <c r="B82" s="25" t="s">
        <v>15</v>
      </c>
      <c r="C82" s="26">
        <v>4.8</v>
      </c>
      <c r="D82" s="25">
        <v>4.43</v>
      </c>
      <c r="E82" s="26">
        <f t="shared" si="1"/>
        <v>-0.37000000000000011</v>
      </c>
      <c r="F82" s="24">
        <v>0.23349999636411667</v>
      </c>
      <c r="G82" s="30"/>
    </row>
    <row r="83" spans="1:7" x14ac:dyDescent="0.35">
      <c r="A83" s="25" t="s">
        <v>19</v>
      </c>
      <c r="B83" s="25" t="s">
        <v>16</v>
      </c>
      <c r="C83" s="26">
        <v>4.8</v>
      </c>
      <c r="D83" s="25">
        <v>4.72</v>
      </c>
      <c r="E83" s="26">
        <f t="shared" si="1"/>
        <v>-8.0000000000000071E-2</v>
      </c>
      <c r="F83" s="24">
        <v>0.14070000499486923</v>
      </c>
      <c r="G83" s="30"/>
    </row>
    <row r="84" spans="1:7" x14ac:dyDescent="0.35">
      <c r="A84" s="25" t="s">
        <v>19</v>
      </c>
      <c r="B84" s="25" t="s">
        <v>16</v>
      </c>
      <c r="C84" s="26">
        <v>4.8</v>
      </c>
      <c r="D84" s="25">
        <v>4.76</v>
      </c>
      <c r="E84" s="26">
        <f t="shared" si="1"/>
        <v>-4.0000000000000036E-2</v>
      </c>
      <c r="F84" s="24">
        <v>9.9799998104572296E-2</v>
      </c>
      <c r="G84" s="30"/>
    </row>
    <row r="85" spans="1:7" x14ac:dyDescent="0.35">
      <c r="A85" s="25" t="s">
        <v>19</v>
      </c>
      <c r="B85" s="25" t="s">
        <v>16</v>
      </c>
      <c r="C85" s="26">
        <v>4.8</v>
      </c>
      <c r="D85" s="25">
        <v>4.78</v>
      </c>
      <c r="E85" s="26">
        <f t="shared" si="1"/>
        <v>-1.9999999999999574E-2</v>
      </c>
      <c r="F85" s="24">
        <v>9.0599991381168365E-2</v>
      </c>
      <c r="G85" s="30"/>
    </row>
    <row r="86" spans="1:7" x14ac:dyDescent="0.35">
      <c r="A86" s="25" t="s">
        <v>19</v>
      </c>
      <c r="B86" s="25" t="s">
        <v>17</v>
      </c>
      <c r="C86" s="26">
        <v>4.8</v>
      </c>
      <c r="D86" s="25">
        <v>4.84</v>
      </c>
      <c r="E86" s="26">
        <f t="shared" si="1"/>
        <v>4.0000000000000036E-2</v>
      </c>
      <c r="F86" s="24">
        <v>7.3900006711483002E-2</v>
      </c>
      <c r="G86" s="30"/>
    </row>
    <row r="87" spans="1:7" x14ac:dyDescent="0.35">
      <c r="A87" s="25" t="s">
        <v>19</v>
      </c>
      <c r="B87" s="25" t="s">
        <v>17</v>
      </c>
      <c r="C87" s="26">
        <v>4.8</v>
      </c>
      <c r="D87" s="25">
        <v>4.84</v>
      </c>
      <c r="E87" s="26">
        <f t="shared" si="1"/>
        <v>4.0000000000000036E-2</v>
      </c>
      <c r="F87" s="24">
        <v>6.6299997270107269E-2</v>
      </c>
      <c r="G87" s="30"/>
    </row>
    <row r="88" spans="1:7" x14ac:dyDescent="0.35">
      <c r="A88" s="25" t="s">
        <v>19</v>
      </c>
      <c r="B88" s="25" t="s">
        <v>17</v>
      </c>
      <c r="C88" s="26">
        <v>4.8</v>
      </c>
      <c r="D88" s="25">
        <v>4.84</v>
      </c>
      <c r="E88" s="26">
        <f t="shared" si="1"/>
        <v>4.0000000000000036E-2</v>
      </c>
      <c r="F88" s="24">
        <v>6.8800009787082672E-2</v>
      </c>
      <c r="G88" s="30"/>
    </row>
    <row r="89" spans="1:7" x14ac:dyDescent="0.35">
      <c r="A89" s="25" t="s">
        <v>19</v>
      </c>
      <c r="B89" s="25" t="s">
        <v>18</v>
      </c>
      <c r="C89" s="26">
        <v>4.8</v>
      </c>
      <c r="D89" s="25">
        <v>4.84</v>
      </c>
      <c r="E89" s="26">
        <f t="shared" si="1"/>
        <v>4.0000000000000036E-2</v>
      </c>
      <c r="F89" s="24">
        <v>8.2299999892711639E-2</v>
      </c>
      <c r="G89" s="30"/>
    </row>
    <row r="90" spans="1:7" x14ac:dyDescent="0.35">
      <c r="A90" s="25" t="s">
        <v>19</v>
      </c>
      <c r="B90" s="25" t="s">
        <v>18</v>
      </c>
      <c r="C90" s="26">
        <v>4.8</v>
      </c>
      <c r="D90" s="25">
        <v>4.84</v>
      </c>
      <c r="E90" s="26">
        <f t="shared" si="1"/>
        <v>4.0000000000000036E-2</v>
      </c>
      <c r="F90" s="24">
        <v>6.9699995219707489E-2</v>
      </c>
      <c r="G90" s="30"/>
    </row>
    <row r="91" spans="1:7" x14ac:dyDescent="0.35">
      <c r="A91" s="25" t="s">
        <v>19</v>
      </c>
      <c r="B91" s="25" t="s">
        <v>18</v>
      </c>
      <c r="C91" s="26">
        <v>4.8</v>
      </c>
      <c r="D91" s="25">
        <v>4.84</v>
      </c>
      <c r="E91" s="26">
        <f t="shared" si="1"/>
        <v>4.0000000000000036E-2</v>
      </c>
      <c r="F91" s="24">
        <v>6.9599993526935577E-2</v>
      </c>
      <c r="G91" s="30"/>
    </row>
    <row r="92" spans="1:7" x14ac:dyDescent="0.35">
      <c r="A92" s="25" t="s">
        <v>19</v>
      </c>
      <c r="B92" s="25" t="s">
        <v>11</v>
      </c>
      <c r="C92" s="26">
        <v>5.8</v>
      </c>
      <c r="D92" s="25">
        <v>6.48</v>
      </c>
      <c r="E92" s="26">
        <f t="shared" si="1"/>
        <v>0.6800000000000006</v>
      </c>
      <c r="F92" s="24">
        <v>9.0299993753433228E-2</v>
      </c>
      <c r="G92" s="30"/>
    </row>
    <row r="93" spans="1:7" x14ac:dyDescent="0.35">
      <c r="A93" s="25" t="s">
        <v>19</v>
      </c>
      <c r="B93" s="25" t="s">
        <v>11</v>
      </c>
      <c r="C93" s="26">
        <v>5.8</v>
      </c>
      <c r="D93" s="25">
        <v>6.44</v>
      </c>
      <c r="E93" s="26">
        <f t="shared" si="1"/>
        <v>0.64000000000000057</v>
      </c>
      <c r="F93" s="24">
        <v>8.449999988079071E-2</v>
      </c>
      <c r="G93" s="30"/>
    </row>
    <row r="94" spans="1:7" x14ac:dyDescent="0.35">
      <c r="A94" s="25" t="s">
        <v>19</v>
      </c>
      <c r="B94" s="25" t="s">
        <v>11</v>
      </c>
      <c r="C94" s="26">
        <v>5.8</v>
      </c>
      <c r="D94" s="25">
        <v>6.43</v>
      </c>
      <c r="E94" s="26">
        <f t="shared" si="1"/>
        <v>0.62999999999999989</v>
      </c>
      <c r="F94" s="24">
        <v>8.5800006985664368E-2</v>
      </c>
      <c r="G94" s="30"/>
    </row>
    <row r="95" spans="1:7" x14ac:dyDescent="0.35">
      <c r="A95" s="25" t="s">
        <v>19</v>
      </c>
      <c r="B95" s="25" t="s">
        <v>5</v>
      </c>
      <c r="C95" s="26">
        <v>5.8</v>
      </c>
      <c r="D95" s="25">
        <v>4.0999999999999996</v>
      </c>
      <c r="E95" s="26">
        <f t="shared" si="1"/>
        <v>-1.7000000000000002</v>
      </c>
      <c r="F95" s="24">
        <v>0.55059999227523804</v>
      </c>
      <c r="G95" s="30"/>
    </row>
    <row r="96" spans="1:7" x14ac:dyDescent="0.35">
      <c r="A96" s="25" t="s">
        <v>19</v>
      </c>
      <c r="B96" s="25" t="s">
        <v>5</v>
      </c>
      <c r="C96" s="26">
        <v>5.8</v>
      </c>
      <c r="D96" s="25">
        <v>4.07</v>
      </c>
      <c r="E96" s="26">
        <f t="shared" si="1"/>
        <v>-1.7299999999999995</v>
      </c>
      <c r="F96" s="24">
        <v>0.40929999947547913</v>
      </c>
      <c r="G96" s="30"/>
    </row>
    <row r="97" spans="1:7" x14ac:dyDescent="0.35">
      <c r="A97" s="25" t="s">
        <v>19</v>
      </c>
      <c r="B97" s="25" t="s">
        <v>5</v>
      </c>
      <c r="C97" s="26">
        <v>5.8</v>
      </c>
      <c r="D97" s="25">
        <v>4.07</v>
      </c>
      <c r="E97" s="26">
        <f t="shared" si="1"/>
        <v>-1.7299999999999995</v>
      </c>
      <c r="F97" s="24">
        <v>0.44590002298355103</v>
      </c>
      <c r="G97" s="30"/>
    </row>
    <row r="98" spans="1:7" x14ac:dyDescent="0.35">
      <c r="A98" s="25" t="s">
        <v>19</v>
      </c>
      <c r="B98" s="25" t="s">
        <v>3</v>
      </c>
      <c r="C98" s="26">
        <v>5.8</v>
      </c>
      <c r="D98" s="25">
        <v>3.96</v>
      </c>
      <c r="E98" s="26">
        <f t="shared" si="1"/>
        <v>-1.8399999999999999</v>
      </c>
      <c r="F98" s="24">
        <v>0.8489999920129776</v>
      </c>
      <c r="G98" s="30"/>
    </row>
    <row r="99" spans="1:7" x14ac:dyDescent="0.35">
      <c r="A99" s="25" t="s">
        <v>19</v>
      </c>
      <c r="B99" s="25" t="s">
        <v>3</v>
      </c>
      <c r="C99" s="26">
        <v>5.8</v>
      </c>
      <c r="D99" s="25">
        <v>3.97</v>
      </c>
      <c r="E99" s="26">
        <f t="shared" si="1"/>
        <v>-1.8299999999999996</v>
      </c>
      <c r="F99" s="24">
        <v>0.80130000412464142</v>
      </c>
      <c r="G99" s="30"/>
    </row>
    <row r="100" spans="1:7" x14ac:dyDescent="0.35">
      <c r="A100" s="25" t="s">
        <v>19</v>
      </c>
      <c r="B100" s="25" t="s">
        <v>3</v>
      </c>
      <c r="C100" s="26">
        <v>5.8</v>
      </c>
      <c r="D100" s="25">
        <v>3.95</v>
      </c>
      <c r="E100" s="26">
        <f t="shared" si="1"/>
        <v>-1.8499999999999996</v>
      </c>
      <c r="F100" s="24">
        <v>0.8718000203371048</v>
      </c>
      <c r="G100" s="30"/>
    </row>
    <row r="101" spans="1:7" x14ac:dyDescent="0.35">
      <c r="A101" s="25" t="s">
        <v>19</v>
      </c>
      <c r="B101" s="25" t="s">
        <v>12</v>
      </c>
      <c r="C101" s="26">
        <v>5.8</v>
      </c>
      <c r="D101" s="25">
        <v>3.98</v>
      </c>
      <c r="E101" s="26">
        <f t="shared" si="1"/>
        <v>-1.8199999999999998</v>
      </c>
      <c r="F101" s="24">
        <v>0.83979998528957367</v>
      </c>
      <c r="G101" s="30"/>
    </row>
    <row r="102" spans="1:7" x14ac:dyDescent="0.35">
      <c r="A102" s="25" t="s">
        <v>19</v>
      </c>
      <c r="B102" s="25" t="s">
        <v>12</v>
      </c>
      <c r="C102" s="26">
        <v>5.8</v>
      </c>
      <c r="D102" s="25">
        <v>3.97</v>
      </c>
      <c r="E102" s="26">
        <f t="shared" si="1"/>
        <v>-1.8299999999999996</v>
      </c>
      <c r="F102" s="24">
        <v>0.66680000722408295</v>
      </c>
      <c r="G102" s="30"/>
    </row>
    <row r="103" spans="1:7" x14ac:dyDescent="0.35">
      <c r="A103" s="25" t="s">
        <v>19</v>
      </c>
      <c r="B103" s="25" t="s">
        <v>12</v>
      </c>
      <c r="C103" s="26">
        <v>5.8</v>
      </c>
      <c r="D103" s="25">
        <v>3.96</v>
      </c>
      <c r="E103" s="26">
        <f t="shared" si="1"/>
        <v>-1.8399999999999999</v>
      </c>
      <c r="F103" s="24">
        <v>0.75770001113414764</v>
      </c>
      <c r="G103" s="30"/>
    </row>
    <row r="104" spans="1:7" x14ac:dyDescent="0.35">
      <c r="A104" s="25" t="s">
        <v>19</v>
      </c>
      <c r="B104" s="25" t="s">
        <v>13</v>
      </c>
      <c r="C104" s="26">
        <v>5.8</v>
      </c>
      <c r="D104" s="25">
        <v>3.97</v>
      </c>
      <c r="E104" s="26">
        <f t="shared" si="1"/>
        <v>-1.8299999999999996</v>
      </c>
      <c r="F104" s="24">
        <v>0.87849997729063034</v>
      </c>
      <c r="G104" s="30"/>
    </row>
    <row r="105" spans="1:7" x14ac:dyDescent="0.35">
      <c r="A105" s="25" t="s">
        <v>19</v>
      </c>
      <c r="B105" s="25" t="s">
        <v>13</v>
      </c>
      <c r="C105" s="26">
        <v>5.8</v>
      </c>
      <c r="D105" s="25">
        <v>3.96</v>
      </c>
      <c r="E105" s="26">
        <f t="shared" si="1"/>
        <v>-1.8399999999999999</v>
      </c>
      <c r="F105" s="24">
        <v>0.80540000647306442</v>
      </c>
      <c r="G105" s="30"/>
    </row>
    <row r="106" spans="1:7" x14ac:dyDescent="0.35">
      <c r="A106" s="25" t="s">
        <v>19</v>
      </c>
      <c r="B106" s="25" t="s">
        <v>13</v>
      </c>
      <c r="C106" s="26">
        <v>5.8</v>
      </c>
      <c r="D106" s="25">
        <v>3.96</v>
      </c>
      <c r="E106" s="26">
        <f t="shared" si="1"/>
        <v>-1.8399999999999999</v>
      </c>
      <c r="F106" s="24">
        <v>0.81969999521970749</v>
      </c>
      <c r="G106" s="30"/>
    </row>
    <row r="107" spans="1:7" x14ac:dyDescent="0.35">
      <c r="A107" s="25" t="s">
        <v>19</v>
      </c>
      <c r="B107" s="25" t="s">
        <v>14</v>
      </c>
      <c r="C107" s="26">
        <v>5.8</v>
      </c>
      <c r="D107" s="25">
        <v>3.93</v>
      </c>
      <c r="E107" s="26">
        <f t="shared" si="1"/>
        <v>-1.8699999999999997</v>
      </c>
      <c r="F107" s="24">
        <v>1.1050000116229057</v>
      </c>
      <c r="G107" s="30"/>
    </row>
    <row r="108" spans="1:7" x14ac:dyDescent="0.35">
      <c r="A108" s="25" t="s">
        <v>19</v>
      </c>
      <c r="B108" s="25" t="s">
        <v>14</v>
      </c>
      <c r="C108" s="26">
        <v>5.8</v>
      </c>
      <c r="D108" s="25">
        <v>3.89</v>
      </c>
      <c r="E108" s="26">
        <f t="shared" si="1"/>
        <v>-1.9099999999999997</v>
      </c>
      <c r="F108" s="24">
        <v>1.0930000469088554</v>
      </c>
      <c r="G108" s="30"/>
    </row>
    <row r="109" spans="1:7" x14ac:dyDescent="0.35">
      <c r="A109" s="25" t="s">
        <v>19</v>
      </c>
      <c r="B109" s="25" t="s">
        <v>14</v>
      </c>
      <c r="C109" s="26">
        <v>5.8</v>
      </c>
      <c r="D109" s="25">
        <v>3.88</v>
      </c>
      <c r="E109" s="26">
        <f t="shared" si="1"/>
        <v>-1.92</v>
      </c>
      <c r="F109" s="24">
        <v>1.0846999809145927</v>
      </c>
      <c r="G109" s="30"/>
    </row>
    <row r="110" spans="1:7" x14ac:dyDescent="0.35">
      <c r="A110" s="25" t="s">
        <v>19</v>
      </c>
      <c r="B110" s="25" t="s">
        <v>15</v>
      </c>
      <c r="C110" s="26">
        <v>5.8</v>
      </c>
      <c r="D110" s="25">
        <v>3.86</v>
      </c>
      <c r="E110" s="26">
        <f t="shared" si="1"/>
        <v>-1.94</v>
      </c>
      <c r="F110" s="24">
        <v>0.93590002506971359</v>
      </c>
      <c r="G110" s="30"/>
    </row>
    <row r="111" spans="1:7" x14ac:dyDescent="0.35">
      <c r="A111" s="25" t="s">
        <v>19</v>
      </c>
      <c r="B111" s="25" t="s">
        <v>15</v>
      </c>
      <c r="C111" s="26">
        <v>5.8</v>
      </c>
      <c r="D111" s="25">
        <v>3.86</v>
      </c>
      <c r="E111" s="26">
        <f t="shared" si="1"/>
        <v>-1.94</v>
      </c>
      <c r="F111" s="24">
        <v>0.82929997891187668</v>
      </c>
      <c r="G111" s="30"/>
    </row>
    <row r="112" spans="1:7" x14ac:dyDescent="0.35">
      <c r="A112" s="25" t="s">
        <v>19</v>
      </c>
      <c r="B112" s="25" t="s">
        <v>15</v>
      </c>
      <c r="C112" s="26">
        <v>5.8</v>
      </c>
      <c r="D112" s="25">
        <v>3.85</v>
      </c>
      <c r="E112" s="26">
        <f t="shared" si="1"/>
        <v>-1.9499999999999997</v>
      </c>
      <c r="F112" s="24">
        <v>0.85930000990629196</v>
      </c>
      <c r="G112" s="30"/>
    </row>
    <row r="113" spans="1:7" x14ac:dyDescent="0.35">
      <c r="A113" s="25" t="s">
        <v>19</v>
      </c>
      <c r="B113" s="25" t="s">
        <v>16</v>
      </c>
      <c r="C113" s="26">
        <v>5.8</v>
      </c>
      <c r="D113" s="25">
        <v>3.96</v>
      </c>
      <c r="E113" s="26">
        <f t="shared" si="1"/>
        <v>-1.8399999999999999</v>
      </c>
      <c r="F113" s="24">
        <v>1.0778999552130699</v>
      </c>
      <c r="G113" s="30"/>
    </row>
    <row r="114" spans="1:7" x14ac:dyDescent="0.35">
      <c r="A114" s="25" t="s">
        <v>19</v>
      </c>
      <c r="B114" s="25" t="s">
        <v>16</v>
      </c>
      <c r="C114" s="26">
        <v>5.8</v>
      </c>
      <c r="D114" s="25">
        <v>3.95</v>
      </c>
      <c r="E114" s="26">
        <f t="shared" si="1"/>
        <v>-1.8499999999999996</v>
      </c>
      <c r="F114" s="24">
        <v>1.0888999924063683</v>
      </c>
      <c r="G114" s="30"/>
    </row>
    <row r="115" spans="1:7" x14ac:dyDescent="0.35">
      <c r="A115" s="25" t="s">
        <v>19</v>
      </c>
      <c r="B115" s="25" t="s">
        <v>16</v>
      </c>
      <c r="C115" s="26">
        <v>5.8</v>
      </c>
      <c r="D115" s="25">
        <v>3.95</v>
      </c>
      <c r="E115" s="26">
        <f t="shared" si="1"/>
        <v>-1.8499999999999996</v>
      </c>
      <c r="F115" s="24">
        <v>1.1343000158667564</v>
      </c>
      <c r="G115" s="30"/>
    </row>
    <row r="116" spans="1:7" x14ac:dyDescent="0.35">
      <c r="A116" s="25" t="s">
        <v>19</v>
      </c>
      <c r="B116" s="25" t="s">
        <v>17</v>
      </c>
      <c r="C116" s="26">
        <v>5.8</v>
      </c>
      <c r="D116" s="25">
        <v>5.28</v>
      </c>
      <c r="E116" s="26">
        <f t="shared" si="1"/>
        <v>-0.51999999999999957</v>
      </c>
      <c r="F116" s="24">
        <v>0.27260000258684158</v>
      </c>
      <c r="G116" s="30"/>
    </row>
    <row r="117" spans="1:7" x14ac:dyDescent="0.35">
      <c r="A117" s="25" t="s">
        <v>19</v>
      </c>
      <c r="B117" s="25" t="s">
        <v>17</v>
      </c>
      <c r="C117" s="26">
        <v>5.8</v>
      </c>
      <c r="D117" s="25">
        <v>5.27</v>
      </c>
      <c r="E117" s="26">
        <f t="shared" si="1"/>
        <v>-0.53000000000000025</v>
      </c>
      <c r="F117" s="24">
        <v>0.23020000010728836</v>
      </c>
      <c r="G117" s="30"/>
    </row>
    <row r="118" spans="1:7" x14ac:dyDescent="0.35">
      <c r="A118" s="25" t="s">
        <v>19</v>
      </c>
      <c r="B118" s="25" t="s">
        <v>17</v>
      </c>
      <c r="C118" s="26">
        <v>5.8</v>
      </c>
      <c r="D118" s="25">
        <v>5.28</v>
      </c>
      <c r="E118" s="26">
        <f t="shared" si="1"/>
        <v>-0.51999999999999957</v>
      </c>
      <c r="F118" s="24">
        <v>0.23429999500513077</v>
      </c>
      <c r="G118" s="30"/>
    </row>
    <row r="119" spans="1:7" x14ac:dyDescent="0.35">
      <c r="A119" s="25" t="s">
        <v>19</v>
      </c>
      <c r="B119" s="25" t="s">
        <v>18</v>
      </c>
      <c r="C119" s="26">
        <v>5.8</v>
      </c>
      <c r="D119" s="25">
        <v>3.95</v>
      </c>
      <c r="E119" s="26">
        <f t="shared" si="1"/>
        <v>-1.8499999999999996</v>
      </c>
      <c r="F119" s="24">
        <v>0.80229998379945755</v>
      </c>
      <c r="G119" s="30"/>
    </row>
    <row r="120" spans="1:7" x14ac:dyDescent="0.35">
      <c r="A120" s="25" t="s">
        <v>19</v>
      </c>
      <c r="B120" s="25" t="s">
        <v>18</v>
      </c>
      <c r="C120" s="26">
        <v>5.8</v>
      </c>
      <c r="D120" s="25">
        <v>3.89</v>
      </c>
      <c r="E120" s="26">
        <f t="shared" si="1"/>
        <v>-1.9099999999999997</v>
      </c>
      <c r="F120" s="24">
        <v>0.78539998084306717</v>
      </c>
      <c r="G120" s="30"/>
    </row>
    <row r="121" spans="1:7" x14ac:dyDescent="0.35">
      <c r="A121" s="25" t="s">
        <v>19</v>
      </c>
      <c r="B121" s="25" t="s">
        <v>18</v>
      </c>
      <c r="C121" s="26">
        <v>5.8</v>
      </c>
      <c r="D121" s="25">
        <v>3.88</v>
      </c>
      <c r="E121" s="26">
        <f t="shared" si="1"/>
        <v>-1.92</v>
      </c>
      <c r="F121" s="24">
        <v>0.76349998265504837</v>
      </c>
      <c r="G121" s="30"/>
    </row>
    <row r="122" spans="1:7" x14ac:dyDescent="0.35">
      <c r="A122" s="25" t="s">
        <v>20</v>
      </c>
      <c r="B122" s="25" t="s">
        <v>11</v>
      </c>
      <c r="C122" s="26">
        <v>4.8</v>
      </c>
      <c r="D122" s="25">
        <v>4.79</v>
      </c>
      <c r="E122" s="26">
        <f t="shared" si="1"/>
        <v>-9.9999999999997868E-3</v>
      </c>
      <c r="F122" s="24">
        <v>6.4999997615814209E-2</v>
      </c>
      <c r="G122" s="30"/>
    </row>
    <row r="123" spans="1:7" x14ac:dyDescent="0.35">
      <c r="A123" s="25" t="s">
        <v>20</v>
      </c>
      <c r="B123" s="25" t="s">
        <v>11</v>
      </c>
      <c r="C123" s="26">
        <v>4.8</v>
      </c>
      <c r="D123" s="25">
        <v>4.8</v>
      </c>
      <c r="E123" s="26">
        <f t="shared" si="1"/>
        <v>0</v>
      </c>
      <c r="F123" s="24">
        <v>5.3599998354911804E-2</v>
      </c>
      <c r="G123" s="30"/>
    </row>
    <row r="124" spans="1:7" x14ac:dyDescent="0.35">
      <c r="A124" s="25" t="s">
        <v>20</v>
      </c>
      <c r="B124" s="25" t="s">
        <v>11</v>
      </c>
      <c r="C124" s="26">
        <v>4.8</v>
      </c>
      <c r="D124" s="25">
        <v>4.8</v>
      </c>
      <c r="E124" s="26">
        <f t="shared" si="1"/>
        <v>0</v>
      </c>
      <c r="F124" s="24">
        <v>6.1599999666213989E-2</v>
      </c>
      <c r="G124" s="30"/>
    </row>
    <row r="125" spans="1:7" x14ac:dyDescent="0.35">
      <c r="A125" s="25" t="s">
        <v>20</v>
      </c>
      <c r="B125" s="25" t="s">
        <v>5</v>
      </c>
      <c r="C125" s="26">
        <v>4.8</v>
      </c>
      <c r="D125" s="25">
        <v>4.8</v>
      </c>
      <c r="E125" s="26">
        <f t="shared" si="1"/>
        <v>0</v>
      </c>
      <c r="F125" s="24">
        <v>6.1399996280670166E-2</v>
      </c>
      <c r="G125" s="30"/>
    </row>
    <row r="126" spans="1:7" x14ac:dyDescent="0.35">
      <c r="A126" s="25" t="s">
        <v>20</v>
      </c>
      <c r="B126" s="25" t="s">
        <v>5</v>
      </c>
      <c r="C126" s="26">
        <v>4.8</v>
      </c>
      <c r="D126" s="25">
        <v>4.8</v>
      </c>
      <c r="E126" s="26">
        <f t="shared" si="1"/>
        <v>0</v>
      </c>
      <c r="F126" s="24">
        <v>5.8899998664855957E-2</v>
      </c>
      <c r="G126" s="30"/>
    </row>
    <row r="127" spans="1:7" x14ac:dyDescent="0.35">
      <c r="A127" s="25" t="s">
        <v>20</v>
      </c>
      <c r="B127" s="25" t="s">
        <v>5</v>
      </c>
      <c r="C127" s="26">
        <v>4.8</v>
      </c>
      <c r="D127" s="25">
        <v>4.8</v>
      </c>
      <c r="E127" s="26">
        <f t="shared" si="1"/>
        <v>0</v>
      </c>
      <c r="F127" s="24">
        <v>6.3799992203712463E-2</v>
      </c>
      <c r="G127" s="30"/>
    </row>
    <row r="128" spans="1:7" x14ac:dyDescent="0.35">
      <c r="A128" s="25" t="s">
        <v>20</v>
      </c>
      <c r="B128" s="25" t="s">
        <v>3</v>
      </c>
      <c r="C128" s="26">
        <v>4.8</v>
      </c>
      <c r="D128" s="25">
        <v>4.7699999999999996</v>
      </c>
      <c r="E128" s="26">
        <f t="shared" si="1"/>
        <v>-3.0000000000000249E-2</v>
      </c>
      <c r="F128" s="24">
        <v>7.7199995517730713E-2</v>
      </c>
      <c r="G128" s="30"/>
    </row>
    <row r="129" spans="1:7" x14ac:dyDescent="0.35">
      <c r="A129" s="25" t="s">
        <v>20</v>
      </c>
      <c r="B129" s="25" t="s">
        <v>3</v>
      </c>
      <c r="C129" s="26">
        <v>4.8</v>
      </c>
      <c r="D129" s="25">
        <v>4.76</v>
      </c>
      <c r="E129" s="26">
        <f t="shared" si="1"/>
        <v>-4.0000000000000036E-2</v>
      </c>
      <c r="F129" s="24">
        <v>7.359999418258667E-2</v>
      </c>
      <c r="G129" s="30"/>
    </row>
    <row r="130" spans="1:7" x14ac:dyDescent="0.35">
      <c r="A130" s="25" t="s">
        <v>20</v>
      </c>
      <c r="B130" s="25" t="s">
        <v>3</v>
      </c>
      <c r="C130" s="26">
        <v>4.8</v>
      </c>
      <c r="D130" s="25">
        <v>4.76</v>
      </c>
      <c r="E130" s="26">
        <f t="shared" si="1"/>
        <v>-4.0000000000000036E-2</v>
      </c>
      <c r="F130" s="24">
        <v>7.9199999570846558E-2</v>
      </c>
      <c r="G130" s="30"/>
    </row>
    <row r="131" spans="1:7" x14ac:dyDescent="0.35">
      <c r="A131" s="25" t="s">
        <v>20</v>
      </c>
      <c r="B131" s="25" t="s">
        <v>12</v>
      </c>
      <c r="C131" s="26">
        <v>4.8</v>
      </c>
      <c r="D131" s="25">
        <v>4.78</v>
      </c>
      <c r="E131" s="26">
        <f t="shared" ref="E131:E181" si="2">D131-C131</f>
        <v>-1.9999999999999574E-2</v>
      </c>
      <c r="F131" s="24">
        <v>7.0299997925758362E-2</v>
      </c>
      <c r="G131" s="30"/>
    </row>
    <row r="132" spans="1:7" x14ac:dyDescent="0.35">
      <c r="A132" s="25" t="s">
        <v>20</v>
      </c>
      <c r="B132" s="25" t="s">
        <v>12</v>
      </c>
      <c r="C132" s="26">
        <v>4.8</v>
      </c>
      <c r="D132" s="25">
        <v>4.79</v>
      </c>
      <c r="E132" s="26">
        <f t="shared" si="2"/>
        <v>-9.9999999999997868E-3</v>
      </c>
      <c r="F132" s="24">
        <v>5.910000205039978E-2</v>
      </c>
      <c r="G132" s="30"/>
    </row>
    <row r="133" spans="1:7" x14ac:dyDescent="0.35">
      <c r="A133" s="25" t="s">
        <v>20</v>
      </c>
      <c r="B133" s="25" t="s">
        <v>12</v>
      </c>
      <c r="C133" s="26">
        <v>4.8</v>
      </c>
      <c r="D133" s="25">
        <v>4.79</v>
      </c>
      <c r="E133" s="26">
        <f t="shared" si="2"/>
        <v>-9.9999999999997868E-3</v>
      </c>
      <c r="F133" s="24">
        <v>6.2899991869926453E-2</v>
      </c>
      <c r="G133" s="30"/>
    </row>
    <row r="134" spans="1:7" x14ac:dyDescent="0.35">
      <c r="A134" s="25" t="s">
        <v>20</v>
      </c>
      <c r="B134" s="25" t="s">
        <v>13</v>
      </c>
      <c r="C134" s="26">
        <v>4.8</v>
      </c>
      <c r="D134" s="25">
        <v>4.7</v>
      </c>
      <c r="E134" s="26">
        <f t="shared" si="2"/>
        <v>-9.9999999999999645E-2</v>
      </c>
      <c r="F134" s="24">
        <v>0.1005999967455864</v>
      </c>
      <c r="G134" s="30"/>
    </row>
    <row r="135" spans="1:7" x14ac:dyDescent="0.35">
      <c r="A135" s="25" t="s">
        <v>20</v>
      </c>
      <c r="B135" s="25" t="s">
        <v>13</v>
      </c>
      <c r="C135" s="26">
        <v>4.8</v>
      </c>
      <c r="D135" s="25">
        <v>4.68</v>
      </c>
      <c r="E135" s="26">
        <f t="shared" si="2"/>
        <v>-0.12000000000000011</v>
      </c>
      <c r="F135" s="24">
        <v>9.4399996101856232E-2</v>
      </c>
      <c r="G135" s="30"/>
    </row>
    <row r="136" spans="1:7" x14ac:dyDescent="0.35">
      <c r="A136" s="25" t="s">
        <v>20</v>
      </c>
      <c r="B136" s="25" t="s">
        <v>13</v>
      </c>
      <c r="C136" s="26">
        <v>4.8</v>
      </c>
      <c r="D136" s="25">
        <v>4.68</v>
      </c>
      <c r="E136" s="26">
        <f t="shared" si="2"/>
        <v>-0.12000000000000011</v>
      </c>
      <c r="F136" s="24">
        <v>9.8700009286403656E-2</v>
      </c>
      <c r="G136" s="30"/>
    </row>
    <row r="137" spans="1:7" x14ac:dyDescent="0.35">
      <c r="A137" s="25" t="s">
        <v>20</v>
      </c>
      <c r="B137" s="25" t="s">
        <v>14</v>
      </c>
      <c r="C137" s="26">
        <v>4.8</v>
      </c>
      <c r="D137" s="25">
        <v>4.68</v>
      </c>
      <c r="E137" s="26">
        <f t="shared" si="2"/>
        <v>-0.12000000000000011</v>
      </c>
      <c r="F137" s="24">
        <v>9.429999440908432E-2</v>
      </c>
      <c r="G137" s="30"/>
    </row>
    <row r="138" spans="1:7" x14ac:dyDescent="0.35">
      <c r="A138" s="25" t="s">
        <v>20</v>
      </c>
      <c r="B138" s="25" t="s">
        <v>14</v>
      </c>
      <c r="C138" s="26">
        <v>4.8</v>
      </c>
      <c r="D138" s="25">
        <v>4.67</v>
      </c>
      <c r="E138" s="26">
        <f t="shared" si="2"/>
        <v>-0.12999999999999989</v>
      </c>
      <c r="F138" s="24">
        <v>9.4099991023540497E-2</v>
      </c>
      <c r="G138" s="30"/>
    </row>
    <row r="139" spans="1:7" x14ac:dyDescent="0.35">
      <c r="A139" s="25" t="s">
        <v>20</v>
      </c>
      <c r="B139" s="25" t="s">
        <v>14</v>
      </c>
      <c r="C139" s="26">
        <v>4.8</v>
      </c>
      <c r="D139" s="25">
        <v>4.68</v>
      </c>
      <c r="E139" s="26">
        <f t="shared" si="2"/>
        <v>-0.12000000000000011</v>
      </c>
      <c r="F139" s="24">
        <v>8.5900001227855682E-2</v>
      </c>
      <c r="G139" s="30"/>
    </row>
    <row r="140" spans="1:7" x14ac:dyDescent="0.35">
      <c r="A140" s="25" t="s">
        <v>20</v>
      </c>
      <c r="B140" s="25" t="s">
        <v>15</v>
      </c>
      <c r="C140" s="26">
        <v>4.8</v>
      </c>
      <c r="D140" s="25">
        <v>4.51</v>
      </c>
      <c r="E140" s="26">
        <f t="shared" si="2"/>
        <v>-0.29000000000000004</v>
      </c>
      <c r="F140" s="24">
        <v>0.11350000649690628</v>
      </c>
      <c r="G140" s="30"/>
    </row>
    <row r="141" spans="1:7" x14ac:dyDescent="0.35">
      <c r="A141" s="25" t="s">
        <v>20</v>
      </c>
      <c r="B141" s="25" t="s">
        <v>15</v>
      </c>
      <c r="C141" s="26">
        <v>4.8</v>
      </c>
      <c r="D141" s="25">
        <v>4.5199999999999996</v>
      </c>
      <c r="E141" s="26">
        <f t="shared" si="2"/>
        <v>-0.28000000000000025</v>
      </c>
      <c r="F141" s="24">
        <v>0.10710000246763229</v>
      </c>
      <c r="G141" s="30"/>
    </row>
    <row r="142" spans="1:7" x14ac:dyDescent="0.35">
      <c r="A142" s="25" t="s">
        <v>20</v>
      </c>
      <c r="B142" s="25" t="s">
        <v>15</v>
      </c>
      <c r="C142" s="26">
        <v>4.8</v>
      </c>
      <c r="D142" s="25">
        <v>4.53</v>
      </c>
      <c r="E142" s="26">
        <f t="shared" si="2"/>
        <v>-0.26999999999999957</v>
      </c>
      <c r="F142" s="24">
        <v>0.11389999836683273</v>
      </c>
      <c r="G142" s="30"/>
    </row>
    <row r="143" spans="1:7" x14ac:dyDescent="0.35">
      <c r="A143" s="25" t="s">
        <v>20</v>
      </c>
      <c r="B143" s="25" t="s">
        <v>16</v>
      </c>
      <c r="C143" s="26">
        <v>4.8</v>
      </c>
      <c r="D143" s="25">
        <v>4.42</v>
      </c>
      <c r="E143" s="26">
        <f t="shared" si="2"/>
        <v>-0.37999999999999989</v>
      </c>
      <c r="F143" s="24">
        <v>0.14750000089406967</v>
      </c>
      <c r="G143" s="30"/>
    </row>
    <row r="144" spans="1:7" x14ac:dyDescent="0.35">
      <c r="A144" s="25" t="s">
        <v>20</v>
      </c>
      <c r="B144" s="25" t="s">
        <v>16</v>
      </c>
      <c r="C144" s="26">
        <v>4.8</v>
      </c>
      <c r="D144" s="25">
        <v>4.3899999999999997</v>
      </c>
      <c r="E144" s="26">
        <f t="shared" si="2"/>
        <v>-0.41000000000000014</v>
      </c>
      <c r="F144" s="24">
        <v>0.17059998959302902</v>
      </c>
      <c r="G144" s="30"/>
    </row>
    <row r="145" spans="1:7" x14ac:dyDescent="0.35">
      <c r="A145" s="25" t="s">
        <v>20</v>
      </c>
      <c r="B145" s="25" t="s">
        <v>16</v>
      </c>
      <c r="C145" s="26">
        <v>4.8</v>
      </c>
      <c r="D145" s="25">
        <v>4.46</v>
      </c>
      <c r="E145" s="26">
        <f t="shared" si="2"/>
        <v>-0.33999999999999986</v>
      </c>
      <c r="F145" s="24">
        <v>0.14289999753236771</v>
      </c>
      <c r="G145" s="30"/>
    </row>
    <row r="146" spans="1:7" x14ac:dyDescent="0.35">
      <c r="A146" s="25" t="s">
        <v>20</v>
      </c>
      <c r="B146" s="25" t="s">
        <v>17</v>
      </c>
      <c r="C146" s="26">
        <v>4.8</v>
      </c>
      <c r="D146" s="25">
        <v>4.76</v>
      </c>
      <c r="E146" s="26">
        <f t="shared" si="2"/>
        <v>-4.0000000000000036E-2</v>
      </c>
      <c r="F146" s="24">
        <v>8.640000969171524E-2</v>
      </c>
      <c r="G146" s="30"/>
    </row>
    <row r="147" spans="1:7" x14ac:dyDescent="0.35">
      <c r="A147" s="25" t="s">
        <v>20</v>
      </c>
      <c r="B147" s="25" t="s">
        <v>17</v>
      </c>
      <c r="C147" s="26">
        <v>4.8</v>
      </c>
      <c r="D147" s="25">
        <v>4.76</v>
      </c>
      <c r="E147" s="26">
        <f t="shared" si="2"/>
        <v>-4.0000000000000036E-2</v>
      </c>
      <c r="F147" s="24">
        <v>7.890000194311142E-2</v>
      </c>
      <c r="G147" s="30"/>
    </row>
    <row r="148" spans="1:7" x14ac:dyDescent="0.35">
      <c r="A148" s="25" t="s">
        <v>20</v>
      </c>
      <c r="B148" s="25" t="s">
        <v>17</v>
      </c>
      <c r="C148" s="26">
        <v>4.8</v>
      </c>
      <c r="D148" s="25">
        <v>4.7699999999999996</v>
      </c>
      <c r="E148" s="26">
        <f t="shared" si="2"/>
        <v>-3.0000000000000249E-2</v>
      </c>
      <c r="F148" s="24">
        <v>8.8700003921985626E-2</v>
      </c>
      <c r="G148" s="30"/>
    </row>
    <row r="149" spans="1:7" x14ac:dyDescent="0.35">
      <c r="A149" s="25" t="s">
        <v>20</v>
      </c>
      <c r="B149" s="25" t="s">
        <v>18</v>
      </c>
      <c r="C149" s="26">
        <v>4.8</v>
      </c>
      <c r="D149" s="25">
        <v>4.75</v>
      </c>
      <c r="E149" s="26">
        <f t="shared" si="2"/>
        <v>-4.9999999999999822E-2</v>
      </c>
      <c r="F149" s="24">
        <v>0.10429999977350235</v>
      </c>
      <c r="G149" s="30"/>
    </row>
    <row r="150" spans="1:7" x14ac:dyDescent="0.35">
      <c r="A150" s="25" t="s">
        <v>20</v>
      </c>
      <c r="B150" s="25" t="s">
        <v>18</v>
      </c>
      <c r="C150" s="26">
        <v>4.8</v>
      </c>
      <c r="D150" s="25">
        <v>4.75</v>
      </c>
      <c r="E150" s="26">
        <f t="shared" si="2"/>
        <v>-4.9999999999999822E-2</v>
      </c>
      <c r="F150" s="24">
        <v>9.8599992692470551E-2</v>
      </c>
      <c r="G150" s="30"/>
    </row>
    <row r="151" spans="1:7" x14ac:dyDescent="0.35">
      <c r="A151" s="25" t="s">
        <v>20</v>
      </c>
      <c r="B151" s="25" t="s">
        <v>18</v>
      </c>
      <c r="C151" s="26">
        <v>4.8</v>
      </c>
      <c r="D151" s="25">
        <v>4.75</v>
      </c>
      <c r="E151" s="26">
        <f t="shared" si="2"/>
        <v>-4.9999999999999822E-2</v>
      </c>
      <c r="F151" s="24">
        <v>9.7099997103214264E-2</v>
      </c>
      <c r="G151" s="30"/>
    </row>
    <row r="152" spans="1:7" x14ac:dyDescent="0.35">
      <c r="A152" s="25" t="s">
        <v>20</v>
      </c>
      <c r="B152" s="25" t="s">
        <v>11</v>
      </c>
      <c r="C152" s="26">
        <v>5.8</v>
      </c>
      <c r="D152" s="25">
        <v>6.35</v>
      </c>
      <c r="E152" s="26">
        <f t="shared" si="2"/>
        <v>0.54999999999999982</v>
      </c>
      <c r="F152" s="24">
        <v>7.2799995541572571E-2</v>
      </c>
      <c r="G152" s="30"/>
    </row>
    <row r="153" spans="1:7" x14ac:dyDescent="0.35">
      <c r="A153" s="25" t="s">
        <v>20</v>
      </c>
      <c r="B153" s="25" t="s">
        <v>11</v>
      </c>
      <c r="C153" s="26">
        <v>5.8</v>
      </c>
      <c r="D153" s="25">
        <v>6.43</v>
      </c>
      <c r="E153" s="26">
        <f t="shared" si="2"/>
        <v>0.62999999999999989</v>
      </c>
      <c r="F153" s="24">
        <v>6.6300004720687866E-2</v>
      </c>
      <c r="G153" s="30"/>
    </row>
    <row r="154" spans="1:7" x14ac:dyDescent="0.35">
      <c r="A154" s="25" t="s">
        <v>20</v>
      </c>
      <c r="B154" s="25" t="s">
        <v>11</v>
      </c>
      <c r="C154" s="26">
        <v>5.8</v>
      </c>
      <c r="D154" s="25">
        <v>6.58</v>
      </c>
      <c r="E154" s="26">
        <f t="shared" si="2"/>
        <v>0.78000000000000025</v>
      </c>
      <c r="F154" s="24">
        <v>7.1799993515014648E-2</v>
      </c>
      <c r="G154" s="30"/>
    </row>
    <row r="155" spans="1:7" x14ac:dyDescent="0.35">
      <c r="A155" s="25" t="s">
        <v>20</v>
      </c>
      <c r="B155" s="25" t="s">
        <v>5</v>
      </c>
      <c r="C155" s="26">
        <v>5.8</v>
      </c>
      <c r="D155" s="25">
        <v>4.99</v>
      </c>
      <c r="E155" s="26">
        <f t="shared" si="2"/>
        <v>-0.80999999999999961</v>
      </c>
      <c r="F155" s="24">
        <v>0.52590000629425049</v>
      </c>
      <c r="G155" s="30"/>
    </row>
    <row r="156" spans="1:7" x14ac:dyDescent="0.35">
      <c r="A156" s="25" t="s">
        <v>20</v>
      </c>
      <c r="B156" s="25" t="s">
        <v>5</v>
      </c>
      <c r="C156" s="26">
        <v>5.8</v>
      </c>
      <c r="D156" s="25">
        <v>5.4</v>
      </c>
      <c r="E156" s="26">
        <f t="shared" si="2"/>
        <v>-0.39999999999999947</v>
      </c>
      <c r="F156" s="24">
        <v>0.34000000357627869</v>
      </c>
      <c r="G156" s="30"/>
    </row>
    <row r="157" spans="1:7" x14ac:dyDescent="0.35">
      <c r="A157" s="25" t="s">
        <v>20</v>
      </c>
      <c r="B157" s="25" t="s">
        <v>5</v>
      </c>
      <c r="C157" s="26">
        <v>5.8</v>
      </c>
      <c r="D157" s="25">
        <v>5.43</v>
      </c>
      <c r="E157" s="26">
        <f t="shared" si="2"/>
        <v>-0.37000000000000011</v>
      </c>
      <c r="F157" s="24">
        <v>0.35199999809265137</v>
      </c>
      <c r="G157" s="30"/>
    </row>
    <row r="158" spans="1:7" x14ac:dyDescent="0.35">
      <c r="A158" s="25" t="s">
        <v>20</v>
      </c>
      <c r="B158" s="25" t="s">
        <v>3</v>
      </c>
      <c r="C158" s="26">
        <v>5.8</v>
      </c>
      <c r="D158" s="25">
        <v>4.17</v>
      </c>
      <c r="E158" s="26">
        <f t="shared" si="2"/>
        <v>-1.63</v>
      </c>
      <c r="F158" s="24">
        <v>1.0112999826669693</v>
      </c>
      <c r="G158" s="30"/>
    </row>
    <row r="159" spans="1:7" x14ac:dyDescent="0.35">
      <c r="A159" s="25" t="s">
        <v>20</v>
      </c>
      <c r="B159" s="25" t="s">
        <v>3</v>
      </c>
      <c r="C159" s="26">
        <v>5.8</v>
      </c>
      <c r="D159" s="25">
        <v>4.07</v>
      </c>
      <c r="E159" s="26">
        <f t="shared" si="2"/>
        <v>-1.7299999999999995</v>
      </c>
      <c r="F159" s="24">
        <v>1.0366000086069107</v>
      </c>
      <c r="G159" s="30"/>
    </row>
    <row r="160" spans="1:7" x14ac:dyDescent="0.35">
      <c r="A160" s="25" t="s">
        <v>20</v>
      </c>
      <c r="B160" s="25" t="s">
        <v>3</v>
      </c>
      <c r="C160" s="26">
        <v>5.8</v>
      </c>
      <c r="D160" s="25">
        <v>4.07</v>
      </c>
      <c r="E160" s="26">
        <f t="shared" si="2"/>
        <v>-1.7299999999999995</v>
      </c>
      <c r="F160" s="24">
        <v>1.0019999891519547</v>
      </c>
      <c r="G160" s="30"/>
    </row>
    <row r="161" spans="1:7" x14ac:dyDescent="0.35">
      <c r="A161" s="25" t="s">
        <v>20</v>
      </c>
      <c r="B161" s="25" t="s">
        <v>12</v>
      </c>
      <c r="C161" s="26">
        <v>5.8</v>
      </c>
      <c r="D161" s="25">
        <v>4.47</v>
      </c>
      <c r="E161" s="26">
        <f t="shared" si="2"/>
        <v>-1.33</v>
      </c>
      <c r="F161" s="24">
        <v>0.86720000207424164</v>
      </c>
      <c r="G161" s="30"/>
    </row>
    <row r="162" spans="1:7" x14ac:dyDescent="0.35">
      <c r="A162" s="25" t="s">
        <v>20</v>
      </c>
      <c r="B162" s="25" t="s">
        <v>12</v>
      </c>
      <c r="C162" s="26">
        <v>5.8</v>
      </c>
      <c r="D162" s="25">
        <v>4.41</v>
      </c>
      <c r="E162" s="26">
        <f t="shared" si="2"/>
        <v>-1.3899999999999997</v>
      </c>
      <c r="F162" s="24">
        <v>1.0534000247716904</v>
      </c>
      <c r="G162" s="30"/>
    </row>
    <row r="163" spans="1:7" x14ac:dyDescent="0.35">
      <c r="A163" s="25" t="s">
        <v>20</v>
      </c>
      <c r="B163" s="25" t="s">
        <v>12</v>
      </c>
      <c r="C163" s="26">
        <v>5.8</v>
      </c>
      <c r="D163" s="25">
        <v>4.46</v>
      </c>
      <c r="E163" s="26">
        <f t="shared" si="2"/>
        <v>-1.3399999999999999</v>
      </c>
      <c r="F163" s="24">
        <v>0.93200002610683441</v>
      </c>
      <c r="G163" s="30"/>
    </row>
    <row r="164" spans="1:7" x14ac:dyDescent="0.35">
      <c r="A164" s="25" t="s">
        <v>20</v>
      </c>
      <c r="B164" s="25" t="s">
        <v>13</v>
      </c>
      <c r="C164" s="26">
        <v>5.8</v>
      </c>
      <c r="D164" s="25">
        <v>4.45</v>
      </c>
      <c r="E164" s="26">
        <f t="shared" si="2"/>
        <v>-1.3499999999999996</v>
      </c>
      <c r="F164" s="24">
        <v>0.8637000247836113</v>
      </c>
      <c r="G164" s="30"/>
    </row>
    <row r="165" spans="1:7" x14ac:dyDescent="0.35">
      <c r="A165" s="25" t="s">
        <v>20</v>
      </c>
      <c r="B165" s="25" t="s">
        <v>13</v>
      </c>
      <c r="C165" s="26">
        <v>5.8</v>
      </c>
      <c r="D165" s="25">
        <v>4.45</v>
      </c>
      <c r="E165" s="26">
        <f t="shared" si="2"/>
        <v>-1.3499999999999996</v>
      </c>
      <c r="F165" s="24">
        <v>0.90059994906187057</v>
      </c>
      <c r="G165" s="30"/>
    </row>
    <row r="166" spans="1:7" x14ac:dyDescent="0.35">
      <c r="A166" s="25" t="s">
        <v>20</v>
      </c>
      <c r="B166" s="25" t="s">
        <v>13</v>
      </c>
      <c r="C166" s="26">
        <v>5.8</v>
      </c>
      <c r="D166" s="25">
        <v>4.45</v>
      </c>
      <c r="E166" s="26">
        <f t="shared" si="2"/>
        <v>-1.3499999999999996</v>
      </c>
      <c r="F166" s="24">
        <v>0.84659998863935471</v>
      </c>
      <c r="G166" s="30"/>
    </row>
    <row r="167" spans="1:7" x14ac:dyDescent="0.35">
      <c r="A167" s="25" t="s">
        <v>20</v>
      </c>
      <c r="B167" s="25" t="s">
        <v>14</v>
      </c>
      <c r="C167" s="26">
        <v>5.8</v>
      </c>
      <c r="D167" s="25">
        <v>3.95</v>
      </c>
      <c r="E167" s="26">
        <f t="shared" si="2"/>
        <v>-1.8499999999999996</v>
      </c>
      <c r="F167" s="24">
        <v>1.00979994982481</v>
      </c>
      <c r="G167" s="30"/>
    </row>
    <row r="168" spans="1:7" x14ac:dyDescent="0.35">
      <c r="A168" s="25" t="s">
        <v>20</v>
      </c>
      <c r="B168" s="25" t="s">
        <v>14</v>
      </c>
      <c r="C168" s="26">
        <v>5.8</v>
      </c>
      <c r="D168" s="25">
        <v>3.93</v>
      </c>
      <c r="E168" s="26">
        <f t="shared" si="2"/>
        <v>-1.8699999999999997</v>
      </c>
      <c r="F168" s="24">
        <v>0.96049999445676804</v>
      </c>
      <c r="G168" s="30"/>
    </row>
    <row r="169" spans="1:7" x14ac:dyDescent="0.35">
      <c r="A169" s="25" t="s">
        <v>20</v>
      </c>
      <c r="B169" s="25" t="s">
        <v>14</v>
      </c>
      <c r="C169" s="26">
        <v>5.8</v>
      </c>
      <c r="D169" s="25"/>
      <c r="E169" s="26">
        <f t="shared" si="2"/>
        <v>-5.8</v>
      </c>
      <c r="F169" s="24">
        <v>0.98240005224943161</v>
      </c>
      <c r="G169" s="30"/>
    </row>
    <row r="170" spans="1:7" x14ac:dyDescent="0.35">
      <c r="A170" s="25" t="s">
        <v>20</v>
      </c>
      <c r="B170" s="25" t="s">
        <v>15</v>
      </c>
      <c r="C170" s="26">
        <v>5.8</v>
      </c>
      <c r="D170" s="25">
        <v>3.97</v>
      </c>
      <c r="E170" s="26">
        <f t="shared" si="2"/>
        <v>-1.8299999999999996</v>
      </c>
      <c r="F170" s="24">
        <v>0.9648999497294426</v>
      </c>
      <c r="G170" s="30"/>
    </row>
    <row r="171" spans="1:7" x14ac:dyDescent="0.35">
      <c r="A171" s="25" t="s">
        <v>20</v>
      </c>
      <c r="B171" s="25" t="s">
        <v>15</v>
      </c>
      <c r="C171" s="26">
        <v>5.8</v>
      </c>
      <c r="D171" s="25">
        <v>3.95</v>
      </c>
      <c r="E171" s="26">
        <f t="shared" si="2"/>
        <v>-1.8499999999999996</v>
      </c>
      <c r="F171" s="24">
        <v>1.0184000059962273</v>
      </c>
      <c r="G171" s="30"/>
    </row>
    <row r="172" spans="1:7" x14ac:dyDescent="0.35">
      <c r="A172" s="25" t="s">
        <v>20</v>
      </c>
      <c r="B172" s="25" t="s">
        <v>15</v>
      </c>
      <c r="C172" s="26">
        <v>5.8</v>
      </c>
      <c r="D172" s="25">
        <v>3.95</v>
      </c>
      <c r="E172" s="26">
        <f t="shared" si="2"/>
        <v>-1.8499999999999996</v>
      </c>
      <c r="F172" s="24">
        <v>1.0346999689936638</v>
      </c>
      <c r="G172" s="30"/>
    </row>
    <row r="173" spans="1:7" x14ac:dyDescent="0.35">
      <c r="A173" s="25" t="s">
        <v>20</v>
      </c>
      <c r="B173" s="25" t="s">
        <v>16</v>
      </c>
      <c r="C173" s="26">
        <v>5.8</v>
      </c>
      <c r="D173" s="25">
        <v>3.95</v>
      </c>
      <c r="E173" s="26">
        <f t="shared" si="2"/>
        <v>-1.8499999999999996</v>
      </c>
      <c r="F173" s="24">
        <v>1.2056999430060387</v>
      </c>
      <c r="G173" s="30"/>
    </row>
    <row r="174" spans="1:7" x14ac:dyDescent="0.35">
      <c r="A174" s="25" t="s">
        <v>20</v>
      </c>
      <c r="B174" s="25" t="s">
        <v>16</v>
      </c>
      <c r="C174" s="26">
        <v>5.8</v>
      </c>
      <c r="D174" s="25">
        <v>3.97</v>
      </c>
      <c r="E174" s="26">
        <f t="shared" si="2"/>
        <v>-1.8299999999999996</v>
      </c>
      <c r="F174" s="24">
        <v>1.1347999796271324</v>
      </c>
      <c r="G174" s="30"/>
    </row>
    <row r="175" spans="1:7" x14ac:dyDescent="0.35">
      <c r="A175" s="25" t="s">
        <v>20</v>
      </c>
      <c r="B175" s="25" t="s">
        <v>16</v>
      </c>
      <c r="C175" s="26">
        <v>5.8</v>
      </c>
      <c r="D175" s="25">
        <v>3.97</v>
      </c>
      <c r="E175" s="26">
        <f t="shared" si="2"/>
        <v>-1.8299999999999996</v>
      </c>
      <c r="F175" s="24">
        <v>1.1175999864935875</v>
      </c>
      <c r="G175" s="30"/>
    </row>
    <row r="176" spans="1:7" x14ac:dyDescent="0.35">
      <c r="A176" s="25" t="s">
        <v>20</v>
      </c>
      <c r="B176" s="25" t="s">
        <v>17</v>
      </c>
      <c r="C176" s="26">
        <v>5.8</v>
      </c>
      <c r="D176" s="25">
        <v>5.55</v>
      </c>
      <c r="E176" s="26">
        <f t="shared" si="2"/>
        <v>-0.25</v>
      </c>
      <c r="F176" s="24">
        <v>0.37370000034570694</v>
      </c>
      <c r="G176" s="30"/>
    </row>
    <row r="177" spans="1:7" x14ac:dyDescent="0.35">
      <c r="A177" s="25" t="s">
        <v>20</v>
      </c>
      <c r="B177" s="25" t="s">
        <v>17</v>
      </c>
      <c r="C177" s="26">
        <v>5.8</v>
      </c>
      <c r="D177" s="25">
        <v>5.57</v>
      </c>
      <c r="E177" s="26">
        <f t="shared" si="2"/>
        <v>-0.22999999999999954</v>
      </c>
      <c r="F177" s="24">
        <v>0.36649999767541885</v>
      </c>
      <c r="G177" s="30"/>
    </row>
    <row r="178" spans="1:7" x14ac:dyDescent="0.35">
      <c r="A178" s="25" t="s">
        <v>20</v>
      </c>
      <c r="B178" s="25" t="s">
        <v>17</v>
      </c>
      <c r="C178" s="26">
        <v>5.8</v>
      </c>
      <c r="D178" s="25">
        <v>5.58</v>
      </c>
      <c r="E178" s="26">
        <f t="shared" si="2"/>
        <v>-0.21999999999999975</v>
      </c>
      <c r="F178" s="24">
        <v>0.37720001488924026</v>
      </c>
      <c r="G178" s="30"/>
    </row>
    <row r="179" spans="1:7" x14ac:dyDescent="0.35">
      <c r="A179" s="25" t="s">
        <v>20</v>
      </c>
      <c r="B179" s="25" t="s">
        <v>18</v>
      </c>
      <c r="C179" s="26">
        <v>5.8</v>
      </c>
      <c r="D179" s="25">
        <v>5.24</v>
      </c>
      <c r="E179" s="26">
        <f t="shared" si="2"/>
        <v>-0.55999999999999961</v>
      </c>
      <c r="F179" s="24">
        <v>0.45870000869035721</v>
      </c>
      <c r="G179" s="30"/>
    </row>
    <row r="180" spans="1:7" x14ac:dyDescent="0.35">
      <c r="A180" s="25" t="s">
        <v>20</v>
      </c>
      <c r="B180" s="25" t="s">
        <v>18</v>
      </c>
      <c r="C180" s="26">
        <v>5.8</v>
      </c>
      <c r="D180" s="25">
        <v>5.24</v>
      </c>
      <c r="E180" s="26">
        <f t="shared" si="2"/>
        <v>-0.55999999999999961</v>
      </c>
      <c r="F180" s="24">
        <v>0.4585999920964241</v>
      </c>
      <c r="G180" s="30"/>
    </row>
    <row r="181" spans="1:7" x14ac:dyDescent="0.35">
      <c r="A181" s="25" t="s">
        <v>20</v>
      </c>
      <c r="B181" s="25" t="s">
        <v>18</v>
      </c>
      <c r="C181" s="26">
        <v>5.8</v>
      </c>
      <c r="D181" s="25">
        <v>5.26</v>
      </c>
      <c r="E181" s="26">
        <f t="shared" si="2"/>
        <v>-0.54</v>
      </c>
      <c r="F181" s="24">
        <v>0.46230001002550125</v>
      </c>
      <c r="G181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BC07-98A0-4437-8F43-6723CBDF517F}">
  <dimension ref="A1:E61"/>
  <sheetViews>
    <sheetView workbookViewId="0">
      <selection activeCell="A2" sqref="A2"/>
    </sheetView>
  </sheetViews>
  <sheetFormatPr defaultRowHeight="14.5" x14ac:dyDescent="0.35"/>
  <cols>
    <col min="1" max="1" width="17.08984375" bestFit="1" customWidth="1"/>
    <col min="2" max="2" width="12.453125" bestFit="1" customWidth="1"/>
    <col min="3" max="3" width="8.7265625" style="37"/>
    <col min="4" max="4" width="25.36328125" bestFit="1" customWidth="1"/>
  </cols>
  <sheetData>
    <row r="1" spans="1:5" x14ac:dyDescent="0.35">
      <c r="A1" s="35" t="s">
        <v>288</v>
      </c>
      <c r="B1" s="35" t="s">
        <v>289</v>
      </c>
      <c r="C1" s="38" t="s">
        <v>7</v>
      </c>
      <c r="D1" t="s">
        <v>291</v>
      </c>
      <c r="E1" t="s">
        <v>1</v>
      </c>
    </row>
    <row r="2" spans="1:5" x14ac:dyDescent="0.35">
      <c r="A2" s="25">
        <f ca="1">AVERAGE(OFFSET('OD+pH'!$F$2,(ROW()-ROW($A$2))*3,,3))</f>
        <v>-2.1766668806473415E-2</v>
      </c>
      <c r="B2" s="25">
        <v>3.1352966228944941</v>
      </c>
      <c r="C2" s="39">
        <v>4.8</v>
      </c>
      <c r="D2" t="s">
        <v>11</v>
      </c>
      <c r="E2" t="s">
        <v>10</v>
      </c>
    </row>
    <row r="3" spans="1:5" x14ac:dyDescent="0.35">
      <c r="A3" s="25">
        <f ca="1">AVERAGE(OFFSET('OD+pH'!$F$2,(ROW()-ROW($A$2))*3,,3))</f>
        <v>7.4433336655298873E-2</v>
      </c>
      <c r="B3" s="25">
        <v>1.8336875457552428</v>
      </c>
      <c r="C3" s="26">
        <v>4.8</v>
      </c>
      <c r="D3" t="s">
        <v>5</v>
      </c>
      <c r="E3" t="s">
        <v>10</v>
      </c>
    </row>
    <row r="4" spans="1:5" x14ac:dyDescent="0.35">
      <c r="A4" s="25">
        <f ca="1">AVERAGE(OFFSET('OD+pH'!$F$2,(ROW()-ROW($A$2))*3,,3))</f>
        <v>0.14173333346843719</v>
      </c>
      <c r="B4" s="25">
        <v>6.6475233692176801</v>
      </c>
      <c r="C4" s="26">
        <v>4.8</v>
      </c>
      <c r="D4" t="s">
        <v>3</v>
      </c>
      <c r="E4" t="s">
        <v>10</v>
      </c>
    </row>
    <row r="5" spans="1:5" x14ac:dyDescent="0.35">
      <c r="A5" s="25">
        <f ca="1">AVERAGE(OFFSET('OD+pH'!$F$2,(ROW()-ROW($A$2))*3,,3))</f>
        <v>0.14699999491373697</v>
      </c>
      <c r="B5" s="25">
        <v>2.6009689917284433</v>
      </c>
      <c r="C5" s="26">
        <v>4.8</v>
      </c>
      <c r="D5" t="s">
        <v>12</v>
      </c>
      <c r="E5" t="s">
        <v>10</v>
      </c>
    </row>
    <row r="6" spans="1:5" x14ac:dyDescent="0.35">
      <c r="A6" s="25">
        <f ca="1">AVERAGE(OFFSET('OD+pH'!$F$2,(ROW()-ROW($A$2))*3,,3))</f>
        <v>0.16433333605527878</v>
      </c>
      <c r="B6" s="25">
        <v>26.608244298112858</v>
      </c>
      <c r="C6" s="26">
        <v>4.8</v>
      </c>
      <c r="D6" t="s">
        <v>13</v>
      </c>
      <c r="E6" t="s">
        <v>10</v>
      </c>
    </row>
    <row r="7" spans="1:5" x14ac:dyDescent="0.35">
      <c r="A7" s="25">
        <f ca="1">AVERAGE(OFFSET('OD+pH'!$F$2,(ROW()-ROW($A$2))*3,,3))</f>
        <v>0.14496666441361108</v>
      </c>
      <c r="B7" s="25">
        <v>6.4324890786264639</v>
      </c>
      <c r="C7" s="26">
        <v>4.8</v>
      </c>
      <c r="D7" t="s">
        <v>14</v>
      </c>
      <c r="E7" t="s">
        <v>10</v>
      </c>
    </row>
    <row r="8" spans="1:5" x14ac:dyDescent="0.35">
      <c r="A8" s="25">
        <f ca="1">AVERAGE(OFFSET('OD+pH'!$F$2,(ROW()-ROW($A$2))*3,,3))</f>
        <v>0.14363333334525427</v>
      </c>
      <c r="B8" s="25">
        <v>2.3810475581692456</v>
      </c>
      <c r="C8" s="26">
        <v>4.8</v>
      </c>
      <c r="D8" t="s">
        <v>15</v>
      </c>
      <c r="E8" t="s">
        <v>10</v>
      </c>
    </row>
    <row r="9" spans="1:5" x14ac:dyDescent="0.35">
      <c r="A9" s="25">
        <f ca="1">AVERAGE(OFFSET('OD+pH'!$F$2,(ROW()-ROW($A$2))*3,,3))</f>
        <v>0.2268999939163526</v>
      </c>
      <c r="B9" s="25">
        <v>11.516746812983914</v>
      </c>
      <c r="C9" s="26">
        <v>4.8</v>
      </c>
      <c r="D9" t="s">
        <v>16</v>
      </c>
      <c r="E9" t="s">
        <v>10</v>
      </c>
    </row>
    <row r="10" spans="1:5" x14ac:dyDescent="0.35">
      <c r="A10" s="25">
        <f ca="1">AVERAGE(OFFSET('OD+pH'!$F$2,(ROW()-ROW($A$2))*3,,3))</f>
        <v>9.2466674745082855E-2</v>
      </c>
      <c r="B10" s="25">
        <v>3.974256165731433</v>
      </c>
      <c r="C10" s="26">
        <v>4.8</v>
      </c>
      <c r="D10" t="s">
        <v>17</v>
      </c>
      <c r="E10" t="s">
        <v>10</v>
      </c>
    </row>
    <row r="11" spans="1:5" x14ac:dyDescent="0.35">
      <c r="A11" s="25">
        <f ca="1">AVERAGE(OFFSET('OD+pH'!$F$2,(ROW()-ROW($A$2))*3,,3))</f>
        <v>0.12036666522423427</v>
      </c>
      <c r="B11" s="25">
        <v>4.585149036729204</v>
      </c>
      <c r="C11" s="26">
        <v>4.8</v>
      </c>
      <c r="D11" t="s">
        <v>18</v>
      </c>
      <c r="E11" t="s">
        <v>10</v>
      </c>
    </row>
    <row r="12" spans="1:5" x14ac:dyDescent="0.35">
      <c r="A12" s="25">
        <f ca="1">AVERAGE(OFFSET('OD+pH'!$F$2,(ROW()-ROW($A$2))*3,,3))</f>
        <v>5.8700000246365867E-2</v>
      </c>
      <c r="B12" s="25">
        <v>25.814898089643748</v>
      </c>
      <c r="C12" s="26">
        <v>5.8</v>
      </c>
      <c r="D12" t="s">
        <v>11</v>
      </c>
      <c r="E12" t="s">
        <v>10</v>
      </c>
    </row>
    <row r="13" spans="1:5" x14ac:dyDescent="0.35">
      <c r="A13" s="25">
        <f ca="1">AVERAGE(OFFSET('OD+pH'!$F$2,(ROW()-ROW($A$2))*3,,3))</f>
        <v>0.68723334868748986</v>
      </c>
      <c r="B13" s="25">
        <v>38.133756464270803</v>
      </c>
      <c r="C13" s="26">
        <v>5.8</v>
      </c>
      <c r="D13" t="s">
        <v>5</v>
      </c>
      <c r="E13" t="s">
        <v>10</v>
      </c>
    </row>
    <row r="14" spans="1:5" x14ac:dyDescent="0.35">
      <c r="A14" s="25">
        <f ca="1">AVERAGE(OFFSET('OD+pH'!$F$2,(ROW()-ROW($A$2))*3,,3))</f>
        <v>1.0250666687885921</v>
      </c>
      <c r="B14" s="25">
        <v>50.721407702136879</v>
      </c>
      <c r="C14" s="26">
        <v>5.8</v>
      </c>
      <c r="D14" t="s">
        <v>3</v>
      </c>
      <c r="E14" t="s">
        <v>10</v>
      </c>
    </row>
    <row r="15" spans="1:5" x14ac:dyDescent="0.35">
      <c r="A15" s="25">
        <f ca="1">AVERAGE(OFFSET('OD+pH'!$F$2,(ROW()-ROW($A$2))*3,,3))</f>
        <v>0.86819998919963837</v>
      </c>
      <c r="B15" s="25">
        <v>69.385406696860798</v>
      </c>
      <c r="C15" s="26">
        <v>5.8</v>
      </c>
      <c r="D15" t="s">
        <v>12</v>
      </c>
      <c r="E15" t="s">
        <v>10</v>
      </c>
    </row>
    <row r="16" spans="1:5" x14ac:dyDescent="0.35">
      <c r="A16" s="25">
        <f ca="1">AVERAGE(OFFSET('OD+pH'!$F$2,(ROW()-ROW($A$2))*3,,3))</f>
        <v>1.162966641287009</v>
      </c>
      <c r="B16" s="25">
        <v>95.650542054452956</v>
      </c>
      <c r="C16" s="26">
        <v>5.8</v>
      </c>
      <c r="D16" t="s">
        <v>13</v>
      </c>
      <c r="E16" t="s">
        <v>10</v>
      </c>
    </row>
    <row r="17" spans="1:5" x14ac:dyDescent="0.35">
      <c r="A17" s="25">
        <f ca="1">AVERAGE(OFFSET('OD+pH'!$F$2,(ROW()-ROW($A$2))*3,,3))</f>
        <v>1.2566333537300427</v>
      </c>
      <c r="B17" s="25">
        <v>35.978526415390675</v>
      </c>
      <c r="C17" s="26">
        <v>5.8</v>
      </c>
      <c r="D17" t="s">
        <v>14</v>
      </c>
      <c r="E17" t="s">
        <v>10</v>
      </c>
    </row>
    <row r="18" spans="1:5" x14ac:dyDescent="0.35">
      <c r="A18" s="25">
        <f ca="1">AVERAGE(OFFSET('OD+pH'!$F$2,(ROW()-ROW($A$2))*3,,3))</f>
        <v>1.2232999925812085</v>
      </c>
      <c r="B18" s="25">
        <v>40.319938418614825</v>
      </c>
      <c r="C18" s="26">
        <v>5.8</v>
      </c>
      <c r="D18" t="s">
        <v>15</v>
      </c>
      <c r="E18" t="s">
        <v>10</v>
      </c>
    </row>
    <row r="19" spans="1:5" x14ac:dyDescent="0.35">
      <c r="A19" s="25">
        <f ca="1">AVERAGE(OFFSET('OD+pH'!$F$2,(ROW()-ROW($A$2))*3,,3))</f>
        <v>1.266099991897742</v>
      </c>
      <c r="B19" s="25">
        <v>41.263157011435389</v>
      </c>
      <c r="C19" s="26">
        <v>5.8</v>
      </c>
      <c r="D19" t="s">
        <v>16</v>
      </c>
      <c r="E19" t="s">
        <v>10</v>
      </c>
    </row>
    <row r="20" spans="1:5" x14ac:dyDescent="0.35">
      <c r="A20" s="25">
        <f ca="1">AVERAGE(OFFSET('OD+pH'!$F$2,(ROW()-ROW($A$2))*3,,3))</f>
        <v>0.36850001166264218</v>
      </c>
      <c r="B20" s="25">
        <v>28.414858148610264</v>
      </c>
      <c r="C20" s="26">
        <v>5.8</v>
      </c>
      <c r="D20" t="s">
        <v>17</v>
      </c>
      <c r="E20" t="s">
        <v>10</v>
      </c>
    </row>
    <row r="21" spans="1:5" x14ac:dyDescent="0.35">
      <c r="A21" s="25">
        <f ca="1">AVERAGE(OFFSET('OD+pH'!$F$2,(ROW()-ROW($A$2))*3,,3))</f>
        <v>0.93390000611543655</v>
      </c>
      <c r="B21" s="25">
        <v>38.804924098540354</v>
      </c>
      <c r="C21" s="26">
        <v>5.8</v>
      </c>
      <c r="D21" t="s">
        <v>18</v>
      </c>
      <c r="E21" t="s">
        <v>10</v>
      </c>
    </row>
    <row r="22" spans="1:5" x14ac:dyDescent="0.35">
      <c r="A22" s="25">
        <f ca="1">AVERAGE(OFFSET('OD+pH'!$F$2,(ROW()-ROW($A$2))*3,,3))</f>
        <v>4.1699998080730438E-2</v>
      </c>
      <c r="B22" s="25">
        <v>0.72175753855841851</v>
      </c>
      <c r="C22" s="26">
        <v>4.8</v>
      </c>
      <c r="D22" t="s">
        <v>11</v>
      </c>
      <c r="E22" t="s">
        <v>19</v>
      </c>
    </row>
    <row r="23" spans="1:5" x14ac:dyDescent="0.35">
      <c r="A23" s="25">
        <f ca="1">AVERAGE(OFFSET('OD+pH'!$F$2,(ROW()-ROW($A$2))*3,,3))</f>
        <v>4.4433330496152244E-2</v>
      </c>
      <c r="B23" s="25">
        <v>-0.17719097378420057</v>
      </c>
      <c r="C23" s="26">
        <v>4.8</v>
      </c>
      <c r="D23" t="s">
        <v>5</v>
      </c>
      <c r="E23" t="s">
        <v>19</v>
      </c>
    </row>
    <row r="24" spans="1:5" x14ac:dyDescent="0.35">
      <c r="A24" s="25">
        <f ca="1">AVERAGE(OFFSET('OD+pH'!$F$2,(ROW()-ROW($A$2))*3,,3))</f>
        <v>4.5466666420300804E-2</v>
      </c>
      <c r="B24" s="25">
        <v>-0.17816097487655841</v>
      </c>
      <c r="C24" s="26">
        <v>4.8</v>
      </c>
      <c r="D24" t="s">
        <v>3</v>
      </c>
      <c r="E24" t="s">
        <v>19</v>
      </c>
    </row>
    <row r="25" spans="1:5" x14ac:dyDescent="0.35">
      <c r="A25" s="25">
        <f ca="1">AVERAGE(OFFSET('OD+pH'!$F$2,(ROW()-ROW($A$2))*3,,3))</f>
        <v>4.5999998847643532E-2</v>
      </c>
      <c r="B25" s="25">
        <v>-0.19731849645062557</v>
      </c>
      <c r="C25" s="26">
        <v>4.8</v>
      </c>
      <c r="D25" t="s">
        <v>12</v>
      </c>
      <c r="E25" t="s">
        <v>19</v>
      </c>
    </row>
    <row r="26" spans="1:5" x14ac:dyDescent="0.35">
      <c r="A26" s="25">
        <f ca="1">AVERAGE(OFFSET('OD+pH'!$F$2,(ROW()-ROW($A$2))*3,,3))</f>
        <v>8.8066669801870986E-2</v>
      </c>
      <c r="B26" s="25">
        <v>3.1045652219354283</v>
      </c>
      <c r="C26" s="26">
        <v>4.8</v>
      </c>
      <c r="D26" t="s">
        <v>13</v>
      </c>
      <c r="E26" t="s">
        <v>19</v>
      </c>
    </row>
    <row r="27" spans="1:5" x14ac:dyDescent="0.35">
      <c r="A27" s="25">
        <f ca="1">AVERAGE(OFFSET('OD+pH'!$F$2,(ROW()-ROW($A$2))*3,,3))</f>
        <v>4.94999960064888E-2</v>
      </c>
      <c r="B27" s="25">
        <v>0.27822453907780065</v>
      </c>
      <c r="C27" s="26">
        <v>4.8</v>
      </c>
      <c r="D27" t="s">
        <v>14</v>
      </c>
      <c r="E27" t="s">
        <v>19</v>
      </c>
    </row>
    <row r="28" spans="1:5" x14ac:dyDescent="0.35">
      <c r="A28" s="25">
        <f ca="1">AVERAGE(OFFSET('OD+pH'!$F$2,(ROW()-ROW($A$2))*3,,3))</f>
        <v>0.19869999835888552</v>
      </c>
      <c r="B28" s="25">
        <v>2.3933119209640492</v>
      </c>
      <c r="C28" s="26">
        <v>4.8</v>
      </c>
      <c r="D28" t="s">
        <v>15</v>
      </c>
      <c r="E28" t="s">
        <v>19</v>
      </c>
    </row>
    <row r="29" spans="1:5" x14ac:dyDescent="0.35">
      <c r="A29" s="25">
        <f ca="1">AVERAGE(OFFSET('OD+pH'!$F$2,(ROW()-ROW($A$2))*3,,3))</f>
        <v>0.11036666482686996</v>
      </c>
      <c r="B29" s="25">
        <v>1.3920282933776791</v>
      </c>
      <c r="C29" s="26">
        <v>4.8</v>
      </c>
      <c r="D29" t="s">
        <v>16</v>
      </c>
      <c r="E29" t="s">
        <v>19</v>
      </c>
    </row>
    <row r="30" spans="1:5" x14ac:dyDescent="0.35">
      <c r="A30" s="25">
        <f ca="1">AVERAGE(OFFSET('OD+pH'!$F$2,(ROW()-ROW($A$2))*3,,3))</f>
        <v>6.9666671256224319E-2</v>
      </c>
      <c r="B30" s="25">
        <v>0.65919246810133847</v>
      </c>
      <c r="C30" s="26">
        <v>4.8</v>
      </c>
      <c r="D30" t="s">
        <v>17</v>
      </c>
      <c r="E30" t="s">
        <v>19</v>
      </c>
    </row>
    <row r="31" spans="1:5" x14ac:dyDescent="0.35">
      <c r="A31" s="25">
        <f ca="1">AVERAGE(OFFSET('OD+pH'!$F$2,(ROW()-ROW($A$2))*3,,3))</f>
        <v>7.3866662879784897E-2</v>
      </c>
      <c r="B31" s="25">
        <v>0.60972241239108915</v>
      </c>
      <c r="C31" s="26">
        <v>4.8</v>
      </c>
      <c r="D31" t="s">
        <v>18</v>
      </c>
      <c r="E31" t="s">
        <v>19</v>
      </c>
    </row>
    <row r="32" spans="1:5" x14ac:dyDescent="0.35">
      <c r="A32" s="25">
        <f ca="1">AVERAGE(OFFSET('OD+pH'!$F$2,(ROW()-ROW($A$2))*3,,3))</f>
        <v>8.6866666873296097E-2</v>
      </c>
      <c r="B32" s="25">
        <v>23.667813279043585</v>
      </c>
      <c r="C32" s="26">
        <v>5.8</v>
      </c>
      <c r="D32" t="s">
        <v>11</v>
      </c>
      <c r="E32" t="s">
        <v>19</v>
      </c>
    </row>
    <row r="33" spans="1:5" x14ac:dyDescent="0.35">
      <c r="A33" s="25">
        <f ca="1">AVERAGE(OFFSET('OD+pH'!$F$2,(ROW()-ROW($A$2))*3,,3))</f>
        <v>0.46860000491142273</v>
      </c>
      <c r="B33" s="25">
        <v>6.1490347864834991</v>
      </c>
      <c r="C33" s="26">
        <v>5.8</v>
      </c>
      <c r="D33" t="s">
        <v>5</v>
      </c>
      <c r="E33" t="s">
        <v>19</v>
      </c>
    </row>
    <row r="34" spans="1:5" x14ac:dyDescent="0.35">
      <c r="A34" s="25">
        <f ca="1">AVERAGE(OFFSET('OD+pH'!$F$2,(ROW()-ROW($A$2))*3,,3))</f>
        <v>0.84070000549157464</v>
      </c>
      <c r="B34" s="25">
        <v>21.963829430873801</v>
      </c>
      <c r="C34" s="26">
        <v>5.8</v>
      </c>
      <c r="D34" t="s">
        <v>3</v>
      </c>
      <c r="E34" t="s">
        <v>19</v>
      </c>
    </row>
    <row r="35" spans="1:5" x14ac:dyDescent="0.35">
      <c r="A35" s="25">
        <f ca="1">AVERAGE(OFFSET('OD+pH'!$F$2,(ROW()-ROW($A$2))*3,,3))</f>
        <v>0.75476666788260138</v>
      </c>
      <c r="B35" s="25">
        <v>23.464182322044326</v>
      </c>
      <c r="C35" s="26">
        <v>5.8</v>
      </c>
      <c r="D35" t="s">
        <v>12</v>
      </c>
      <c r="E35" t="s">
        <v>19</v>
      </c>
    </row>
    <row r="36" spans="1:5" x14ac:dyDescent="0.35">
      <c r="A36" s="25">
        <f ca="1">AVERAGE(OFFSET('OD+pH'!$F$2,(ROW()-ROW($A$2))*3,,3))</f>
        <v>0.83453332632780075</v>
      </c>
      <c r="B36" s="25">
        <v>24.446498058608743</v>
      </c>
      <c r="C36" s="26">
        <v>5.8</v>
      </c>
      <c r="D36" t="s">
        <v>13</v>
      </c>
      <c r="E36" t="s">
        <v>19</v>
      </c>
    </row>
    <row r="37" spans="1:5" x14ac:dyDescent="0.35">
      <c r="A37" s="25">
        <f ca="1">AVERAGE(OFFSET('OD+pH'!$F$2,(ROW()-ROW($A$2))*3,,3))</f>
        <v>1.0942333464821179</v>
      </c>
      <c r="B37" s="25">
        <v>3.1959878248901537</v>
      </c>
      <c r="C37" s="26">
        <v>5.8</v>
      </c>
      <c r="D37" t="s">
        <v>14</v>
      </c>
      <c r="E37" t="s">
        <v>19</v>
      </c>
    </row>
    <row r="38" spans="1:5" x14ac:dyDescent="0.35">
      <c r="A38" s="25">
        <f ca="1">AVERAGE(OFFSET('OD+pH'!$F$2,(ROW()-ROW($A$2))*3,,3))</f>
        <v>0.87483333796262741</v>
      </c>
      <c r="B38" s="25">
        <v>1.1169065771178579</v>
      </c>
      <c r="C38" s="26">
        <v>5.8</v>
      </c>
      <c r="D38" t="s">
        <v>15</v>
      </c>
      <c r="E38" t="s">
        <v>19</v>
      </c>
    </row>
    <row r="39" spans="1:5" x14ac:dyDescent="0.35">
      <c r="A39" s="25">
        <f ca="1">AVERAGE(OFFSET('OD+pH'!$F$2,(ROW()-ROW($A$2))*3,,3))</f>
        <v>1.1003666544953983</v>
      </c>
      <c r="B39" s="25">
        <v>13.108326372890108</v>
      </c>
      <c r="C39" s="26">
        <v>5.8</v>
      </c>
      <c r="D39" t="s">
        <v>16</v>
      </c>
      <c r="E39" t="s">
        <v>19</v>
      </c>
    </row>
    <row r="40" spans="1:5" x14ac:dyDescent="0.35">
      <c r="A40" s="25">
        <f ca="1">AVERAGE(OFFSET('OD+pH'!$F$2,(ROW()-ROW($A$2))*3,,3))</f>
        <v>0.24569999923308691</v>
      </c>
      <c r="B40" s="25">
        <v>7.2437548113115042</v>
      </c>
      <c r="C40" s="26">
        <v>5.8</v>
      </c>
      <c r="D40" t="s">
        <v>17</v>
      </c>
      <c r="E40" t="s">
        <v>19</v>
      </c>
    </row>
    <row r="41" spans="1:5" x14ac:dyDescent="0.35">
      <c r="A41" s="25">
        <f ca="1">AVERAGE(OFFSET('OD+pH'!$F$2,(ROW()-ROW($A$2))*3,,3))</f>
        <v>0.7837333157658577</v>
      </c>
      <c r="B41" s="25">
        <v>6.0936471661797</v>
      </c>
      <c r="C41" s="26">
        <v>5.8</v>
      </c>
      <c r="D41" t="s">
        <v>18</v>
      </c>
      <c r="E41" t="s">
        <v>19</v>
      </c>
    </row>
    <row r="42" spans="1:5" x14ac:dyDescent="0.35">
      <c r="A42" s="25">
        <f ca="1">AVERAGE(OFFSET('OD+pH'!$F$2,(ROW()-ROW($A$2))*3,,3))</f>
        <v>6.0066665212313332E-2</v>
      </c>
      <c r="B42" s="25">
        <v>3.4985742501811687</v>
      </c>
      <c r="C42" s="26">
        <v>4.8</v>
      </c>
      <c r="D42" t="s">
        <v>11</v>
      </c>
      <c r="E42" t="s">
        <v>20</v>
      </c>
    </row>
    <row r="43" spans="1:5" x14ac:dyDescent="0.35">
      <c r="A43" s="25">
        <f ca="1">AVERAGE(OFFSET('OD+pH'!$F$2,(ROW()-ROW($A$2))*3,,3))</f>
        <v>6.1366662383079529E-2</v>
      </c>
      <c r="B43" s="25">
        <v>3.018005191662922</v>
      </c>
      <c r="C43" s="26">
        <v>4.8</v>
      </c>
      <c r="D43" t="s">
        <v>5</v>
      </c>
      <c r="E43" t="s">
        <v>20</v>
      </c>
    </row>
    <row r="44" spans="1:5" x14ac:dyDescent="0.35">
      <c r="A44" s="25">
        <f ca="1">AVERAGE(OFFSET('OD+pH'!$F$2,(ROW()-ROW($A$2))*3,,3))</f>
        <v>7.6666663090387985E-2</v>
      </c>
      <c r="B44" s="25">
        <v>4.8669742812161765</v>
      </c>
      <c r="C44" s="26">
        <v>4.8</v>
      </c>
      <c r="D44" t="s">
        <v>3</v>
      </c>
      <c r="E44" t="s">
        <v>20</v>
      </c>
    </row>
    <row r="45" spans="1:5" x14ac:dyDescent="0.35">
      <c r="A45" s="25">
        <f ca="1">AVERAGE(OFFSET('OD+pH'!$F$2,(ROW()-ROW($A$2))*3,,3))</f>
        <v>6.4099997282028198E-2</v>
      </c>
      <c r="B45" s="25">
        <v>4.0410471196271889</v>
      </c>
      <c r="C45" s="26">
        <v>4.8</v>
      </c>
      <c r="D45" t="s">
        <v>12</v>
      </c>
      <c r="E45" t="s">
        <v>20</v>
      </c>
    </row>
    <row r="46" spans="1:5" x14ac:dyDescent="0.35">
      <c r="A46" s="25">
        <f ca="1">AVERAGE(OFFSET('OD+pH'!$F$2,(ROW()-ROW($A$2))*3,,3))</f>
        <v>9.790000071128209E-2</v>
      </c>
      <c r="B46" s="25">
        <v>14.067835442270606</v>
      </c>
      <c r="C46" s="26">
        <v>4.8</v>
      </c>
      <c r="D46" t="s">
        <v>13</v>
      </c>
      <c r="E46" t="s">
        <v>20</v>
      </c>
    </row>
    <row r="47" spans="1:5" x14ac:dyDescent="0.35">
      <c r="A47" s="25">
        <f ca="1">AVERAGE(OFFSET('OD+pH'!$F$2,(ROW()-ROW($A$2))*3,,3))</f>
        <v>9.1433328886826828E-2</v>
      </c>
      <c r="B47" s="25">
        <v>5.8248543029406816</v>
      </c>
      <c r="C47" s="26">
        <v>4.8</v>
      </c>
      <c r="D47" t="s">
        <v>14</v>
      </c>
      <c r="E47" t="s">
        <v>20</v>
      </c>
    </row>
    <row r="48" spans="1:5" x14ac:dyDescent="0.35">
      <c r="A48" s="25">
        <f ca="1">AVERAGE(OFFSET('OD+pH'!$F$2,(ROW()-ROW($A$2))*3,,3))</f>
        <v>0.11150000244379044</v>
      </c>
      <c r="B48" s="25">
        <v>26.217272860674282</v>
      </c>
      <c r="C48" s="26">
        <v>4.8</v>
      </c>
      <c r="D48" t="s">
        <v>15</v>
      </c>
      <c r="E48" t="s">
        <v>20</v>
      </c>
    </row>
    <row r="49" spans="1:5" x14ac:dyDescent="0.35">
      <c r="A49" s="25">
        <f ca="1">AVERAGE(OFFSET('OD+pH'!$F$2,(ROW()-ROW($A$2))*3,,3))</f>
        <v>0.15366666267315546</v>
      </c>
      <c r="B49" s="25">
        <v>27.238685740982554</v>
      </c>
      <c r="C49" s="26">
        <v>4.8</v>
      </c>
      <c r="D49" t="s">
        <v>16</v>
      </c>
      <c r="E49" t="s">
        <v>20</v>
      </c>
    </row>
    <row r="50" spans="1:5" x14ac:dyDescent="0.35">
      <c r="A50" s="25">
        <f ca="1">AVERAGE(OFFSET('OD+pH'!$F$2,(ROW()-ROW($A$2))*3,,3))</f>
        <v>8.4666671852270767E-2</v>
      </c>
      <c r="B50" s="25">
        <v>3.4073475814455012</v>
      </c>
      <c r="C50" s="26">
        <v>4.8</v>
      </c>
      <c r="D50" t="s">
        <v>17</v>
      </c>
      <c r="E50" t="s">
        <v>20</v>
      </c>
    </row>
    <row r="51" spans="1:5" x14ac:dyDescent="0.35">
      <c r="A51" s="25">
        <f ca="1">AVERAGE(OFFSET('OD+pH'!$F$2,(ROW()-ROW($A$2))*3,,3))</f>
        <v>9.9999996523062393E-2</v>
      </c>
      <c r="B51" s="25">
        <v>5.1373961921111899</v>
      </c>
      <c r="C51" s="26">
        <v>4.8</v>
      </c>
      <c r="D51" t="s">
        <v>18</v>
      </c>
      <c r="E51" t="s">
        <v>20</v>
      </c>
    </row>
    <row r="52" spans="1:5" x14ac:dyDescent="0.35">
      <c r="A52" s="25">
        <f ca="1">AVERAGE(OFFSET('OD+pH'!$F$2,(ROW()-ROW($A$2))*3,,3))</f>
        <v>7.0299997925758362E-2</v>
      </c>
      <c r="B52" s="25">
        <v>40.736974618549311</v>
      </c>
      <c r="C52" s="26">
        <v>5.8</v>
      </c>
      <c r="D52" t="s">
        <v>11</v>
      </c>
      <c r="E52" t="s">
        <v>20</v>
      </c>
    </row>
    <row r="53" spans="1:5" x14ac:dyDescent="0.35">
      <c r="A53" s="25">
        <f ca="1">AVERAGE(OFFSET('OD+pH'!$F$2,(ROW()-ROW($A$2))*3,,3))</f>
        <v>0.40596666932106018</v>
      </c>
      <c r="B53" s="25">
        <v>67.64395475260315</v>
      </c>
      <c r="C53" s="26">
        <v>5.8</v>
      </c>
      <c r="D53" t="s">
        <v>5</v>
      </c>
      <c r="E53" t="s">
        <v>20</v>
      </c>
    </row>
    <row r="54" spans="1:5" x14ac:dyDescent="0.35">
      <c r="A54" s="25">
        <f ca="1">AVERAGE(OFFSET('OD+pH'!$F$2,(ROW()-ROW($A$2))*3,,3))</f>
        <v>1.0166333268086116</v>
      </c>
      <c r="B54" s="25">
        <v>39.676464594497176</v>
      </c>
      <c r="C54" s="26">
        <v>5.8</v>
      </c>
      <c r="D54" t="s">
        <v>3</v>
      </c>
      <c r="E54" t="s">
        <v>20</v>
      </c>
    </row>
    <row r="55" spans="1:5" x14ac:dyDescent="0.35">
      <c r="A55" s="25">
        <f ca="1">AVERAGE(OFFSET('OD+pH'!$F$2,(ROW()-ROW($A$2))*3,,3))</f>
        <v>0.95086668431758881</v>
      </c>
      <c r="B55" s="25">
        <v>46.368592365320765</v>
      </c>
      <c r="C55" s="26">
        <v>5.8</v>
      </c>
      <c r="D55" t="s">
        <v>12</v>
      </c>
      <c r="E55" t="s">
        <v>20</v>
      </c>
    </row>
    <row r="56" spans="1:5" x14ac:dyDescent="0.35">
      <c r="A56" s="25">
        <f ca="1">AVERAGE(OFFSET('OD+pH'!$F$2,(ROW()-ROW($A$2))*3,,3))</f>
        <v>0.87029998749494553</v>
      </c>
      <c r="B56" s="25">
        <v>54.398168261715469</v>
      </c>
      <c r="C56" s="26">
        <v>5.8</v>
      </c>
      <c r="D56" t="s">
        <v>13</v>
      </c>
      <c r="E56" t="s">
        <v>20</v>
      </c>
    </row>
    <row r="57" spans="1:5" x14ac:dyDescent="0.35">
      <c r="A57" s="25">
        <f ca="1">AVERAGE(OFFSET('OD+pH'!$F$2,(ROW()-ROW($A$2))*3,,3))</f>
        <v>0.98423333217700326</v>
      </c>
      <c r="B57" s="25">
        <v>37.866592648687778</v>
      </c>
      <c r="C57" s="26">
        <v>5.8</v>
      </c>
      <c r="D57" t="s">
        <v>14</v>
      </c>
      <c r="E57" t="s">
        <v>20</v>
      </c>
    </row>
    <row r="58" spans="1:5" x14ac:dyDescent="0.35">
      <c r="A58" s="25">
        <f ca="1">AVERAGE(OFFSET('OD+pH'!$F$2,(ROW()-ROW($A$2))*3,,3))</f>
        <v>1.0059999749064445</v>
      </c>
      <c r="B58" s="25">
        <v>33.764650650894751</v>
      </c>
      <c r="C58" s="26">
        <v>5.8</v>
      </c>
      <c r="D58" t="s">
        <v>15</v>
      </c>
      <c r="E58" t="s">
        <v>20</v>
      </c>
    </row>
    <row r="59" spans="1:5" x14ac:dyDescent="0.35">
      <c r="A59" s="25">
        <f ca="1">AVERAGE(OFFSET('OD+pH'!$F$2,(ROW()-ROW($A$2))*3,,3))</f>
        <v>1.1526999697089195</v>
      </c>
      <c r="B59" s="25">
        <v>18.748089357941531</v>
      </c>
      <c r="C59" s="26">
        <v>5.8</v>
      </c>
      <c r="D59" t="s">
        <v>16</v>
      </c>
      <c r="E59" t="s">
        <v>20</v>
      </c>
    </row>
    <row r="60" spans="1:5" x14ac:dyDescent="0.35">
      <c r="A60" s="25">
        <f ca="1">AVERAGE(OFFSET('OD+pH'!$F$2,(ROW()-ROW($A$2))*3,,3))</f>
        <v>0.37246667097012204</v>
      </c>
      <c r="B60" s="25">
        <v>143.5852693320781</v>
      </c>
      <c r="C60" s="26">
        <v>5.8</v>
      </c>
      <c r="D60" t="s">
        <v>17</v>
      </c>
      <c r="E60" t="s">
        <v>20</v>
      </c>
    </row>
    <row r="61" spans="1:5" x14ac:dyDescent="0.35">
      <c r="A61" s="25">
        <f ca="1">AVERAGE(OFFSET('OD+pH'!$F$2,(ROW()-ROW($A$2))*3,,3))</f>
        <v>0.45986667027076084</v>
      </c>
      <c r="B61" s="25">
        <v>145.95227557623744</v>
      </c>
      <c r="C61" s="26">
        <v>5.8</v>
      </c>
      <c r="D61" t="s">
        <v>18</v>
      </c>
      <c r="E61" t="s">
        <v>20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851F-AC49-4409-B4B8-A4E816C47E4B}">
  <dimension ref="A1:N289"/>
  <sheetViews>
    <sheetView tabSelected="1" topLeftCell="G1" zoomScale="96" workbookViewId="0">
      <selection activeCell="Q20" sqref="Q20"/>
    </sheetView>
  </sheetViews>
  <sheetFormatPr defaultRowHeight="14.5" x14ac:dyDescent="0.35"/>
  <cols>
    <col min="1" max="1" width="29.81640625" bestFit="1" customWidth="1"/>
    <col min="2" max="2" width="19.08984375" bestFit="1" customWidth="1"/>
    <col min="3" max="3" width="28.453125" bestFit="1" customWidth="1"/>
    <col min="4" max="5" width="28.453125" style="46" customWidth="1"/>
    <col min="6" max="8" width="28.453125" style="29" customWidth="1"/>
    <col min="9" max="9" width="9.81640625" customWidth="1"/>
    <col min="10" max="10" width="9.1796875" bestFit="1" customWidth="1"/>
    <col min="11" max="11" width="21.36328125" bestFit="1" customWidth="1"/>
    <col min="12" max="12" width="21.1796875" bestFit="1" customWidth="1"/>
    <col min="13" max="14" width="14.1796875" bestFit="1" customWidth="1"/>
  </cols>
  <sheetData>
    <row r="1" spans="1:14" ht="16" x14ac:dyDescent="0.4">
      <c r="A1" s="4" t="s">
        <v>21</v>
      </c>
      <c r="B1" s="5" t="s">
        <v>22</v>
      </c>
      <c r="C1" s="6" t="s">
        <v>291</v>
      </c>
      <c r="D1" s="41" t="s">
        <v>2</v>
      </c>
      <c r="E1" s="41" t="s">
        <v>3</v>
      </c>
      <c r="F1" s="21" t="s">
        <v>4</v>
      </c>
      <c r="G1" s="21" t="s">
        <v>5</v>
      </c>
      <c r="H1" s="21" t="s">
        <v>6</v>
      </c>
      <c r="I1" s="8" t="s">
        <v>23</v>
      </c>
      <c r="J1" s="7" t="s">
        <v>1</v>
      </c>
      <c r="K1" s="9" t="s">
        <v>286</v>
      </c>
      <c r="L1" s="9" t="s">
        <v>287</v>
      </c>
      <c r="M1" s="9" t="s">
        <v>292</v>
      </c>
      <c r="N1" s="9" t="s">
        <v>293</v>
      </c>
    </row>
    <row r="2" spans="1:14" ht="16" x14ac:dyDescent="0.4">
      <c r="A2" s="10" t="s">
        <v>24</v>
      </c>
      <c r="B2" s="10" t="s">
        <v>25</v>
      </c>
      <c r="C2" s="11" t="s">
        <v>11</v>
      </c>
      <c r="D2" s="42">
        <v>0</v>
      </c>
      <c r="E2" s="42">
        <v>0</v>
      </c>
      <c r="F2" s="42">
        <v>0</v>
      </c>
      <c r="G2" s="42">
        <v>0</v>
      </c>
      <c r="H2" s="42">
        <v>0</v>
      </c>
      <c r="I2" s="12">
        <v>4.8</v>
      </c>
      <c r="J2" s="13" t="s">
        <v>10</v>
      </c>
      <c r="K2" s="14">
        <v>1542814.9836789689</v>
      </c>
      <c r="L2" s="14">
        <v>11136876372.252159</v>
      </c>
      <c r="M2" s="14">
        <v>629386.77479883761</v>
      </c>
      <c r="N2" s="14">
        <v>290463.74810985313</v>
      </c>
    </row>
    <row r="3" spans="1:14" ht="16" x14ac:dyDescent="0.4">
      <c r="A3" s="15" t="s">
        <v>26</v>
      </c>
      <c r="B3" s="15" t="s">
        <v>25</v>
      </c>
      <c r="C3" s="11" t="s">
        <v>11</v>
      </c>
      <c r="D3" s="42">
        <v>0</v>
      </c>
      <c r="E3" s="42">
        <v>0</v>
      </c>
      <c r="F3" s="42">
        <v>0</v>
      </c>
      <c r="G3" s="42">
        <v>0</v>
      </c>
      <c r="H3" s="42">
        <v>0</v>
      </c>
      <c r="I3" s="12">
        <v>4.8</v>
      </c>
      <c r="J3" s="13" t="s">
        <v>10</v>
      </c>
      <c r="K3" s="14">
        <v>1532597.6659062603</v>
      </c>
      <c r="L3" s="14">
        <v>10728183661.343822</v>
      </c>
      <c r="M3" s="14">
        <v>584430.57659892063</v>
      </c>
      <c r="N3" s="14">
        <v>237917.5424216385</v>
      </c>
    </row>
    <row r="4" spans="1:14" ht="16" x14ac:dyDescent="0.4">
      <c r="A4" s="15" t="s">
        <v>27</v>
      </c>
      <c r="B4" s="10" t="s">
        <v>25</v>
      </c>
      <c r="C4" s="11" t="s">
        <v>11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12">
        <v>4.8</v>
      </c>
      <c r="J4" s="13" t="s">
        <v>10</v>
      </c>
      <c r="K4" s="14">
        <v>1461076.4414973014</v>
      </c>
      <c r="L4" s="14">
        <v>10319490950.435486</v>
      </c>
      <c r="M4" s="14">
        <v>574213.25882621226</v>
      </c>
      <c r="N4" s="14">
        <v>258352.17796705529</v>
      </c>
    </row>
    <row r="5" spans="1:14" ht="16" x14ac:dyDescent="0.4">
      <c r="A5" s="15" t="s">
        <v>28</v>
      </c>
      <c r="B5" s="10" t="s">
        <v>29</v>
      </c>
      <c r="C5" s="11" t="s">
        <v>5</v>
      </c>
      <c r="D5" s="42">
        <v>0</v>
      </c>
      <c r="E5" s="42">
        <v>0</v>
      </c>
      <c r="F5" s="42">
        <v>0</v>
      </c>
      <c r="G5" s="42">
        <v>1</v>
      </c>
      <c r="H5" s="42">
        <v>0</v>
      </c>
      <c r="I5" s="12">
        <v>4.8</v>
      </c>
      <c r="J5" s="13" t="s">
        <v>10</v>
      </c>
      <c r="K5" s="14">
        <v>1605585.6898688467</v>
      </c>
      <c r="L5" s="14">
        <v>8685248765.3308067</v>
      </c>
      <c r="M5" s="14">
        <v>74137.111048977618</v>
      </c>
      <c r="N5" s="14">
        <v>148089.49507706906</v>
      </c>
    </row>
    <row r="6" spans="1:14" ht="16" x14ac:dyDescent="0.4">
      <c r="A6" s="15" t="s">
        <v>30</v>
      </c>
      <c r="B6" s="15" t="s">
        <v>29</v>
      </c>
      <c r="C6" s="11" t="s">
        <v>5</v>
      </c>
      <c r="D6" s="42">
        <v>0</v>
      </c>
      <c r="E6" s="42">
        <v>0</v>
      </c>
      <c r="F6" s="42">
        <v>0</v>
      </c>
      <c r="G6" s="42">
        <v>1</v>
      </c>
      <c r="H6" s="42">
        <v>0</v>
      </c>
      <c r="I6" s="12">
        <v>4.8</v>
      </c>
      <c r="J6" s="13" t="s">
        <v>10</v>
      </c>
      <c r="K6" s="14">
        <v>1465501.0323635109</v>
      </c>
      <c r="L6" s="14">
        <v>7984825477.8041286</v>
      </c>
      <c r="M6" s="14">
        <v>69826.813894967287</v>
      </c>
      <c r="N6" s="14">
        <v>133465.27259024829</v>
      </c>
    </row>
    <row r="7" spans="1:14" ht="16" x14ac:dyDescent="0.4">
      <c r="A7" s="15" t="s">
        <v>31</v>
      </c>
      <c r="B7" s="10" t="s">
        <v>29</v>
      </c>
      <c r="C7" s="11" t="s">
        <v>5</v>
      </c>
      <c r="D7" s="42">
        <v>0</v>
      </c>
      <c r="E7" s="42">
        <v>0</v>
      </c>
      <c r="F7" s="42">
        <v>0</v>
      </c>
      <c r="G7" s="42">
        <v>1</v>
      </c>
      <c r="H7" s="42">
        <v>0</v>
      </c>
      <c r="I7" s="12">
        <v>4.8</v>
      </c>
      <c r="J7" s="13" t="s">
        <v>10</v>
      </c>
      <c r="K7" s="14">
        <v>1594809.9469838205</v>
      </c>
      <c r="L7" s="14">
        <v>7499917047.9779673</v>
      </c>
      <c r="M7" s="14">
        <v>71766.447614271921</v>
      </c>
      <c r="N7" s="14">
        <v>139007.08321683301</v>
      </c>
    </row>
    <row r="8" spans="1:14" ht="16" x14ac:dyDescent="0.4">
      <c r="A8" s="15" t="s">
        <v>32</v>
      </c>
      <c r="B8" s="10" t="s">
        <v>33</v>
      </c>
      <c r="C8" s="11" t="s">
        <v>3</v>
      </c>
      <c r="D8" s="42">
        <v>0</v>
      </c>
      <c r="E8" s="42">
        <v>1</v>
      </c>
      <c r="F8" s="42">
        <v>0</v>
      </c>
      <c r="G8" s="42">
        <v>0</v>
      </c>
      <c r="H8" s="42">
        <v>0</v>
      </c>
      <c r="I8" s="12">
        <v>4.8</v>
      </c>
      <c r="J8" s="13" t="s">
        <v>10</v>
      </c>
      <c r="K8" s="14">
        <v>2734965.7806568393</v>
      </c>
      <c r="L8" s="14">
        <v>30406384267.302505</v>
      </c>
      <c r="M8" s="14">
        <v>68535.024856459611</v>
      </c>
      <c r="N8" s="14">
        <v>475746.14839997113</v>
      </c>
    </row>
    <row r="9" spans="1:14" ht="16" x14ac:dyDescent="0.4">
      <c r="A9" s="15" t="s">
        <v>34</v>
      </c>
      <c r="B9" s="15" t="s">
        <v>33</v>
      </c>
      <c r="C9" s="11" t="s">
        <v>3</v>
      </c>
      <c r="D9" s="42">
        <v>0</v>
      </c>
      <c r="E9" s="42">
        <v>1</v>
      </c>
      <c r="F9" s="42">
        <v>0</v>
      </c>
      <c r="G9" s="42">
        <v>0</v>
      </c>
      <c r="H9" s="42">
        <v>0</v>
      </c>
      <c r="I9" s="12">
        <v>4.8</v>
      </c>
      <c r="J9" s="13" t="s">
        <v>10</v>
      </c>
      <c r="K9" s="14">
        <v>2718877.7466529752</v>
      </c>
      <c r="L9" s="14">
        <v>26384375766.336563</v>
      </c>
      <c r="M9" s="14">
        <v>64673.896695532312</v>
      </c>
      <c r="N9" s="14">
        <v>406797.43124055507</v>
      </c>
    </row>
    <row r="10" spans="1:14" ht="16" x14ac:dyDescent="0.4">
      <c r="A10" s="15" t="s">
        <v>35</v>
      </c>
      <c r="B10" s="10" t="s">
        <v>33</v>
      </c>
      <c r="C10" s="11" t="s">
        <v>3</v>
      </c>
      <c r="D10" s="42">
        <v>0</v>
      </c>
      <c r="E10" s="42">
        <v>1</v>
      </c>
      <c r="F10" s="42">
        <v>0</v>
      </c>
      <c r="G10" s="42">
        <v>0</v>
      </c>
      <c r="H10" s="42">
        <v>0</v>
      </c>
      <c r="I10" s="12">
        <v>4.8</v>
      </c>
      <c r="J10" s="13" t="s">
        <v>10</v>
      </c>
      <c r="K10" s="14">
        <v>2670613.644641384</v>
      </c>
      <c r="L10" s="14">
        <v>25419093726.10474</v>
      </c>
      <c r="M10" s="14">
        <v>66604.460775995947</v>
      </c>
      <c r="N10" s="14">
        <v>457359.82382412686</v>
      </c>
    </row>
    <row r="11" spans="1:14" ht="16" x14ac:dyDescent="0.4">
      <c r="A11" s="15" t="s">
        <v>36</v>
      </c>
      <c r="B11" s="15" t="s">
        <v>37</v>
      </c>
      <c r="C11" s="11" t="s">
        <v>12</v>
      </c>
      <c r="D11" s="42">
        <v>0</v>
      </c>
      <c r="E11" s="42">
        <v>1</v>
      </c>
      <c r="F11" s="42">
        <v>0</v>
      </c>
      <c r="G11" s="42">
        <v>1</v>
      </c>
      <c r="H11" s="42">
        <v>0</v>
      </c>
      <c r="I11" s="12">
        <v>4.8</v>
      </c>
      <c r="J11" s="13" t="s">
        <v>10</v>
      </c>
      <c r="K11" s="14">
        <v>1878724.5797193137</v>
      </c>
      <c r="L11" s="14">
        <v>18018177255.787571</v>
      </c>
      <c r="M11" s="14">
        <v>2614833.040778928</v>
      </c>
      <c r="N11" s="14">
        <v>282514.97439388174</v>
      </c>
    </row>
    <row r="12" spans="1:14" ht="16" x14ac:dyDescent="0.4">
      <c r="A12" s="15" t="s">
        <v>38</v>
      </c>
      <c r="B12" s="16" t="s">
        <v>37</v>
      </c>
      <c r="C12" s="11" t="s">
        <v>12</v>
      </c>
      <c r="D12" s="42">
        <v>0</v>
      </c>
      <c r="E12" s="42">
        <v>1</v>
      </c>
      <c r="F12" s="42">
        <v>0</v>
      </c>
      <c r="G12" s="42">
        <v>1</v>
      </c>
      <c r="H12" s="42">
        <v>0</v>
      </c>
      <c r="I12" s="12">
        <v>4.8</v>
      </c>
      <c r="J12" s="13" t="s">
        <v>10</v>
      </c>
      <c r="K12" s="14">
        <v>2032538.288000427</v>
      </c>
      <c r="L12" s="14">
        <v>17249108714.382004</v>
      </c>
      <c r="M12" s="14">
        <v>2100655.787382063</v>
      </c>
      <c r="N12" s="14">
        <v>274667.33621627395</v>
      </c>
    </row>
    <row r="13" spans="1:14" ht="16" x14ac:dyDescent="0.4">
      <c r="A13" s="15" t="s">
        <v>39</v>
      </c>
      <c r="B13" s="17" t="s">
        <v>37</v>
      </c>
      <c r="C13" s="11" t="s">
        <v>12</v>
      </c>
      <c r="D13" s="42">
        <v>0</v>
      </c>
      <c r="E13" s="42">
        <v>1</v>
      </c>
      <c r="F13" s="42">
        <v>0</v>
      </c>
      <c r="G13" s="42">
        <v>1</v>
      </c>
      <c r="H13" s="42">
        <v>0</v>
      </c>
      <c r="I13" s="12">
        <v>4.8</v>
      </c>
      <c r="J13" s="13" t="s">
        <v>10</v>
      </c>
      <c r="K13" s="14">
        <v>1878724.5797193137</v>
      </c>
      <c r="L13" s="14">
        <v>18128044190.274078</v>
      </c>
      <c r="M13" s="14">
        <v>1865540.5475809325</v>
      </c>
      <c r="N13" s="14">
        <v>282514.97439388174</v>
      </c>
    </row>
    <row r="14" spans="1:14" ht="16" x14ac:dyDescent="0.4">
      <c r="A14" s="15" t="s">
        <v>40</v>
      </c>
      <c r="B14" s="17" t="s">
        <v>41</v>
      </c>
      <c r="C14" s="11" t="s">
        <v>11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12">
        <v>5.8</v>
      </c>
      <c r="J14" s="13" t="s">
        <v>10</v>
      </c>
      <c r="K14" s="14">
        <v>5185501.8599012382</v>
      </c>
      <c r="L14" s="14">
        <v>167405965555.86676</v>
      </c>
      <c r="M14" s="14">
        <v>82478061.078744113</v>
      </c>
      <c r="N14" s="14">
        <v>6532915729.0094347</v>
      </c>
    </row>
    <row r="15" spans="1:14" ht="16" x14ac:dyDescent="0.4">
      <c r="A15" s="15" t="s">
        <v>42</v>
      </c>
      <c r="B15" s="17" t="s">
        <v>41</v>
      </c>
      <c r="C15" s="11" t="s">
        <v>11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12">
        <v>5.8</v>
      </c>
      <c r="J15" s="13" t="s">
        <v>10</v>
      </c>
      <c r="K15" s="14">
        <v>5797962.7094958723</v>
      </c>
      <c r="L15" s="14">
        <v>168222580021.99292</v>
      </c>
      <c r="M15" s="14">
        <v>74230254.97086969</v>
      </c>
      <c r="N15" s="14">
        <v>6066278891.2230453</v>
      </c>
    </row>
    <row r="16" spans="1:14" ht="16" x14ac:dyDescent="0.4">
      <c r="A16" s="15" t="s">
        <v>43</v>
      </c>
      <c r="B16" s="17" t="s">
        <v>41</v>
      </c>
      <c r="C16" s="11" t="s">
        <v>11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12">
        <v>5.8</v>
      </c>
      <c r="J16" s="13" t="s">
        <v>10</v>
      </c>
      <c r="K16" s="14">
        <v>5103840.4132886203</v>
      </c>
      <c r="L16" s="14">
        <v>142499224339.01828</v>
      </c>
      <c r="M16" s="14">
        <v>73413640.504743516</v>
      </c>
      <c r="N16" s="14">
        <v>5949619681.7764482</v>
      </c>
    </row>
    <row r="17" spans="1:14" ht="16" x14ac:dyDescent="0.4">
      <c r="A17" s="15" t="s">
        <v>44</v>
      </c>
      <c r="B17" s="17" t="s">
        <v>45</v>
      </c>
      <c r="C17" s="11" t="s">
        <v>5</v>
      </c>
      <c r="D17" s="42">
        <v>0</v>
      </c>
      <c r="E17" s="42">
        <v>0</v>
      </c>
      <c r="F17" s="42">
        <v>0</v>
      </c>
      <c r="G17" s="42">
        <v>1</v>
      </c>
      <c r="H17" s="42">
        <v>0</v>
      </c>
      <c r="I17" s="12">
        <v>5.8</v>
      </c>
      <c r="J17" s="13" t="s">
        <v>10</v>
      </c>
      <c r="K17" s="14">
        <v>12965073.083650582</v>
      </c>
      <c r="L17" s="14">
        <v>556787727633.4873</v>
      </c>
      <c r="M17" s="14">
        <v>786784572.06263125</v>
      </c>
      <c r="N17" s="14">
        <v>795411039.47641051</v>
      </c>
    </row>
    <row r="18" spans="1:14" ht="16" x14ac:dyDescent="0.4">
      <c r="A18" s="15" t="s">
        <v>46</v>
      </c>
      <c r="B18" s="17" t="s">
        <v>45</v>
      </c>
      <c r="C18" s="11" t="s">
        <v>5</v>
      </c>
      <c r="D18" s="42">
        <v>0</v>
      </c>
      <c r="E18" s="42">
        <v>0</v>
      </c>
      <c r="F18" s="42">
        <v>0</v>
      </c>
      <c r="G18" s="42">
        <v>1</v>
      </c>
      <c r="H18" s="42">
        <v>0</v>
      </c>
      <c r="I18" s="12">
        <v>5.8</v>
      </c>
      <c r="J18" s="13" t="s">
        <v>10</v>
      </c>
      <c r="K18" s="14">
        <v>10301016.970571695</v>
      </c>
      <c r="L18" s="14">
        <v>441345296066.7356</v>
      </c>
      <c r="M18" s="14">
        <v>738831562.02721131</v>
      </c>
      <c r="N18" s="14">
        <v>783993656.13464379</v>
      </c>
    </row>
    <row r="19" spans="1:14" ht="16" x14ac:dyDescent="0.4">
      <c r="A19" s="15" t="s">
        <v>47</v>
      </c>
      <c r="B19" s="17" t="s">
        <v>45</v>
      </c>
      <c r="C19" s="11" t="s">
        <v>5</v>
      </c>
      <c r="D19" s="42">
        <v>0</v>
      </c>
      <c r="E19" s="42">
        <v>0</v>
      </c>
      <c r="F19" s="42">
        <v>0</v>
      </c>
      <c r="G19" s="42">
        <v>1</v>
      </c>
      <c r="H19" s="42">
        <v>0</v>
      </c>
      <c r="I19" s="12">
        <v>5.8</v>
      </c>
      <c r="J19" s="13" t="s">
        <v>10</v>
      </c>
      <c r="K19" s="14">
        <v>12521063.731470766</v>
      </c>
      <c r="L19" s="14">
        <v>273509760942.76569</v>
      </c>
      <c r="M19" s="14">
        <v>744159674.25336909</v>
      </c>
      <c r="N19" s="14">
        <v>761158889.45111048</v>
      </c>
    </row>
    <row r="20" spans="1:14" ht="16" x14ac:dyDescent="0.4">
      <c r="A20" s="15" t="s">
        <v>48</v>
      </c>
      <c r="B20" s="17" t="s">
        <v>49</v>
      </c>
      <c r="C20" s="11" t="s">
        <v>3</v>
      </c>
      <c r="D20" s="42">
        <v>0</v>
      </c>
      <c r="E20" s="42">
        <v>1</v>
      </c>
      <c r="F20" s="42">
        <v>0</v>
      </c>
      <c r="G20" s="42">
        <v>0</v>
      </c>
      <c r="H20" s="42">
        <v>0</v>
      </c>
      <c r="I20" s="12">
        <v>5.8</v>
      </c>
      <c r="J20" s="13" t="s">
        <v>10</v>
      </c>
      <c r="K20" s="14">
        <v>14658828.872144762</v>
      </c>
      <c r="L20" s="14">
        <v>885553908577.51233</v>
      </c>
      <c r="M20" s="14">
        <v>1084351724.7887907</v>
      </c>
      <c r="N20" s="14">
        <v>21084616.870893151</v>
      </c>
    </row>
    <row r="21" spans="1:14" ht="16" x14ac:dyDescent="0.4">
      <c r="A21" s="15" t="s">
        <v>50</v>
      </c>
      <c r="B21" s="17" t="s">
        <v>49</v>
      </c>
      <c r="C21" s="11" t="s">
        <v>3</v>
      </c>
      <c r="D21" s="42">
        <v>0</v>
      </c>
      <c r="E21" s="42">
        <v>1</v>
      </c>
      <c r="F21" s="42">
        <v>0</v>
      </c>
      <c r="G21" s="42">
        <v>0</v>
      </c>
      <c r="H21" s="42">
        <v>0</v>
      </c>
      <c r="I21" s="12">
        <v>5.8</v>
      </c>
      <c r="J21" s="13" t="s">
        <v>10</v>
      </c>
      <c r="K21" s="14">
        <v>16064469.996870972</v>
      </c>
      <c r="L21" s="14">
        <v>851416909834.1615</v>
      </c>
      <c r="M21" s="14">
        <v>1000013257.305218</v>
      </c>
      <c r="N21" s="14">
        <v>19076558.12128428</v>
      </c>
    </row>
    <row r="22" spans="1:14" ht="16" x14ac:dyDescent="0.4">
      <c r="A22" s="15" t="s">
        <v>51</v>
      </c>
      <c r="B22" s="17" t="s">
        <v>49</v>
      </c>
      <c r="C22" s="11" t="s">
        <v>3</v>
      </c>
      <c r="D22" s="42">
        <v>0</v>
      </c>
      <c r="E22" s="42">
        <v>1</v>
      </c>
      <c r="F22" s="42">
        <v>0</v>
      </c>
      <c r="G22" s="42">
        <v>0</v>
      </c>
      <c r="H22" s="42">
        <v>0</v>
      </c>
      <c r="I22" s="12">
        <v>5.8</v>
      </c>
      <c r="J22" s="13" t="s">
        <v>10</v>
      </c>
      <c r="K22" s="14">
        <v>15863664.121910084</v>
      </c>
      <c r="L22" s="14">
        <v>523099304273.11102</v>
      </c>
      <c r="M22" s="14">
        <v>1102424253.5352702</v>
      </c>
      <c r="N22" s="14">
        <v>20510885.799576331</v>
      </c>
    </row>
    <row r="23" spans="1:14" ht="16" x14ac:dyDescent="0.4">
      <c r="A23" s="15" t="s">
        <v>52</v>
      </c>
      <c r="B23" s="17" t="s">
        <v>53</v>
      </c>
      <c r="C23" s="11" t="s">
        <v>12</v>
      </c>
      <c r="D23" s="42">
        <v>0</v>
      </c>
      <c r="E23" s="42">
        <v>1</v>
      </c>
      <c r="F23" s="42">
        <v>0</v>
      </c>
      <c r="G23" s="42">
        <v>1</v>
      </c>
      <c r="H23" s="42">
        <v>0</v>
      </c>
      <c r="I23" s="12">
        <v>5.8</v>
      </c>
      <c r="J23" s="13" t="s">
        <v>10</v>
      </c>
      <c r="K23" s="14">
        <v>21179023.382032488</v>
      </c>
      <c r="L23" s="14">
        <v>535632277394.42639</v>
      </c>
      <c r="M23" s="14">
        <v>1792828956.0604248</v>
      </c>
      <c r="N23" s="14">
        <v>41513700.316940762</v>
      </c>
    </row>
    <row r="24" spans="1:14" ht="16" x14ac:dyDescent="0.4">
      <c r="A24" s="15" t="s">
        <v>54</v>
      </c>
      <c r="B24" s="17" t="s">
        <v>53</v>
      </c>
      <c r="C24" s="11" t="s">
        <v>12</v>
      </c>
      <c r="D24" s="42">
        <v>0</v>
      </c>
      <c r="E24" s="42">
        <v>1</v>
      </c>
      <c r="F24" s="42">
        <v>0</v>
      </c>
      <c r="G24" s="42">
        <v>1</v>
      </c>
      <c r="H24" s="42">
        <v>0</v>
      </c>
      <c r="I24" s="12">
        <v>5.8</v>
      </c>
      <c r="J24" s="13" t="s">
        <v>10</v>
      </c>
      <c r="K24" s="14">
        <v>20440220.240798797</v>
      </c>
      <c r="L24" s="14">
        <v>491304088920.40485</v>
      </c>
      <c r="M24" s="14">
        <v>1738650059.0366206</v>
      </c>
      <c r="N24" s="14">
        <v>41337794.807123221</v>
      </c>
    </row>
    <row r="25" spans="1:14" ht="16" x14ac:dyDescent="0.4">
      <c r="A25" s="15" t="s">
        <v>55</v>
      </c>
      <c r="B25" s="17" t="s">
        <v>53</v>
      </c>
      <c r="C25" s="11" t="s">
        <v>12</v>
      </c>
      <c r="D25" s="42">
        <v>0</v>
      </c>
      <c r="E25" s="42">
        <v>1</v>
      </c>
      <c r="F25" s="42">
        <v>0</v>
      </c>
      <c r="G25" s="42">
        <v>1</v>
      </c>
      <c r="H25" s="42">
        <v>0</v>
      </c>
      <c r="I25" s="12">
        <v>5.8</v>
      </c>
      <c r="J25" s="13" t="s">
        <v>10</v>
      </c>
      <c r="K25" s="14">
        <v>18962613.958331417</v>
      </c>
      <c r="L25" s="14">
        <v>435893853327.87799</v>
      </c>
      <c r="M25" s="14">
        <v>1585964076.5149913</v>
      </c>
      <c r="N25" s="14">
        <v>41865511.336575858</v>
      </c>
    </row>
    <row r="26" spans="1:14" ht="16" x14ac:dyDescent="0.4">
      <c r="A26" s="15" t="s">
        <v>56</v>
      </c>
      <c r="B26" s="17" t="s">
        <v>57</v>
      </c>
      <c r="C26" s="11" t="s">
        <v>11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12">
        <v>4.8</v>
      </c>
      <c r="J26" s="13" t="s">
        <v>19</v>
      </c>
      <c r="K26" s="14">
        <v>23140998.149339139</v>
      </c>
      <c r="L26" s="14">
        <v>31711738204.649933</v>
      </c>
      <c r="M26" s="14">
        <v>10156326.965543289</v>
      </c>
      <c r="N26" s="14">
        <v>961147277.63128173</v>
      </c>
    </row>
    <row r="27" spans="1:14" ht="16" x14ac:dyDescent="0.4">
      <c r="A27" s="15" t="s">
        <v>58</v>
      </c>
      <c r="B27" s="17" t="s">
        <v>57</v>
      </c>
      <c r="C27" s="11" t="s">
        <v>11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12">
        <v>4.8</v>
      </c>
      <c r="J27" s="13" t="s">
        <v>19</v>
      </c>
      <c r="K27" s="14">
        <v>25283683.163166836</v>
      </c>
      <c r="L27" s="14">
        <v>25069414661.784069</v>
      </c>
      <c r="M27" s="14">
        <v>10284888.06637295</v>
      </c>
      <c r="N27" s="14">
        <v>884622812.85172117</v>
      </c>
    </row>
    <row r="28" spans="1:14" ht="16" x14ac:dyDescent="0.4">
      <c r="A28" s="15" t="s">
        <v>59</v>
      </c>
      <c r="B28" s="17" t="s">
        <v>57</v>
      </c>
      <c r="C28" s="11" t="s">
        <v>11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12">
        <v>4.8</v>
      </c>
      <c r="J28" s="13" t="s">
        <v>19</v>
      </c>
      <c r="K28" s="14">
        <v>23140998.149339139</v>
      </c>
      <c r="L28" s="14">
        <v>28069173681.142845</v>
      </c>
      <c r="M28" s="14">
        <v>8699301.1561404541</v>
      </c>
      <c r="N28" s="14">
        <v>909110641.58118057</v>
      </c>
    </row>
    <row r="29" spans="1:14" ht="16" x14ac:dyDescent="0.4">
      <c r="A29" s="15" t="s">
        <v>60</v>
      </c>
      <c r="B29" s="17" t="s">
        <v>61</v>
      </c>
      <c r="C29" s="11" t="s">
        <v>5</v>
      </c>
      <c r="D29" s="42">
        <v>0</v>
      </c>
      <c r="E29" s="42">
        <v>0</v>
      </c>
      <c r="F29" s="42">
        <v>0</v>
      </c>
      <c r="G29" s="42">
        <v>1</v>
      </c>
      <c r="H29" s="42">
        <v>0</v>
      </c>
      <c r="I29" s="12">
        <v>4.8</v>
      </c>
      <c r="J29" s="13" t="s">
        <v>19</v>
      </c>
      <c r="K29" s="14">
        <v>967477.27978147776</v>
      </c>
      <c r="L29" s="14">
        <v>58675705.394154437</v>
      </c>
      <c r="M29" s="14">
        <v>27053.531342037622</v>
      </c>
      <c r="N29" s="14">
        <v>803.67160278143922</v>
      </c>
    </row>
    <row r="30" spans="1:14" ht="16" x14ac:dyDescent="0.4">
      <c r="A30" s="15" t="s">
        <v>62</v>
      </c>
      <c r="B30" s="17" t="s">
        <v>61</v>
      </c>
      <c r="C30" s="11" t="s">
        <v>5</v>
      </c>
      <c r="D30" s="42">
        <v>0</v>
      </c>
      <c r="E30" s="42">
        <v>0</v>
      </c>
      <c r="F30" s="42">
        <v>0</v>
      </c>
      <c r="G30" s="42">
        <v>1</v>
      </c>
      <c r="H30" s="42">
        <v>0</v>
      </c>
      <c r="I30" s="12">
        <v>4.8</v>
      </c>
      <c r="J30" s="13" t="s">
        <v>19</v>
      </c>
      <c r="K30" s="14">
        <v>0</v>
      </c>
      <c r="L30" s="14">
        <v>55092456.209778599</v>
      </c>
      <c r="M30" s="14">
        <v>25620.231668287284</v>
      </c>
      <c r="N30" s="14">
        <v>1036.5827997658691</v>
      </c>
    </row>
    <row r="31" spans="1:14" ht="16" x14ac:dyDescent="0.4">
      <c r="A31" s="15" t="s">
        <v>63</v>
      </c>
      <c r="B31" s="17" t="s">
        <v>61</v>
      </c>
      <c r="C31" s="11" t="s">
        <v>5</v>
      </c>
      <c r="D31" s="42">
        <v>0</v>
      </c>
      <c r="E31" s="42">
        <v>0</v>
      </c>
      <c r="F31" s="42">
        <v>0</v>
      </c>
      <c r="G31" s="42">
        <v>1</v>
      </c>
      <c r="H31" s="42">
        <v>0</v>
      </c>
      <c r="I31" s="12">
        <v>4.8</v>
      </c>
      <c r="J31" s="13" t="s">
        <v>19</v>
      </c>
      <c r="K31" s="14">
        <v>967477.27978147776</v>
      </c>
      <c r="L31" s="14">
        <v>55002874.980169207</v>
      </c>
      <c r="M31" s="14">
        <v>26874.368882818828</v>
      </c>
      <c r="N31" s="14">
        <v>650.10378059390314</v>
      </c>
    </row>
    <row r="32" spans="1:14" ht="16" x14ac:dyDescent="0.4">
      <c r="A32" s="15" t="s">
        <v>64</v>
      </c>
      <c r="B32" s="17" t="s">
        <v>65</v>
      </c>
      <c r="C32" s="11" t="s">
        <v>3</v>
      </c>
      <c r="D32" s="42">
        <v>0</v>
      </c>
      <c r="E32" s="42">
        <v>1</v>
      </c>
      <c r="F32" s="42">
        <v>0</v>
      </c>
      <c r="G32" s="42">
        <v>0</v>
      </c>
      <c r="H32" s="42">
        <v>0</v>
      </c>
      <c r="I32" s="12">
        <v>4.8</v>
      </c>
      <c r="J32" s="13" t="s">
        <v>19</v>
      </c>
      <c r="K32" s="14">
        <v>1000233.2796319198</v>
      </c>
      <c r="L32" s="14">
        <v>40820331.141735107</v>
      </c>
      <c r="M32" s="14">
        <v>148683.32535069078</v>
      </c>
      <c r="N32" s="14">
        <v>1325.9205637334328</v>
      </c>
    </row>
    <row r="33" spans="1:14" ht="16" x14ac:dyDescent="0.4">
      <c r="A33" s="15" t="s">
        <v>66</v>
      </c>
      <c r="B33" s="17" t="s">
        <v>65</v>
      </c>
      <c r="C33" s="11" t="s">
        <v>3</v>
      </c>
      <c r="D33" s="42">
        <v>0</v>
      </c>
      <c r="E33" s="42">
        <v>1</v>
      </c>
      <c r="F33" s="42">
        <v>0</v>
      </c>
      <c r="G33" s="42">
        <v>0</v>
      </c>
      <c r="H33" s="42">
        <v>0</v>
      </c>
      <c r="I33" s="12">
        <v>4.8</v>
      </c>
      <c r="J33" s="13" t="s">
        <v>19</v>
      </c>
      <c r="K33" s="14">
        <v>1063311.0540231219</v>
      </c>
      <c r="L33" s="14">
        <v>41721442.204466559</v>
      </c>
      <c r="M33" s="14">
        <v>144718.43667467235</v>
      </c>
      <c r="N33" s="14">
        <v>998.94597811373194</v>
      </c>
    </row>
    <row r="34" spans="1:14" ht="16" x14ac:dyDescent="0.4">
      <c r="A34" s="15" t="s">
        <v>67</v>
      </c>
      <c r="B34" s="17" t="s">
        <v>65</v>
      </c>
      <c r="C34" s="11" t="s">
        <v>3</v>
      </c>
      <c r="D34" s="42">
        <v>0</v>
      </c>
      <c r="E34" s="42">
        <v>1</v>
      </c>
      <c r="F34" s="42">
        <v>0</v>
      </c>
      <c r="G34" s="42">
        <v>0</v>
      </c>
      <c r="H34" s="42">
        <v>0</v>
      </c>
      <c r="I34" s="12">
        <v>4.8</v>
      </c>
      <c r="J34" s="13" t="s">
        <v>19</v>
      </c>
      <c r="K34" s="14">
        <v>973199.94774997607</v>
      </c>
      <c r="L34" s="14">
        <v>38657664.591179602</v>
      </c>
      <c r="M34" s="14">
        <v>147421.76986286676</v>
      </c>
      <c r="N34" s="14">
        <v>1609.1268977347486</v>
      </c>
    </row>
    <row r="35" spans="1:14" ht="16" x14ac:dyDescent="0.4">
      <c r="A35" s="15" t="s">
        <v>68</v>
      </c>
      <c r="B35" s="17" t="s">
        <v>69</v>
      </c>
      <c r="C35" s="11" t="s">
        <v>12</v>
      </c>
      <c r="D35" s="42">
        <v>0</v>
      </c>
      <c r="E35" s="42">
        <v>1</v>
      </c>
      <c r="F35" s="42">
        <v>0</v>
      </c>
      <c r="G35" s="42">
        <v>1</v>
      </c>
      <c r="H35" s="42">
        <v>0</v>
      </c>
      <c r="I35" s="12">
        <v>4.8</v>
      </c>
      <c r="J35" s="13" t="s">
        <v>19</v>
      </c>
      <c r="K35" s="14">
        <v>1116740.4627538642</v>
      </c>
      <c r="L35" s="14">
        <v>38843146.530569196</v>
      </c>
      <c r="M35" s="14">
        <v>44475.402777501731</v>
      </c>
      <c r="N35" s="14">
        <v>1159.7453749841375</v>
      </c>
    </row>
    <row r="36" spans="1:14" ht="16" x14ac:dyDescent="0.4">
      <c r="A36" s="15" t="s">
        <v>70</v>
      </c>
      <c r="B36" s="17" t="s">
        <v>69</v>
      </c>
      <c r="C36" s="11" t="s">
        <v>12</v>
      </c>
      <c r="D36" s="42">
        <v>0</v>
      </c>
      <c r="E36" s="42">
        <v>1</v>
      </c>
      <c r="F36" s="42">
        <v>0</v>
      </c>
      <c r="G36" s="42">
        <v>1</v>
      </c>
      <c r="H36" s="42">
        <v>0</v>
      </c>
      <c r="I36" s="12">
        <v>4.8</v>
      </c>
      <c r="J36" s="13" t="s">
        <v>19</v>
      </c>
      <c r="K36" s="14">
        <v>1252691.4756108564</v>
      </c>
      <c r="L36" s="14">
        <v>33599321.748942353</v>
      </c>
      <c r="M36" s="14">
        <v>48359.717430558645</v>
      </c>
      <c r="N36" s="14">
        <v>1470.4905472286907</v>
      </c>
    </row>
    <row r="37" spans="1:14" ht="16" x14ac:dyDescent="0.4">
      <c r="A37" s="15" t="s">
        <v>71</v>
      </c>
      <c r="B37" s="17" t="s">
        <v>69</v>
      </c>
      <c r="C37" s="11" t="s">
        <v>12</v>
      </c>
      <c r="D37" s="42">
        <v>0</v>
      </c>
      <c r="E37" s="42">
        <v>1</v>
      </c>
      <c r="F37" s="42">
        <v>0</v>
      </c>
      <c r="G37" s="42">
        <v>1</v>
      </c>
      <c r="H37" s="42">
        <v>0</v>
      </c>
      <c r="I37" s="12">
        <v>4.8</v>
      </c>
      <c r="J37" s="13" t="s">
        <v>19</v>
      </c>
      <c r="K37" s="14">
        <v>1476039.5681616294</v>
      </c>
      <c r="L37" s="14">
        <v>35541479.075470813</v>
      </c>
      <c r="M37" s="14">
        <v>44863.834242807417</v>
      </c>
      <c r="N37" s="14">
        <v>1230.4953918791027</v>
      </c>
    </row>
    <row r="38" spans="1:14" ht="16" x14ac:dyDescent="0.4">
      <c r="A38" s="15" t="s">
        <v>72</v>
      </c>
      <c r="B38" s="17" t="s">
        <v>73</v>
      </c>
      <c r="C38" s="11" t="s">
        <v>11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12">
        <v>5.8</v>
      </c>
      <c r="J38" s="13" t="s">
        <v>19</v>
      </c>
      <c r="K38" s="14">
        <v>8489295.4091771543</v>
      </c>
      <c r="L38" s="14">
        <v>312267065051.01929</v>
      </c>
      <c r="M38" s="14">
        <v>9005603.4340627827</v>
      </c>
      <c r="N38" s="14">
        <v>1184387914.229394</v>
      </c>
    </row>
    <row r="39" spans="1:14" ht="16" x14ac:dyDescent="0.4">
      <c r="A39" s="15" t="s">
        <v>74</v>
      </c>
      <c r="B39" s="17" t="s">
        <v>73</v>
      </c>
      <c r="C39" s="11" t="s">
        <v>11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12">
        <v>5.8</v>
      </c>
      <c r="J39" s="13" t="s">
        <v>19</v>
      </c>
      <c r="K39" s="14">
        <v>7943200.3828558158</v>
      </c>
      <c r="L39" s="14">
        <v>202055159738.89484</v>
      </c>
      <c r="M39" s="14">
        <v>8201354.39529863</v>
      </c>
      <c r="N39" s="14">
        <v>985807904.65799844</v>
      </c>
    </row>
    <row r="40" spans="1:14" ht="16" x14ac:dyDescent="0.4">
      <c r="A40" s="15" t="s">
        <v>75</v>
      </c>
      <c r="B40" s="17" t="s">
        <v>73</v>
      </c>
      <c r="C40" s="11" t="s">
        <v>11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12">
        <v>5.8</v>
      </c>
      <c r="J40" s="13" t="s">
        <v>19</v>
      </c>
      <c r="K40" s="14">
        <v>7297815.3517487803</v>
      </c>
      <c r="L40" s="14">
        <v>178225558590.32736</v>
      </c>
      <c r="M40" s="14">
        <v>7287886.3512702109</v>
      </c>
      <c r="N40" s="14">
        <v>1148927198.2345021</v>
      </c>
    </row>
    <row r="41" spans="1:14" ht="16" x14ac:dyDescent="0.4">
      <c r="A41" s="15" t="s">
        <v>76</v>
      </c>
      <c r="B41" s="17" t="s">
        <v>77</v>
      </c>
      <c r="C41" s="11" t="s">
        <v>5</v>
      </c>
      <c r="D41" s="42">
        <v>0</v>
      </c>
      <c r="E41" s="42">
        <v>0</v>
      </c>
      <c r="F41" s="42">
        <v>0</v>
      </c>
      <c r="G41" s="42">
        <v>1</v>
      </c>
      <c r="H41" s="42">
        <v>0</v>
      </c>
      <c r="I41" s="12">
        <v>5.8</v>
      </c>
      <c r="J41" s="13" t="s">
        <v>19</v>
      </c>
      <c r="K41" s="14">
        <v>2575512.5829914329</v>
      </c>
      <c r="L41" s="14">
        <v>22055753210.708454</v>
      </c>
      <c r="M41" s="14">
        <v>250527133.07280302</v>
      </c>
      <c r="N41" s="14">
        <v>5050680.5198922912</v>
      </c>
    </row>
    <row r="42" spans="1:14" ht="16" x14ac:dyDescent="0.4">
      <c r="A42" s="15" t="s">
        <v>78</v>
      </c>
      <c r="B42" s="17" t="s">
        <v>77</v>
      </c>
      <c r="C42" s="11" t="s">
        <v>5</v>
      </c>
      <c r="D42" s="42">
        <v>0</v>
      </c>
      <c r="E42" s="42">
        <v>0</v>
      </c>
      <c r="F42" s="42">
        <v>0</v>
      </c>
      <c r="G42" s="42">
        <v>1</v>
      </c>
      <c r="H42" s="42">
        <v>0</v>
      </c>
      <c r="I42" s="12">
        <v>5.8</v>
      </c>
      <c r="J42" s="13" t="s">
        <v>19</v>
      </c>
      <c r="K42" s="14">
        <v>2528685.081482498</v>
      </c>
      <c r="L42" s="14">
        <v>12807321662.693762</v>
      </c>
      <c r="M42" s="14">
        <v>239756807.72574797</v>
      </c>
      <c r="N42" s="14">
        <v>4916887.6584381899</v>
      </c>
    </row>
    <row r="43" spans="1:14" ht="16" x14ac:dyDescent="0.4">
      <c r="A43" s="15" t="s">
        <v>79</v>
      </c>
      <c r="B43" s="17" t="s">
        <v>77</v>
      </c>
      <c r="C43" s="11" t="s">
        <v>5</v>
      </c>
      <c r="D43" s="42">
        <v>0</v>
      </c>
      <c r="E43" s="42">
        <v>0</v>
      </c>
      <c r="F43" s="42">
        <v>0</v>
      </c>
      <c r="G43" s="42">
        <v>1</v>
      </c>
      <c r="H43" s="42">
        <v>0</v>
      </c>
      <c r="I43" s="12">
        <v>5.8</v>
      </c>
      <c r="J43" s="13" t="s">
        <v>19</v>
      </c>
      <c r="K43" s="14">
        <v>3160856.3518531225</v>
      </c>
      <c r="L43" s="14">
        <v>17607140567.359615</v>
      </c>
      <c r="M43" s="14">
        <v>243034732.83137339</v>
      </c>
      <c r="N43" s="14">
        <v>4448612.6433488391</v>
      </c>
    </row>
    <row r="44" spans="1:14" ht="16" x14ac:dyDescent="0.4">
      <c r="A44" s="15" t="s">
        <v>80</v>
      </c>
      <c r="B44" s="17" t="s">
        <v>81</v>
      </c>
      <c r="C44" s="11" t="s">
        <v>3</v>
      </c>
      <c r="D44" s="42">
        <v>0</v>
      </c>
      <c r="E44" s="42">
        <v>1</v>
      </c>
      <c r="F44" s="42">
        <v>0</v>
      </c>
      <c r="G44" s="42">
        <v>0</v>
      </c>
      <c r="H44" s="42">
        <v>0</v>
      </c>
      <c r="I44" s="12">
        <v>5.8</v>
      </c>
      <c r="J44" s="13" t="s">
        <v>19</v>
      </c>
      <c r="K44" s="14">
        <v>4944447.7879498005</v>
      </c>
      <c r="L44" s="14">
        <v>143603961841.32465</v>
      </c>
      <c r="M44" s="14">
        <v>851304923.49048734</v>
      </c>
      <c r="N44" s="14">
        <v>9090413.3244294468</v>
      </c>
    </row>
    <row r="45" spans="1:14" ht="16" x14ac:dyDescent="0.4">
      <c r="A45" s="15" t="s">
        <v>82</v>
      </c>
      <c r="B45" s="17" t="s">
        <v>81</v>
      </c>
      <c r="C45" s="11" t="s">
        <v>3</v>
      </c>
      <c r="D45" s="42">
        <v>0</v>
      </c>
      <c r="E45" s="42">
        <v>1</v>
      </c>
      <c r="F45" s="42">
        <v>0</v>
      </c>
      <c r="G45" s="42">
        <v>0</v>
      </c>
      <c r="H45" s="42">
        <v>0</v>
      </c>
      <c r="I45" s="12">
        <v>5.8</v>
      </c>
      <c r="J45" s="13" t="s">
        <v>19</v>
      </c>
      <c r="K45" s="14">
        <v>4643481.4008572036</v>
      </c>
      <c r="L45" s="14">
        <v>94589435943.387482</v>
      </c>
      <c r="M45" s="14">
        <v>841845979.89614868</v>
      </c>
      <c r="N45" s="14">
        <v>8169087.6496561915</v>
      </c>
    </row>
    <row r="46" spans="1:14" ht="16" x14ac:dyDescent="0.4">
      <c r="A46" s="15" t="s">
        <v>83</v>
      </c>
      <c r="B46" s="17" t="s">
        <v>81</v>
      </c>
      <c r="C46" s="11" t="s">
        <v>3</v>
      </c>
      <c r="D46" s="42">
        <v>0</v>
      </c>
      <c r="E46" s="42">
        <v>1</v>
      </c>
      <c r="F46" s="42">
        <v>0</v>
      </c>
      <c r="G46" s="42">
        <v>0</v>
      </c>
      <c r="H46" s="42">
        <v>0</v>
      </c>
      <c r="I46" s="12">
        <v>5.8</v>
      </c>
      <c r="J46" s="13" t="s">
        <v>19</v>
      </c>
      <c r="K46" s="14">
        <v>4643481.4008572036</v>
      </c>
      <c r="L46" s="14">
        <v>89859964146.218109</v>
      </c>
      <c r="M46" s="14">
        <v>825507804.59683633</v>
      </c>
      <c r="N46" s="14">
        <v>9028991.6127778981</v>
      </c>
    </row>
    <row r="47" spans="1:14" ht="16" x14ac:dyDescent="0.4">
      <c r="A47" s="15" t="s">
        <v>84</v>
      </c>
      <c r="B47" s="17" t="s">
        <v>85</v>
      </c>
      <c r="C47" s="11" t="s">
        <v>12</v>
      </c>
      <c r="D47" s="42">
        <v>0</v>
      </c>
      <c r="E47" s="42">
        <v>1</v>
      </c>
      <c r="F47" s="42">
        <v>0</v>
      </c>
      <c r="G47" s="42">
        <v>1</v>
      </c>
      <c r="H47" s="42">
        <v>0</v>
      </c>
      <c r="I47" s="12">
        <v>5.8</v>
      </c>
      <c r="J47" s="13" t="s">
        <v>19</v>
      </c>
      <c r="K47" s="14">
        <v>5796100.6245345855</v>
      </c>
      <c r="L47" s="14">
        <v>0</v>
      </c>
      <c r="M47" s="14">
        <v>767017315.98007691</v>
      </c>
      <c r="N47" s="14">
        <v>7590131.7702238616</v>
      </c>
    </row>
    <row r="48" spans="1:14" ht="16" x14ac:dyDescent="0.4">
      <c r="A48" s="15" t="s">
        <v>86</v>
      </c>
      <c r="B48" s="17" t="s">
        <v>85</v>
      </c>
      <c r="C48" s="11" t="s">
        <v>12</v>
      </c>
      <c r="D48" s="42">
        <v>0</v>
      </c>
      <c r="E48" s="42">
        <v>1</v>
      </c>
      <c r="F48" s="42">
        <v>0</v>
      </c>
      <c r="G48" s="42">
        <v>1</v>
      </c>
      <c r="H48" s="42">
        <v>0</v>
      </c>
      <c r="I48" s="12">
        <v>5.8</v>
      </c>
      <c r="J48" s="13" t="s">
        <v>19</v>
      </c>
      <c r="K48" s="14">
        <v>6713816.5567525616</v>
      </c>
      <c r="L48" s="14">
        <v>89356551294.908188</v>
      </c>
      <c r="M48" s="14">
        <v>802759936.4980402</v>
      </c>
      <c r="N48" s="14">
        <v>7383128.1764904847</v>
      </c>
    </row>
    <row r="49" spans="1:14" ht="16" x14ac:dyDescent="0.4">
      <c r="A49" s="15" t="s">
        <v>87</v>
      </c>
      <c r="B49" s="17" t="s">
        <v>85</v>
      </c>
      <c r="C49" s="11" t="s">
        <v>12</v>
      </c>
      <c r="D49" s="42">
        <v>0</v>
      </c>
      <c r="E49" s="42">
        <v>1</v>
      </c>
      <c r="F49" s="42">
        <v>0</v>
      </c>
      <c r="G49" s="42">
        <v>1</v>
      </c>
      <c r="H49" s="42">
        <v>0</v>
      </c>
      <c r="I49" s="12">
        <v>5.8</v>
      </c>
      <c r="J49" s="13" t="s">
        <v>19</v>
      </c>
      <c r="K49" s="14">
        <v>5892702.3016101616</v>
      </c>
      <c r="L49" s="14">
        <v>86458500982.640915</v>
      </c>
      <c r="M49" s="14">
        <v>777643500.45839024</v>
      </c>
      <c r="N49" s="14">
        <v>7521130.572312736</v>
      </c>
    </row>
    <row r="50" spans="1:14" ht="16" x14ac:dyDescent="0.4">
      <c r="A50" s="15" t="s">
        <v>88</v>
      </c>
      <c r="B50" s="17" t="s">
        <v>89</v>
      </c>
      <c r="C50" s="11" t="s">
        <v>11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12">
        <v>4.8</v>
      </c>
      <c r="J50" s="13" t="s">
        <v>20</v>
      </c>
      <c r="K50" s="14">
        <v>1670919.6221334201</v>
      </c>
      <c r="L50" s="14">
        <v>9839859997.0079174</v>
      </c>
      <c r="M50" s="14">
        <v>451767.15709533205</v>
      </c>
      <c r="N50" s="14">
        <v>44867286.149878867</v>
      </c>
    </row>
    <row r="51" spans="1:14" ht="16" x14ac:dyDescent="0.4">
      <c r="A51" s="15" t="s">
        <v>90</v>
      </c>
      <c r="B51" s="17" t="s">
        <v>89</v>
      </c>
      <c r="C51" s="11" t="s">
        <v>11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12">
        <v>4.8</v>
      </c>
      <c r="J51" s="13" t="s">
        <v>20</v>
      </c>
      <c r="K51" s="14">
        <v>1670919.6221334201</v>
      </c>
      <c r="L51" s="14">
        <v>9592316349.2844486</v>
      </c>
      <c r="M51" s="14">
        <v>408447.01874372491</v>
      </c>
      <c r="N51" s="14">
        <v>40004821.641025007</v>
      </c>
    </row>
    <row r="52" spans="1:14" ht="16" x14ac:dyDescent="0.4">
      <c r="A52" s="15" t="s">
        <v>91</v>
      </c>
      <c r="B52" s="17" t="s">
        <v>89</v>
      </c>
      <c r="C52" s="11" t="s">
        <v>11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12">
        <v>4.8</v>
      </c>
      <c r="J52" s="13" t="s">
        <v>20</v>
      </c>
      <c r="K52" s="14">
        <v>2011292.1377531907</v>
      </c>
      <c r="L52" s="14">
        <v>9267415311.6473942</v>
      </c>
      <c r="M52" s="14">
        <v>392975.54076100804</v>
      </c>
      <c r="N52" s="14">
        <v>43983201.693723619</v>
      </c>
    </row>
    <row r="53" spans="1:14" ht="16" x14ac:dyDescent="0.4">
      <c r="A53" s="15" t="s">
        <v>92</v>
      </c>
      <c r="B53" s="17" t="s">
        <v>93</v>
      </c>
      <c r="C53" s="11" t="s">
        <v>5</v>
      </c>
      <c r="D53" s="42">
        <v>0</v>
      </c>
      <c r="E53" s="42">
        <v>0</v>
      </c>
      <c r="F53" s="42">
        <v>0</v>
      </c>
      <c r="G53" s="42">
        <v>1</v>
      </c>
      <c r="H53" s="42">
        <v>0</v>
      </c>
      <c r="I53" s="12">
        <v>4.8</v>
      </c>
      <c r="J53" s="13" t="s">
        <v>20</v>
      </c>
      <c r="K53" s="14">
        <v>1311128.5957461195</v>
      </c>
      <c r="L53" s="14">
        <v>8150258838.4218245</v>
      </c>
      <c r="M53" s="14">
        <v>380345.41245968512</v>
      </c>
      <c r="N53" s="14">
        <v>2767375.671845092</v>
      </c>
    </row>
    <row r="54" spans="1:14" ht="16" x14ac:dyDescent="0.4">
      <c r="A54" s="15" t="s">
        <v>94</v>
      </c>
      <c r="B54" s="17" t="s">
        <v>93</v>
      </c>
      <c r="C54" s="11" t="s">
        <v>5</v>
      </c>
      <c r="D54" s="42">
        <v>0</v>
      </c>
      <c r="E54" s="42">
        <v>0</v>
      </c>
      <c r="F54" s="42">
        <v>0</v>
      </c>
      <c r="G54" s="42">
        <v>1</v>
      </c>
      <c r="H54" s="42">
        <v>0</v>
      </c>
      <c r="I54" s="12">
        <v>4.8</v>
      </c>
      <c r="J54" s="13" t="s">
        <v>20</v>
      </c>
      <c r="K54" s="14">
        <v>1322940.5650771658</v>
      </c>
      <c r="L54" s="14">
        <v>7583284310.5316114</v>
      </c>
      <c r="M54" s="14">
        <v>356721.47379759292</v>
      </c>
      <c r="N54" s="14">
        <v>2598633.2528301473</v>
      </c>
    </row>
    <row r="55" spans="1:14" ht="16" x14ac:dyDescent="0.4">
      <c r="A55" s="15" t="s">
        <v>95</v>
      </c>
      <c r="B55" s="17" t="s">
        <v>93</v>
      </c>
      <c r="C55" s="11" t="s">
        <v>5</v>
      </c>
      <c r="D55" s="42">
        <v>0</v>
      </c>
      <c r="E55" s="42">
        <v>0</v>
      </c>
      <c r="F55" s="42">
        <v>0</v>
      </c>
      <c r="G55" s="42">
        <v>1</v>
      </c>
      <c r="H55" s="42">
        <v>0</v>
      </c>
      <c r="I55" s="12">
        <v>4.8</v>
      </c>
      <c r="J55" s="13" t="s">
        <v>20</v>
      </c>
      <c r="K55" s="14">
        <v>1452872.2277186732</v>
      </c>
      <c r="L55" s="14">
        <v>7323420985.2485962</v>
      </c>
      <c r="M55" s="14">
        <v>363808.65539622062</v>
      </c>
      <c r="N55" s="14">
        <v>2548010.5271256636</v>
      </c>
    </row>
    <row r="56" spans="1:14" ht="16" x14ac:dyDescent="0.4">
      <c r="A56" s="15" t="s">
        <v>96</v>
      </c>
      <c r="B56" s="17" t="s">
        <v>97</v>
      </c>
      <c r="C56" s="11" t="s">
        <v>3</v>
      </c>
      <c r="D56" s="42">
        <v>0</v>
      </c>
      <c r="E56" s="42">
        <v>1</v>
      </c>
      <c r="F56" s="42">
        <v>0</v>
      </c>
      <c r="G56" s="42">
        <v>0</v>
      </c>
      <c r="H56" s="42">
        <v>0</v>
      </c>
      <c r="I56" s="12">
        <v>4.8</v>
      </c>
      <c r="J56" s="13" t="s">
        <v>20</v>
      </c>
      <c r="K56" s="14">
        <v>1365091.6321015754</v>
      </c>
      <c r="L56" s="14">
        <v>11320272071.086235</v>
      </c>
      <c r="M56" s="14">
        <v>1331796.7142454395</v>
      </c>
      <c r="N56" s="14">
        <v>174401.95067499802</v>
      </c>
    </row>
    <row r="57" spans="1:14" ht="16" x14ac:dyDescent="0.4">
      <c r="A57" s="15" t="s">
        <v>98</v>
      </c>
      <c r="B57" s="17" t="s">
        <v>97</v>
      </c>
      <c r="C57" s="11" t="s">
        <v>3</v>
      </c>
      <c r="D57" s="42">
        <v>0</v>
      </c>
      <c r="E57" s="42">
        <v>1</v>
      </c>
      <c r="F57" s="42">
        <v>0</v>
      </c>
      <c r="G57" s="42">
        <v>0</v>
      </c>
      <c r="H57" s="42">
        <v>0</v>
      </c>
      <c r="I57" s="12">
        <v>4.8</v>
      </c>
      <c r="J57" s="13" t="s">
        <v>20</v>
      </c>
      <c r="K57" s="14">
        <v>1265206.8785331673</v>
      </c>
      <c r="L57" s="14">
        <v>11053912728.237146</v>
      </c>
      <c r="M57" s="14">
        <v>1287403.490437258</v>
      </c>
      <c r="N57" s="14">
        <v>147924.5636179756</v>
      </c>
    </row>
    <row r="58" spans="1:14" ht="16" x14ac:dyDescent="0.4">
      <c r="A58" s="15" t="s">
        <v>99</v>
      </c>
      <c r="B58" s="17" t="s">
        <v>97</v>
      </c>
      <c r="C58" s="11" t="s">
        <v>3</v>
      </c>
      <c r="D58" s="42">
        <v>0</v>
      </c>
      <c r="E58" s="42">
        <v>1</v>
      </c>
      <c r="F58" s="42">
        <v>0</v>
      </c>
      <c r="G58" s="42">
        <v>0</v>
      </c>
      <c r="H58" s="42">
        <v>0</v>
      </c>
      <c r="I58" s="12">
        <v>4.8</v>
      </c>
      <c r="J58" s="13" t="s">
        <v>20</v>
      </c>
      <c r="K58" s="14">
        <v>1287403.490437258</v>
      </c>
      <c r="L58" s="14">
        <v>10820848303.244194</v>
      </c>
      <c r="M58" s="14">
        <v>1260767.5561523493</v>
      </c>
      <c r="N58" s="14">
        <v>169645.53383840714</v>
      </c>
    </row>
    <row r="59" spans="1:14" ht="16" x14ac:dyDescent="0.4">
      <c r="A59" s="15" t="s">
        <v>100</v>
      </c>
      <c r="B59" s="17" t="s">
        <v>101</v>
      </c>
      <c r="C59" s="11" t="s">
        <v>12</v>
      </c>
      <c r="D59" s="42">
        <v>0</v>
      </c>
      <c r="E59" s="42">
        <v>1</v>
      </c>
      <c r="F59" s="42">
        <v>0</v>
      </c>
      <c r="G59" s="42">
        <v>1</v>
      </c>
      <c r="H59" s="42">
        <v>0</v>
      </c>
      <c r="I59" s="12">
        <v>4.8</v>
      </c>
      <c r="J59" s="13" t="s">
        <v>20</v>
      </c>
      <c r="K59" s="14">
        <v>1369723.3190664828</v>
      </c>
      <c r="L59" s="14">
        <v>8877836327.2827587</v>
      </c>
      <c r="M59" s="14">
        <v>1156655.2472116968</v>
      </c>
      <c r="N59" s="14">
        <v>193862.95653454188</v>
      </c>
    </row>
    <row r="60" spans="1:14" ht="16" x14ac:dyDescent="0.4">
      <c r="A60" s="15" t="s">
        <v>102</v>
      </c>
      <c r="B60" s="17" t="s">
        <v>101</v>
      </c>
      <c r="C60" s="11" t="s">
        <v>12</v>
      </c>
      <c r="D60" s="42">
        <v>0</v>
      </c>
      <c r="E60" s="42">
        <v>1</v>
      </c>
      <c r="F60" s="42">
        <v>0</v>
      </c>
      <c r="G60" s="42">
        <v>1</v>
      </c>
      <c r="H60" s="42">
        <v>0</v>
      </c>
      <c r="I60" s="12">
        <v>4.8</v>
      </c>
      <c r="J60" s="13" t="s">
        <v>20</v>
      </c>
      <c r="K60" s="14">
        <v>1585327.9155862071</v>
      </c>
      <c r="L60" s="14">
        <v>8624183860.7889652</v>
      </c>
      <c r="M60" s="14">
        <v>1275871.9064637795</v>
      </c>
      <c r="N60" s="14">
        <v>168678.89021837243</v>
      </c>
    </row>
    <row r="61" spans="1:14" ht="16" x14ac:dyDescent="0.4">
      <c r="A61" s="15" t="s">
        <v>103</v>
      </c>
      <c r="B61" s="17" t="s">
        <v>101</v>
      </c>
      <c r="C61" s="11" t="s">
        <v>12</v>
      </c>
      <c r="D61" s="42">
        <v>0</v>
      </c>
      <c r="E61" s="42">
        <v>1</v>
      </c>
      <c r="F61" s="42">
        <v>0</v>
      </c>
      <c r="G61" s="42">
        <v>1</v>
      </c>
      <c r="H61" s="42">
        <v>0</v>
      </c>
      <c r="I61" s="12">
        <v>4.8</v>
      </c>
      <c r="J61" s="13" t="s">
        <v>20</v>
      </c>
      <c r="K61" s="14">
        <v>1521914.7989627586</v>
      </c>
      <c r="L61" s="14">
        <v>8421261887.5939322</v>
      </c>
      <c r="M61" s="14">
        <v>1187093.5431909519</v>
      </c>
      <c r="N61" s="14">
        <v>175744.92321355667</v>
      </c>
    </row>
    <row r="62" spans="1:14" ht="16" x14ac:dyDescent="0.4">
      <c r="A62" s="15" t="s">
        <v>104</v>
      </c>
      <c r="B62" s="17" t="s">
        <v>105</v>
      </c>
      <c r="C62" s="11" t="s">
        <v>11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12">
        <v>5.8</v>
      </c>
      <c r="J62" s="13" t="s">
        <v>20</v>
      </c>
      <c r="K62" s="14">
        <v>8262652.237202025</v>
      </c>
      <c r="L62" s="14">
        <v>252266816091.56625</v>
      </c>
      <c r="M62" s="14">
        <v>9476457.787091881</v>
      </c>
      <c r="N62" s="14">
        <v>7301635794.9484396</v>
      </c>
    </row>
    <row r="63" spans="1:14" ht="16" x14ac:dyDescent="0.4">
      <c r="A63" s="15" t="s">
        <v>106</v>
      </c>
      <c r="B63" s="17" t="s">
        <v>105</v>
      </c>
      <c r="C63" s="11" t="s">
        <v>11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12">
        <v>5.8</v>
      </c>
      <c r="J63" s="13" t="s">
        <v>20</v>
      </c>
      <c r="K63" s="14">
        <v>10310035.092437925</v>
      </c>
      <c r="L63" s="14">
        <v>168909085556.96176</v>
      </c>
      <c r="M63" s="14">
        <v>9388712.8075817712</v>
      </c>
      <c r="N63" s="14">
        <v>6998706699.0206776</v>
      </c>
    </row>
    <row r="64" spans="1:14" ht="16" x14ac:dyDescent="0.4">
      <c r="A64" s="15" t="s">
        <v>107</v>
      </c>
      <c r="B64" s="17" t="s">
        <v>105</v>
      </c>
      <c r="C64" s="11" t="s">
        <v>11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12">
        <v>5.8</v>
      </c>
      <c r="J64" s="13" t="s">
        <v>20</v>
      </c>
      <c r="K64" s="14">
        <v>8993860.3997862749</v>
      </c>
      <c r="L64" s="14">
        <v>146241632516.85001</v>
      </c>
      <c r="M64" s="14">
        <v>10807256.642995216</v>
      </c>
      <c r="N64" s="14">
        <v>7165839993.3256502</v>
      </c>
    </row>
    <row r="65" spans="1:14" ht="16" x14ac:dyDescent="0.4">
      <c r="A65" s="15" t="s">
        <v>108</v>
      </c>
      <c r="B65" s="17" t="s">
        <v>109</v>
      </c>
      <c r="C65" s="11" t="s">
        <v>5</v>
      </c>
      <c r="D65" s="42">
        <v>0</v>
      </c>
      <c r="E65" s="42">
        <v>0</v>
      </c>
      <c r="F65" s="42">
        <v>0</v>
      </c>
      <c r="G65" s="42">
        <v>1</v>
      </c>
      <c r="H65" s="42">
        <v>0</v>
      </c>
      <c r="I65" s="12">
        <v>5.8</v>
      </c>
      <c r="J65" s="13" t="s">
        <v>20</v>
      </c>
      <c r="K65" s="14">
        <v>12435730.351558911</v>
      </c>
      <c r="L65" s="14">
        <v>518155431314.95465</v>
      </c>
      <c r="M65" s="14">
        <v>183772459.63970393</v>
      </c>
      <c r="N65" s="14">
        <v>1694286013.5060422</v>
      </c>
    </row>
    <row r="66" spans="1:14" ht="16" x14ac:dyDescent="0.4">
      <c r="A66" s="15" t="s">
        <v>110</v>
      </c>
      <c r="B66" s="17" t="s">
        <v>109</v>
      </c>
      <c r="C66" s="11" t="s">
        <v>5</v>
      </c>
      <c r="D66" s="42">
        <v>0</v>
      </c>
      <c r="E66" s="42">
        <v>0</v>
      </c>
      <c r="F66" s="42">
        <v>0</v>
      </c>
      <c r="G66" s="42">
        <v>1</v>
      </c>
      <c r="H66" s="42">
        <v>0</v>
      </c>
      <c r="I66" s="12">
        <v>5.8</v>
      </c>
      <c r="J66" s="13" t="s">
        <v>20</v>
      </c>
      <c r="K66" s="14">
        <v>12435730.351558911</v>
      </c>
      <c r="L66" s="14">
        <v>0</v>
      </c>
      <c r="M66" s="14">
        <v>174330516.22463143</v>
      </c>
      <c r="N66" s="14">
        <v>1623553684.7868581</v>
      </c>
    </row>
    <row r="67" spans="1:14" ht="16" x14ac:dyDescent="0.4">
      <c r="A67" s="15" t="s">
        <v>111</v>
      </c>
      <c r="B67" s="17" t="s">
        <v>109</v>
      </c>
      <c r="C67" s="11" t="s">
        <v>5</v>
      </c>
      <c r="D67" s="42">
        <v>0</v>
      </c>
      <c r="E67" s="42">
        <v>0</v>
      </c>
      <c r="F67" s="42">
        <v>0</v>
      </c>
      <c r="G67" s="42">
        <v>1</v>
      </c>
      <c r="H67" s="42">
        <v>0</v>
      </c>
      <c r="I67" s="12">
        <v>5.8</v>
      </c>
      <c r="J67" s="13" t="s">
        <v>20</v>
      </c>
      <c r="K67" s="14">
        <v>12435730.351558911</v>
      </c>
      <c r="L67" s="14">
        <v>383435019173.06647</v>
      </c>
      <c r="M67" s="14">
        <v>170185272.77411178</v>
      </c>
      <c r="N67" s="14">
        <v>1580785299.9799094</v>
      </c>
    </row>
    <row r="68" spans="1:14" ht="16" x14ac:dyDescent="0.4">
      <c r="A68" s="15" t="s">
        <v>112</v>
      </c>
      <c r="B68" s="17" t="s">
        <v>113</v>
      </c>
      <c r="C68" s="11" t="s">
        <v>3</v>
      </c>
      <c r="D68" s="42">
        <v>0</v>
      </c>
      <c r="E68" s="42">
        <v>1</v>
      </c>
      <c r="F68" s="42">
        <v>0</v>
      </c>
      <c r="G68" s="42">
        <v>0</v>
      </c>
      <c r="H68" s="42">
        <v>0</v>
      </c>
      <c r="I68" s="12">
        <v>5.8</v>
      </c>
      <c r="J68" s="13" t="s">
        <v>20</v>
      </c>
      <c r="K68" s="14">
        <v>7944068.0913868137</v>
      </c>
      <c r="L68" s="14">
        <v>389007143840.13202</v>
      </c>
      <c r="M68" s="14">
        <v>1273572821.0001082</v>
      </c>
      <c r="N68" s="14">
        <v>153116958.67752361</v>
      </c>
    </row>
    <row r="69" spans="1:14" ht="16" x14ac:dyDescent="0.4">
      <c r="A69" s="15" t="s">
        <v>114</v>
      </c>
      <c r="B69" s="17" t="s">
        <v>113</v>
      </c>
      <c r="C69" s="11" t="s">
        <v>3</v>
      </c>
      <c r="D69" s="42">
        <v>0</v>
      </c>
      <c r="E69" s="42">
        <v>1</v>
      </c>
      <c r="F69" s="42">
        <v>0</v>
      </c>
      <c r="G69" s="42">
        <v>0</v>
      </c>
      <c r="H69" s="42">
        <v>0</v>
      </c>
      <c r="I69" s="12">
        <v>5.8</v>
      </c>
      <c r="J69" s="13" t="s">
        <v>20</v>
      </c>
      <c r="K69" s="14">
        <v>7754923.6130204611</v>
      </c>
      <c r="L69" s="14">
        <v>419900741973.30298</v>
      </c>
      <c r="M69" s="14">
        <v>1238265851.7050557</v>
      </c>
      <c r="N69" s="14">
        <v>145911454.73975781</v>
      </c>
    </row>
    <row r="70" spans="1:14" ht="16" x14ac:dyDescent="0.4">
      <c r="A70" s="15" t="s">
        <v>115</v>
      </c>
      <c r="B70" s="17" t="s">
        <v>113</v>
      </c>
      <c r="C70" s="11" t="s">
        <v>3</v>
      </c>
      <c r="D70" s="42">
        <v>0</v>
      </c>
      <c r="E70" s="42">
        <v>1</v>
      </c>
      <c r="F70" s="42">
        <v>0</v>
      </c>
      <c r="G70" s="42">
        <v>0</v>
      </c>
      <c r="H70" s="42">
        <v>0</v>
      </c>
      <c r="I70" s="12">
        <v>5.8</v>
      </c>
      <c r="J70" s="13" t="s">
        <v>20</v>
      </c>
      <c r="K70" s="14">
        <v>9394175.7588621844</v>
      </c>
      <c r="L70" s="14">
        <v>294434904656.95569</v>
      </c>
      <c r="M70" s="14">
        <v>1215568514.3010933</v>
      </c>
      <c r="N70" s="14">
        <v>146812142.73197851</v>
      </c>
    </row>
    <row r="71" spans="1:14" ht="16" x14ac:dyDescent="0.4">
      <c r="A71" s="15" t="s">
        <v>116</v>
      </c>
      <c r="B71" s="17" t="s">
        <v>117</v>
      </c>
      <c r="C71" s="11" t="s">
        <v>12</v>
      </c>
      <c r="D71" s="42">
        <v>0</v>
      </c>
      <c r="E71" s="42">
        <v>1</v>
      </c>
      <c r="F71" s="42">
        <v>0</v>
      </c>
      <c r="G71" s="42">
        <v>1</v>
      </c>
      <c r="H71" s="42">
        <v>0</v>
      </c>
      <c r="I71" s="12">
        <v>5.8</v>
      </c>
      <c r="J71" s="13" t="s">
        <v>20</v>
      </c>
      <c r="K71" s="14">
        <v>9307094.1822723094</v>
      </c>
      <c r="L71" s="14">
        <v>553182217594.21326</v>
      </c>
      <c r="M71" s="14">
        <v>928087701.5561682</v>
      </c>
      <c r="N71" s="14">
        <v>129213178.78808638</v>
      </c>
    </row>
    <row r="72" spans="1:14" ht="16" x14ac:dyDescent="0.4">
      <c r="A72" s="15" t="s">
        <v>118</v>
      </c>
      <c r="B72" s="17" t="s">
        <v>117</v>
      </c>
      <c r="C72" s="11" t="s">
        <v>12</v>
      </c>
      <c r="D72" s="42">
        <v>0</v>
      </c>
      <c r="E72" s="42">
        <v>1</v>
      </c>
      <c r="F72" s="42">
        <v>0</v>
      </c>
      <c r="G72" s="42">
        <v>1</v>
      </c>
      <c r="H72" s="42">
        <v>0</v>
      </c>
      <c r="I72" s="12">
        <v>5.8</v>
      </c>
      <c r="J72" s="13" t="s">
        <v>20</v>
      </c>
      <c r="K72" s="14">
        <v>8323950.4306238256</v>
      </c>
      <c r="L72" s="14">
        <v>464699279945.84979</v>
      </c>
      <c r="M72" s="14">
        <v>1043443235.0829237</v>
      </c>
      <c r="N72" s="14">
        <v>127340524.02304165</v>
      </c>
    </row>
    <row r="73" spans="1:14" ht="16" x14ac:dyDescent="0.4">
      <c r="A73" s="15" t="s">
        <v>119</v>
      </c>
      <c r="B73" s="17" t="s">
        <v>117</v>
      </c>
      <c r="C73" s="11" t="s">
        <v>12</v>
      </c>
      <c r="D73" s="42">
        <v>0</v>
      </c>
      <c r="E73" s="42">
        <v>1</v>
      </c>
      <c r="F73" s="42">
        <v>0</v>
      </c>
      <c r="G73" s="42">
        <v>1</v>
      </c>
      <c r="H73" s="42">
        <v>0</v>
      </c>
      <c r="I73" s="12">
        <v>5.8</v>
      </c>
      <c r="J73" s="13" t="s">
        <v>20</v>
      </c>
      <c r="K73" s="14">
        <v>8520579.1809535231</v>
      </c>
      <c r="L73" s="14">
        <v>454212413261.5993</v>
      </c>
      <c r="M73" s="14">
        <v>901870534.84554219</v>
      </c>
      <c r="N73" s="14">
        <v>124531541.87547456</v>
      </c>
    </row>
    <row r="74" spans="1:14" ht="16" x14ac:dyDescent="0.4">
      <c r="A74" s="15" t="s">
        <v>120</v>
      </c>
      <c r="B74" s="17" t="s">
        <v>121</v>
      </c>
      <c r="C74" s="18" t="s">
        <v>122</v>
      </c>
      <c r="D74"/>
      <c r="E74" s="43"/>
      <c r="F74" s="23"/>
      <c r="G74" s="23"/>
      <c r="H74" s="23"/>
      <c r="I74" s="12" t="s">
        <v>122</v>
      </c>
      <c r="J74" s="13" t="s">
        <v>10</v>
      </c>
      <c r="K74" s="14">
        <v>1693205.7089441107</v>
      </c>
      <c r="L74" s="14">
        <v>15509195149.151939</v>
      </c>
      <c r="M74" s="14">
        <v>82810564.924829617</v>
      </c>
      <c r="N74" s="14">
        <v>231723230.2756646</v>
      </c>
    </row>
    <row r="75" spans="1:14" ht="16" x14ac:dyDescent="0.4">
      <c r="A75" s="15" t="s">
        <v>123</v>
      </c>
      <c r="B75" s="17" t="s">
        <v>121</v>
      </c>
      <c r="C75" s="18" t="s">
        <v>122</v>
      </c>
      <c r="D75"/>
      <c r="E75" s="43"/>
      <c r="F75" s="23"/>
      <c r="G75" s="23"/>
      <c r="H75" s="23"/>
      <c r="I75" s="12" t="s">
        <v>122</v>
      </c>
      <c r="J75" s="13" t="s">
        <v>10</v>
      </c>
      <c r="K75" s="14">
        <v>1707434.3283470024</v>
      </c>
      <c r="L75" s="14">
        <v>14015190111.84831</v>
      </c>
      <c r="M75" s="14">
        <v>78826551.492019951</v>
      </c>
      <c r="N75" s="14">
        <v>219527270.78747174</v>
      </c>
    </row>
    <row r="76" spans="1:14" ht="16" x14ac:dyDescent="0.4">
      <c r="A76" s="15" t="s">
        <v>124</v>
      </c>
      <c r="B76" s="17" t="s">
        <v>121</v>
      </c>
      <c r="C76" s="18" t="s">
        <v>122</v>
      </c>
      <c r="D76"/>
      <c r="E76" s="43"/>
      <c r="F76" s="23"/>
      <c r="G76" s="23"/>
      <c r="H76" s="23"/>
      <c r="I76" s="12" t="s">
        <v>122</v>
      </c>
      <c r="J76" s="13" t="s">
        <v>10</v>
      </c>
      <c r="K76" s="14">
        <v>2091607.0522250778</v>
      </c>
      <c r="L76" s="14">
        <v>15082336567.065187</v>
      </c>
      <c r="M76" s="14">
        <v>78257406.715904266</v>
      </c>
      <c r="N76" s="14">
        <v>229690570.36096579</v>
      </c>
    </row>
    <row r="77" spans="1:14" ht="16" x14ac:dyDescent="0.4">
      <c r="A77" s="15" t="s">
        <v>125</v>
      </c>
      <c r="B77" s="17" t="s">
        <v>121</v>
      </c>
      <c r="C77" s="18" t="s">
        <v>122</v>
      </c>
      <c r="D77"/>
      <c r="E77" s="43"/>
      <c r="F77" s="23"/>
      <c r="G77" s="23"/>
      <c r="H77" s="23"/>
      <c r="I77" s="12" t="s">
        <v>122</v>
      </c>
      <c r="J77" s="13" t="s">
        <v>10</v>
      </c>
      <c r="K77" s="14">
        <v>1998213.7136955026</v>
      </c>
      <c r="L77" s="14">
        <v>9976156525.8379936</v>
      </c>
      <c r="M77" s="14">
        <v>43841405.360184908</v>
      </c>
      <c r="N77" s="14">
        <v>166588819.20148009</v>
      </c>
    </row>
    <row r="78" spans="1:14" ht="16" x14ac:dyDescent="0.4">
      <c r="A78" s="15" t="s">
        <v>126</v>
      </c>
      <c r="B78" s="17" t="s">
        <v>121</v>
      </c>
      <c r="C78" s="18" t="s">
        <v>122</v>
      </c>
      <c r="D78"/>
      <c r="E78" s="43"/>
      <c r="F78" s="23"/>
      <c r="G78" s="23"/>
      <c r="H78" s="23"/>
      <c r="I78" s="12" t="s">
        <v>122</v>
      </c>
      <c r="J78" s="13" t="s">
        <v>10</v>
      </c>
      <c r="K78" s="14">
        <v>1789445.1167422412</v>
      </c>
      <c r="L78" s="14">
        <v>9334938692.3386917</v>
      </c>
      <c r="M78" s="14">
        <v>40858996.832281172</v>
      </c>
      <c r="N78" s="14">
        <v>163606410.67357633</v>
      </c>
    </row>
    <row r="79" spans="1:14" ht="16" x14ac:dyDescent="0.4">
      <c r="A79" s="15" t="s">
        <v>127</v>
      </c>
      <c r="B79" s="17" t="s">
        <v>121</v>
      </c>
      <c r="C79" s="18" t="s">
        <v>122</v>
      </c>
      <c r="D79"/>
      <c r="E79" s="43"/>
      <c r="F79" s="23"/>
      <c r="G79" s="23"/>
      <c r="H79" s="23"/>
      <c r="I79" s="12" t="s">
        <v>122</v>
      </c>
      <c r="J79" s="13" t="s">
        <v>10</v>
      </c>
      <c r="K79" s="14">
        <v>1685060.8182656104</v>
      </c>
      <c r="L79" s="14">
        <v>9379674820.2572479</v>
      </c>
      <c r="M79" s="14">
        <v>46823813.888088644</v>
      </c>
      <c r="N79" s="14">
        <v>160410972.96510807</v>
      </c>
    </row>
    <row r="80" spans="1:14" ht="16" x14ac:dyDescent="0.4">
      <c r="A80" s="15" t="s">
        <v>128</v>
      </c>
      <c r="B80" s="17" t="s">
        <v>129</v>
      </c>
      <c r="C80" s="18" t="s">
        <v>122</v>
      </c>
      <c r="D80"/>
      <c r="E80" s="43"/>
      <c r="F80" s="23"/>
      <c r="G80" s="23"/>
      <c r="H80" s="23"/>
      <c r="I80" s="12" t="s">
        <v>122</v>
      </c>
      <c r="J80" s="13" t="s">
        <v>19</v>
      </c>
      <c r="K80" s="14">
        <v>2947504.2662961408</v>
      </c>
      <c r="L80" s="14">
        <v>47214651673.077072</v>
      </c>
      <c r="M80" s="14">
        <v>56220914.708981954</v>
      </c>
      <c r="N80" s="14">
        <v>102928720.41034141</v>
      </c>
    </row>
    <row r="81" spans="1:14" ht="16" x14ac:dyDescent="0.4">
      <c r="A81" s="15" t="s">
        <v>130</v>
      </c>
      <c r="B81" s="17" t="s">
        <v>129</v>
      </c>
      <c r="C81" s="18" t="s">
        <v>122</v>
      </c>
      <c r="D81"/>
      <c r="E81" s="43"/>
      <c r="F81" s="23"/>
      <c r="G81" s="23"/>
      <c r="H81" s="23"/>
      <c r="I81" s="12" t="s">
        <v>122</v>
      </c>
      <c r="J81" s="13" t="s">
        <v>19</v>
      </c>
      <c r="K81" s="14">
        <v>4339381.280935985</v>
      </c>
      <c r="L81" s="14">
        <v>0</v>
      </c>
      <c r="M81" s="14">
        <v>55675080.585593775</v>
      </c>
      <c r="N81" s="14">
        <v>104488246.47716479</v>
      </c>
    </row>
    <row r="82" spans="1:14" ht="16" x14ac:dyDescent="0.4">
      <c r="A82" s="15" t="s">
        <v>131</v>
      </c>
      <c r="B82" s="17" t="s">
        <v>129</v>
      </c>
      <c r="C82" s="18" t="s">
        <v>122</v>
      </c>
      <c r="D82"/>
      <c r="E82" s="43"/>
      <c r="F82" s="23"/>
      <c r="G82" s="23"/>
      <c r="H82" s="23"/>
      <c r="I82" s="12" t="s">
        <v>122</v>
      </c>
      <c r="J82" s="13" t="s">
        <v>19</v>
      </c>
      <c r="K82" s="14">
        <v>3520630.0958537241</v>
      </c>
      <c r="L82" s="14">
        <v>31112545033.125935</v>
      </c>
      <c r="M82" s="14">
        <v>61679255.942863688</v>
      </c>
      <c r="N82" s="14">
        <v>105268009.51057647</v>
      </c>
    </row>
    <row r="83" spans="1:14" ht="16" x14ac:dyDescent="0.4">
      <c r="A83" s="15" t="s">
        <v>132</v>
      </c>
      <c r="B83" s="17" t="s">
        <v>129</v>
      </c>
      <c r="C83" s="18" t="s">
        <v>122</v>
      </c>
      <c r="D83"/>
      <c r="E83" s="43"/>
      <c r="F83" s="23"/>
      <c r="G83" s="23"/>
      <c r="H83" s="23"/>
      <c r="I83" s="12" t="s">
        <v>122</v>
      </c>
      <c r="J83" s="13" t="s">
        <v>19</v>
      </c>
      <c r="K83" s="14">
        <v>3038290.8103937688</v>
      </c>
      <c r="L83" s="14">
        <v>191412321054.80746</v>
      </c>
      <c r="M83" s="14">
        <v>74944506.65637964</v>
      </c>
      <c r="N83" s="14">
        <v>123340138.85050896</v>
      </c>
    </row>
    <row r="84" spans="1:14" ht="16" x14ac:dyDescent="0.4">
      <c r="A84" s="15" t="s">
        <v>133</v>
      </c>
      <c r="B84" s="17" t="s">
        <v>129</v>
      </c>
      <c r="C84" s="18" t="s">
        <v>122</v>
      </c>
      <c r="D84"/>
      <c r="E84" s="43"/>
      <c r="F84" s="23"/>
      <c r="G84" s="23"/>
      <c r="H84" s="23"/>
      <c r="I84" s="12" t="s">
        <v>122</v>
      </c>
      <c r="J84" s="13" t="s">
        <v>19</v>
      </c>
      <c r="K84" s="14">
        <v>3848501.6931654406</v>
      </c>
      <c r="L84" s="14">
        <v>49372225668.898743</v>
      </c>
      <c r="M84" s="14">
        <v>72918979.449450463</v>
      </c>
      <c r="N84" s="14">
        <v>120084827.26794422</v>
      </c>
    </row>
    <row r="85" spans="1:14" ht="16" x14ac:dyDescent="0.4">
      <c r="A85" s="15" t="s">
        <v>134</v>
      </c>
      <c r="B85" s="17" t="s">
        <v>129</v>
      </c>
      <c r="C85" s="18" t="s">
        <v>122</v>
      </c>
      <c r="D85"/>
      <c r="E85" s="43"/>
      <c r="F85" s="22"/>
      <c r="G85" s="23"/>
      <c r="H85" s="23"/>
      <c r="I85" s="12" t="s">
        <v>122</v>
      </c>
      <c r="J85" s="13" t="s">
        <v>19</v>
      </c>
      <c r="K85" s="14">
        <v>3063609.9004803835</v>
      </c>
      <c r="L85" s="14">
        <v>43548834948.977356</v>
      </c>
      <c r="M85" s="14">
        <v>68867925.035592094</v>
      </c>
      <c r="N85" s="14">
        <v>115744411.82452452</v>
      </c>
    </row>
    <row r="86" spans="1:14" ht="16" x14ac:dyDescent="0.4">
      <c r="A86" s="10" t="s">
        <v>135</v>
      </c>
      <c r="B86" s="10" t="s">
        <v>136</v>
      </c>
      <c r="C86" s="11" t="s">
        <v>13</v>
      </c>
      <c r="D86">
        <v>1</v>
      </c>
      <c r="E86" s="42">
        <v>1</v>
      </c>
      <c r="F86" s="42">
        <v>0</v>
      </c>
      <c r="G86" s="42">
        <v>1</v>
      </c>
      <c r="H86" s="42">
        <v>0</v>
      </c>
      <c r="I86" s="19">
        <v>4.8</v>
      </c>
      <c r="J86" s="13" t="s">
        <v>10</v>
      </c>
      <c r="K86" s="14">
        <v>6083890.3693297058</v>
      </c>
      <c r="L86" s="14">
        <v>216040188625.17731</v>
      </c>
      <c r="M86" s="14">
        <v>280603923.15683949</v>
      </c>
      <c r="N86" s="14">
        <v>1850590.5593782291</v>
      </c>
    </row>
    <row r="87" spans="1:14" ht="16" x14ac:dyDescent="0.4">
      <c r="A87" s="15" t="s">
        <v>137</v>
      </c>
      <c r="B87" s="15" t="s">
        <v>136</v>
      </c>
      <c r="C87" s="11" t="s">
        <v>13</v>
      </c>
      <c r="D87">
        <v>1</v>
      </c>
      <c r="E87" s="42">
        <v>1</v>
      </c>
      <c r="F87" s="42">
        <v>0</v>
      </c>
      <c r="G87" s="42">
        <v>1</v>
      </c>
      <c r="H87" s="42">
        <v>0</v>
      </c>
      <c r="I87" s="19">
        <v>4.8</v>
      </c>
      <c r="J87" s="13" t="s">
        <v>10</v>
      </c>
      <c r="K87" s="14">
        <v>5752794.2948083607</v>
      </c>
      <c r="L87" s="14">
        <v>187483152197.71133</v>
      </c>
      <c r="M87" s="14">
        <v>292192285.76508653</v>
      </c>
      <c r="N87" s="14">
        <v>1933364.5780085654</v>
      </c>
    </row>
    <row r="88" spans="1:14" ht="16" x14ac:dyDescent="0.4">
      <c r="A88" s="15" t="s">
        <v>138</v>
      </c>
      <c r="B88" s="10" t="s">
        <v>136</v>
      </c>
      <c r="C88" s="11" t="s">
        <v>13</v>
      </c>
      <c r="D88">
        <v>1</v>
      </c>
      <c r="E88" s="42">
        <v>1</v>
      </c>
      <c r="F88" s="42">
        <v>0</v>
      </c>
      <c r="G88" s="42">
        <v>1</v>
      </c>
      <c r="H88" s="42">
        <v>0</v>
      </c>
      <c r="I88" s="19">
        <v>4.8</v>
      </c>
      <c r="J88" s="13" t="s">
        <v>10</v>
      </c>
      <c r="K88" s="14">
        <v>6001116.3506993698</v>
      </c>
      <c r="L88" s="14">
        <v>163478686794.91385</v>
      </c>
      <c r="M88" s="14">
        <v>290536805.39247978</v>
      </c>
      <c r="N88" s="14">
        <v>1826940.8397695615</v>
      </c>
    </row>
    <row r="89" spans="1:14" ht="16" x14ac:dyDescent="0.4">
      <c r="A89" s="15" t="s">
        <v>139</v>
      </c>
      <c r="B89" s="10" t="s">
        <v>140</v>
      </c>
      <c r="C89" s="11" t="s">
        <v>14</v>
      </c>
      <c r="D89">
        <v>1</v>
      </c>
      <c r="E89" s="42">
        <v>0</v>
      </c>
      <c r="F89" s="42">
        <v>0</v>
      </c>
      <c r="G89" s="42">
        <v>1</v>
      </c>
      <c r="H89" s="42">
        <v>1</v>
      </c>
      <c r="I89" s="19">
        <v>4.8</v>
      </c>
      <c r="J89" s="13" t="s">
        <v>10</v>
      </c>
      <c r="K89" s="14">
        <v>1943572.2053152486</v>
      </c>
      <c r="L89" s="14">
        <v>28648759130.296192</v>
      </c>
      <c r="M89" s="14">
        <v>3155149.6839533253</v>
      </c>
      <c r="N89" s="14">
        <v>378617.96207439899</v>
      </c>
    </row>
    <row r="90" spans="1:14" ht="16" x14ac:dyDescent="0.4">
      <c r="A90" s="15" t="s">
        <v>141</v>
      </c>
      <c r="B90" s="15" t="s">
        <v>140</v>
      </c>
      <c r="C90" s="11" t="s">
        <v>14</v>
      </c>
      <c r="D90">
        <v>1</v>
      </c>
      <c r="E90" s="42">
        <v>0</v>
      </c>
      <c r="F90" s="42">
        <v>0</v>
      </c>
      <c r="G90" s="42">
        <v>1</v>
      </c>
      <c r="H90" s="42">
        <v>1</v>
      </c>
      <c r="I90" s="19">
        <v>4.8</v>
      </c>
      <c r="J90" s="13" t="s">
        <v>10</v>
      </c>
      <c r="K90" s="14">
        <v>1829986.8166929288</v>
      </c>
      <c r="L90" s="14">
        <v>45938979398.360413</v>
      </c>
      <c r="M90" s="14">
        <v>3129908.4864816987</v>
      </c>
      <c r="N90" s="14">
        <v>380420.90475094377</v>
      </c>
    </row>
    <row r="91" spans="1:14" ht="16" x14ac:dyDescent="0.4">
      <c r="A91" s="15" t="s">
        <v>142</v>
      </c>
      <c r="B91" s="10" t="s">
        <v>140</v>
      </c>
      <c r="C91" s="11" t="s">
        <v>14</v>
      </c>
      <c r="D91">
        <v>1</v>
      </c>
      <c r="E91" s="42">
        <v>0</v>
      </c>
      <c r="F91" s="42">
        <v>0</v>
      </c>
      <c r="G91" s="42">
        <v>1</v>
      </c>
      <c r="H91" s="42">
        <v>1</v>
      </c>
      <c r="I91" s="19">
        <v>4.8</v>
      </c>
      <c r="J91" s="13" t="s">
        <v>10</v>
      </c>
      <c r="K91" s="14">
        <v>1905710.4091078085</v>
      </c>
      <c r="L91" s="14">
        <v>32434938751.040184</v>
      </c>
      <c r="M91" s="14">
        <v>3079426.0915384451</v>
      </c>
      <c r="N91" s="14">
        <v>400253.27419293614</v>
      </c>
    </row>
    <row r="92" spans="1:14" ht="16" x14ac:dyDescent="0.4">
      <c r="A92" s="15" t="s">
        <v>143</v>
      </c>
      <c r="B92" s="10" t="s">
        <v>144</v>
      </c>
      <c r="C92" s="11" t="s">
        <v>15</v>
      </c>
      <c r="D92">
        <v>1</v>
      </c>
      <c r="E92" s="42">
        <v>1</v>
      </c>
      <c r="F92" s="42">
        <v>0</v>
      </c>
      <c r="G92" s="42">
        <v>1</v>
      </c>
      <c r="H92" s="42">
        <v>1</v>
      </c>
      <c r="I92" s="19">
        <v>4.8</v>
      </c>
      <c r="J92" s="13" t="s">
        <v>10</v>
      </c>
      <c r="K92" s="14">
        <v>993792.34123070759</v>
      </c>
      <c r="L92" s="14">
        <v>10230215277.374931</v>
      </c>
      <c r="M92" s="14">
        <v>1651449.037633382</v>
      </c>
      <c r="N92" s="14">
        <v>181638.51614930999</v>
      </c>
    </row>
    <row r="93" spans="1:14" ht="16" x14ac:dyDescent="0.4">
      <c r="A93" s="15" t="s">
        <v>145</v>
      </c>
      <c r="B93" s="15" t="s">
        <v>144</v>
      </c>
      <c r="C93" s="11" t="s">
        <v>15</v>
      </c>
      <c r="D93">
        <v>1</v>
      </c>
      <c r="E93" s="42">
        <v>1</v>
      </c>
      <c r="F93" s="42">
        <v>0</v>
      </c>
      <c r="G93" s="42">
        <v>1</v>
      </c>
      <c r="H93" s="42">
        <v>1</v>
      </c>
      <c r="I93" s="19">
        <v>4.8</v>
      </c>
      <c r="J93" s="13" t="s">
        <v>10</v>
      </c>
      <c r="K93" s="14">
        <v>1023021.5277374932</v>
      </c>
      <c r="L93" s="14">
        <v>10010996378.574041</v>
      </c>
      <c r="M93" s="14">
        <v>1592990.6646198109</v>
      </c>
      <c r="N93" s="14">
        <v>175375.11904071312</v>
      </c>
    </row>
    <row r="94" spans="1:14" ht="16" x14ac:dyDescent="0.4">
      <c r="A94" s="15" t="s">
        <v>146</v>
      </c>
      <c r="B94" s="10" t="s">
        <v>144</v>
      </c>
      <c r="C94" s="11" t="s">
        <v>15</v>
      </c>
      <c r="D94">
        <v>1</v>
      </c>
      <c r="E94" s="42">
        <v>1</v>
      </c>
      <c r="F94" s="42">
        <v>0</v>
      </c>
      <c r="G94" s="42">
        <v>1</v>
      </c>
      <c r="H94" s="42">
        <v>1</v>
      </c>
      <c r="I94" s="19">
        <v>4.8</v>
      </c>
      <c r="J94" s="13" t="s">
        <v>10</v>
      </c>
      <c r="K94" s="14">
        <v>1015714.2311107968</v>
      </c>
      <c r="L94" s="14">
        <v>10084069344.841003</v>
      </c>
      <c r="M94" s="14">
        <v>1519917.6983528468</v>
      </c>
      <c r="N94" s="14">
        <v>171199.52096831519</v>
      </c>
    </row>
    <row r="95" spans="1:14" ht="16" x14ac:dyDescent="0.4">
      <c r="A95" s="15" t="s">
        <v>147</v>
      </c>
      <c r="B95" s="15" t="s">
        <v>148</v>
      </c>
      <c r="C95" s="11" t="s">
        <v>16</v>
      </c>
      <c r="D95">
        <v>1</v>
      </c>
      <c r="E95" s="42">
        <v>1</v>
      </c>
      <c r="F95" s="42">
        <v>1</v>
      </c>
      <c r="G95" s="42">
        <v>1</v>
      </c>
      <c r="H95" s="42">
        <v>1</v>
      </c>
      <c r="I95" s="19">
        <v>4.8</v>
      </c>
      <c r="J95" s="13" t="s">
        <v>10</v>
      </c>
      <c r="K95" s="14">
        <v>3178363.6136780134</v>
      </c>
      <c r="L95" s="14">
        <v>75806933394.556351</v>
      </c>
      <c r="M95" s="14">
        <v>3766657.0030420185</v>
      </c>
      <c r="N95" s="14">
        <v>927845.27852712199</v>
      </c>
    </row>
    <row r="96" spans="1:14" ht="16" x14ac:dyDescent="0.4">
      <c r="A96" s="15" t="s">
        <v>149</v>
      </c>
      <c r="B96" s="16" t="s">
        <v>148</v>
      </c>
      <c r="C96" s="11" t="s">
        <v>16</v>
      </c>
      <c r="D96">
        <v>1</v>
      </c>
      <c r="E96" s="42">
        <v>1</v>
      </c>
      <c r="F96" s="42">
        <v>1</v>
      </c>
      <c r="G96" s="42">
        <v>1</v>
      </c>
      <c r="H96" s="42">
        <v>1</v>
      </c>
      <c r="I96" s="19">
        <v>4.8</v>
      </c>
      <c r="J96" s="13" t="s">
        <v>10</v>
      </c>
      <c r="K96" s="14">
        <v>2980949.7246296895</v>
      </c>
      <c r="L96" s="14">
        <v>69489688945.009979</v>
      </c>
      <c r="M96" s="14">
        <v>3841674.2808803818</v>
      </c>
      <c r="N96" s="14">
        <v>899643.29437736131</v>
      </c>
    </row>
    <row r="97" spans="1:14" ht="16" x14ac:dyDescent="0.4">
      <c r="A97" s="15" t="s">
        <v>150</v>
      </c>
      <c r="B97" s="17" t="s">
        <v>148</v>
      </c>
      <c r="C97" s="11" t="s">
        <v>16</v>
      </c>
      <c r="D97">
        <v>1</v>
      </c>
      <c r="E97" s="42">
        <v>1</v>
      </c>
      <c r="F97" s="42">
        <v>1</v>
      </c>
      <c r="G97" s="42">
        <v>1</v>
      </c>
      <c r="H97" s="42">
        <v>1</v>
      </c>
      <c r="I97" s="19">
        <v>4.8</v>
      </c>
      <c r="J97" s="13" t="s">
        <v>10</v>
      </c>
      <c r="K97" s="14">
        <v>3079656.6691538515</v>
      </c>
      <c r="L97" s="14">
        <v>60211236159.73877</v>
      </c>
      <c r="M97" s="14">
        <v>3273122.2804212091</v>
      </c>
      <c r="N97" s="14">
        <v>868621.11181262485</v>
      </c>
    </row>
    <row r="98" spans="1:14" ht="16" x14ac:dyDescent="0.4">
      <c r="A98" s="15" t="s">
        <v>151</v>
      </c>
      <c r="B98" s="17" t="s">
        <v>152</v>
      </c>
      <c r="C98" s="11" t="s">
        <v>13</v>
      </c>
      <c r="D98">
        <v>1</v>
      </c>
      <c r="E98" s="42">
        <v>1</v>
      </c>
      <c r="F98" s="42">
        <v>0</v>
      </c>
      <c r="G98" s="42">
        <v>1</v>
      </c>
      <c r="H98" s="42">
        <v>0</v>
      </c>
      <c r="I98" s="19">
        <v>5.8</v>
      </c>
      <c r="J98" s="13" t="s">
        <v>10</v>
      </c>
      <c r="K98" s="14">
        <v>22076499.431417923</v>
      </c>
      <c r="L98" s="14">
        <v>834387380085.08679</v>
      </c>
      <c r="M98" s="14">
        <v>2190266872.7233529</v>
      </c>
      <c r="N98" s="14">
        <v>10082180.8426948</v>
      </c>
    </row>
    <row r="99" spans="1:14" ht="16" x14ac:dyDescent="0.4">
      <c r="A99" s="15" t="s">
        <v>153</v>
      </c>
      <c r="B99" s="17" t="s">
        <v>152</v>
      </c>
      <c r="C99" s="11" t="s">
        <v>13</v>
      </c>
      <c r="D99">
        <v>1</v>
      </c>
      <c r="E99" s="42">
        <v>1</v>
      </c>
      <c r="F99" s="42">
        <v>0</v>
      </c>
      <c r="G99" s="42">
        <v>1</v>
      </c>
      <c r="H99" s="42">
        <v>0</v>
      </c>
      <c r="I99" s="19">
        <v>5.8</v>
      </c>
      <c r="J99" s="13" t="s">
        <v>10</v>
      </c>
      <c r="K99" s="14">
        <v>21555007.318864744</v>
      </c>
      <c r="L99" s="14">
        <v>743995413909.20239</v>
      </c>
      <c r="M99" s="14">
        <v>2134641047.3843472</v>
      </c>
      <c r="N99" s="14">
        <v>9262693.2372540887</v>
      </c>
    </row>
    <row r="100" spans="1:14" ht="16" x14ac:dyDescent="0.4">
      <c r="A100" s="15" t="s">
        <v>154</v>
      </c>
      <c r="B100" s="17" t="s">
        <v>152</v>
      </c>
      <c r="C100" s="11" t="s">
        <v>13</v>
      </c>
      <c r="D100">
        <v>1</v>
      </c>
      <c r="E100" s="42">
        <v>1</v>
      </c>
      <c r="F100" s="42">
        <v>0</v>
      </c>
      <c r="G100" s="42">
        <v>1</v>
      </c>
      <c r="H100" s="42">
        <v>0</v>
      </c>
      <c r="I100" s="19">
        <v>5.8</v>
      </c>
      <c r="J100" s="13" t="s">
        <v>10</v>
      </c>
      <c r="K100" s="14">
        <v>22076499.431417923</v>
      </c>
      <c r="L100" s="14">
        <v>653603447733.31812</v>
      </c>
      <c r="M100" s="14">
        <v>2103351520.6311562</v>
      </c>
      <c r="N100" s="14">
        <v>9262693.2372540887</v>
      </c>
    </row>
    <row r="101" spans="1:14" ht="16" x14ac:dyDescent="0.4">
      <c r="A101" s="15" t="s">
        <v>155</v>
      </c>
      <c r="B101" s="17" t="s">
        <v>156</v>
      </c>
      <c r="C101" s="11" t="s">
        <v>14</v>
      </c>
      <c r="D101">
        <v>1</v>
      </c>
      <c r="E101" s="42">
        <v>0</v>
      </c>
      <c r="F101" s="42">
        <v>0</v>
      </c>
      <c r="G101" s="42">
        <v>1</v>
      </c>
      <c r="H101" s="42">
        <v>1</v>
      </c>
      <c r="I101" s="19">
        <v>5.8</v>
      </c>
      <c r="J101" s="13" t="s">
        <v>10</v>
      </c>
      <c r="K101" s="14">
        <v>11353755.294776736</v>
      </c>
      <c r="L101" s="14">
        <v>183470103676.46463</v>
      </c>
      <c r="M101" s="14">
        <v>1015256089.4024994</v>
      </c>
      <c r="N101" s="14">
        <v>49246619.756847329</v>
      </c>
    </row>
    <row r="102" spans="1:14" ht="16" x14ac:dyDescent="0.4">
      <c r="A102" s="15" t="s">
        <v>157</v>
      </c>
      <c r="B102" s="17" t="s">
        <v>156</v>
      </c>
      <c r="C102" s="11" t="s">
        <v>14</v>
      </c>
      <c r="D102">
        <v>1</v>
      </c>
      <c r="E102" s="42">
        <v>0</v>
      </c>
      <c r="F102" s="42">
        <v>0</v>
      </c>
      <c r="G102" s="42">
        <v>1</v>
      </c>
      <c r="H102" s="42">
        <v>1</v>
      </c>
      <c r="I102" s="19">
        <v>5.8</v>
      </c>
      <c r="J102" s="13" t="s">
        <v>10</v>
      </c>
      <c r="K102" s="14">
        <v>9543736.3347398639</v>
      </c>
      <c r="L102" s="14">
        <v>505159837028.47211</v>
      </c>
      <c r="M102" s="14">
        <v>949437218.12843132</v>
      </c>
      <c r="N102" s="14">
        <v>48658951.263328858</v>
      </c>
    </row>
    <row r="103" spans="1:14" ht="16" x14ac:dyDescent="0.4">
      <c r="A103" s="15" t="s">
        <v>158</v>
      </c>
      <c r="B103" s="17" t="s">
        <v>156</v>
      </c>
      <c r="C103" s="11" t="s">
        <v>14</v>
      </c>
      <c r="D103">
        <v>1</v>
      </c>
      <c r="E103" s="42">
        <v>0</v>
      </c>
      <c r="F103" s="42">
        <v>0</v>
      </c>
      <c r="G103" s="42">
        <v>1</v>
      </c>
      <c r="H103" s="42">
        <v>1</v>
      </c>
      <c r="I103" s="19">
        <v>5.8</v>
      </c>
      <c r="J103" s="13" t="s">
        <v>10</v>
      </c>
      <c r="K103" s="14">
        <v>12094217.596610002</v>
      </c>
      <c r="L103" s="14">
        <v>324980676915.71088</v>
      </c>
      <c r="M103" s="14">
        <v>990574012.67472386</v>
      </c>
      <c r="N103" s="14">
        <v>47248546.878884546</v>
      </c>
    </row>
    <row r="104" spans="1:14" ht="16" x14ac:dyDescent="0.4">
      <c r="A104" s="15" t="s">
        <v>159</v>
      </c>
      <c r="B104" s="17" t="s">
        <v>160</v>
      </c>
      <c r="C104" s="11" t="s">
        <v>15</v>
      </c>
      <c r="D104">
        <v>1</v>
      </c>
      <c r="E104" s="42">
        <v>1</v>
      </c>
      <c r="F104" s="42">
        <v>0</v>
      </c>
      <c r="G104" s="42">
        <v>1</v>
      </c>
      <c r="H104" s="42">
        <v>1</v>
      </c>
      <c r="I104" s="19">
        <v>5.8</v>
      </c>
      <c r="J104" s="13" t="s">
        <v>10</v>
      </c>
      <c r="K104" s="14">
        <v>16233519.074845254</v>
      </c>
      <c r="L104" s="14">
        <v>704155242986.79407</v>
      </c>
      <c r="M104" s="14">
        <v>1022500876.792201</v>
      </c>
      <c r="N104" s="14">
        <v>100593606.1409706</v>
      </c>
    </row>
    <row r="105" spans="1:14" ht="16" x14ac:dyDescent="0.4">
      <c r="A105" s="15" t="s">
        <v>161</v>
      </c>
      <c r="B105" s="17" t="s">
        <v>160</v>
      </c>
      <c r="C105" s="11" t="s">
        <v>15</v>
      </c>
      <c r="D105">
        <v>1</v>
      </c>
      <c r="E105" s="42">
        <v>1</v>
      </c>
      <c r="F105" s="42">
        <v>0</v>
      </c>
      <c r="G105" s="42">
        <v>1</v>
      </c>
      <c r="H105" s="42">
        <v>1</v>
      </c>
      <c r="I105" s="19">
        <v>5.8</v>
      </c>
      <c r="J105" s="13" t="s">
        <v>10</v>
      </c>
      <c r="K105" s="14">
        <v>15601044.305695439</v>
      </c>
      <c r="L105" s="14">
        <v>504925690704.60242</v>
      </c>
      <c r="M105" s="14">
        <v>900222421.42323685</v>
      </c>
      <c r="N105" s="14">
        <v>95774750.756972</v>
      </c>
    </row>
    <row r="106" spans="1:14" ht="16" x14ac:dyDescent="0.4">
      <c r="A106" s="15" t="s">
        <v>162</v>
      </c>
      <c r="B106" s="17" t="s">
        <v>160</v>
      </c>
      <c r="C106" s="11" t="s">
        <v>15</v>
      </c>
      <c r="D106">
        <v>1</v>
      </c>
      <c r="E106" s="42">
        <v>1</v>
      </c>
      <c r="F106" s="42">
        <v>0</v>
      </c>
      <c r="G106" s="42">
        <v>1</v>
      </c>
      <c r="H106" s="42">
        <v>1</v>
      </c>
      <c r="I106" s="19">
        <v>5.8</v>
      </c>
      <c r="J106" s="13" t="s">
        <v>10</v>
      </c>
      <c r="K106" s="14">
        <v>13598207.536721025</v>
      </c>
      <c r="L106" s="14">
        <v>438515839943.87183</v>
      </c>
      <c r="M106" s="14">
        <v>1018284378.3312023</v>
      </c>
      <c r="N106" s="14">
        <v>93365323.064972714</v>
      </c>
    </row>
    <row r="107" spans="1:14" ht="16" x14ac:dyDescent="0.4">
      <c r="A107" s="15" t="s">
        <v>163</v>
      </c>
      <c r="B107" s="17" t="s">
        <v>164</v>
      </c>
      <c r="C107" s="11" t="s">
        <v>16</v>
      </c>
      <c r="D107">
        <v>1</v>
      </c>
      <c r="E107" s="42">
        <v>1</v>
      </c>
      <c r="F107" s="42">
        <v>1</v>
      </c>
      <c r="G107" s="42">
        <v>1</v>
      </c>
      <c r="H107" s="42">
        <v>1</v>
      </c>
      <c r="I107" s="19">
        <v>5.8</v>
      </c>
      <c r="J107" s="13" t="s">
        <v>10</v>
      </c>
      <c r="K107" s="14">
        <v>13815873.732169593</v>
      </c>
      <c r="L107" s="14">
        <v>598370255434.65552</v>
      </c>
      <c r="M107" s="14">
        <v>1837034796.9395156</v>
      </c>
      <c r="N107" s="14">
        <v>93648484.01707074</v>
      </c>
    </row>
    <row r="108" spans="1:14" ht="16" x14ac:dyDescent="0.4">
      <c r="A108" s="15" t="s">
        <v>165</v>
      </c>
      <c r="B108" s="17" t="s">
        <v>164</v>
      </c>
      <c r="C108" s="11" t="s">
        <v>16</v>
      </c>
      <c r="D108">
        <v>1</v>
      </c>
      <c r="E108" s="42">
        <v>1</v>
      </c>
      <c r="F108" s="42">
        <v>1</v>
      </c>
      <c r="G108" s="42">
        <v>1</v>
      </c>
      <c r="H108" s="42">
        <v>1</v>
      </c>
      <c r="I108" s="19">
        <v>5.8</v>
      </c>
      <c r="J108" s="13" t="s">
        <v>10</v>
      </c>
      <c r="K108" s="14">
        <v>14197001.283401858</v>
      </c>
      <c r="L108" s="14">
        <v>461164336991.04022</v>
      </c>
      <c r="M108" s="14">
        <v>924234311.73824179</v>
      </c>
      <c r="N108" s="14">
        <v>90790027.382828757</v>
      </c>
    </row>
    <row r="109" spans="1:14" ht="16" x14ac:dyDescent="0.4">
      <c r="A109" s="15" t="s">
        <v>166</v>
      </c>
      <c r="B109" s="17" t="s">
        <v>164</v>
      </c>
      <c r="C109" s="11" t="s">
        <v>16</v>
      </c>
      <c r="D109">
        <v>1</v>
      </c>
      <c r="E109" s="42">
        <v>1</v>
      </c>
      <c r="F109" s="42">
        <v>1</v>
      </c>
      <c r="G109" s="42">
        <v>1</v>
      </c>
      <c r="H109" s="42">
        <v>1</v>
      </c>
      <c r="I109" s="19">
        <v>5.8</v>
      </c>
      <c r="J109" s="13" t="s">
        <v>10</v>
      </c>
      <c r="K109" s="14">
        <v>14292283.171209926</v>
      </c>
      <c r="L109" s="14">
        <v>323005599669.3443</v>
      </c>
      <c r="M109" s="14">
        <v>823235510.66169167</v>
      </c>
      <c r="N109" s="14">
        <v>0</v>
      </c>
    </row>
    <row r="110" spans="1:14" ht="16" x14ac:dyDescent="0.4">
      <c r="A110" s="15" t="s">
        <v>167</v>
      </c>
      <c r="B110" s="17" t="s">
        <v>168</v>
      </c>
      <c r="C110" s="11" t="s">
        <v>13</v>
      </c>
      <c r="D110">
        <v>1</v>
      </c>
      <c r="E110" s="42">
        <v>1</v>
      </c>
      <c r="F110" s="42">
        <v>0</v>
      </c>
      <c r="G110" s="42">
        <v>1</v>
      </c>
      <c r="H110" s="42">
        <v>0</v>
      </c>
      <c r="I110" s="19">
        <v>4.8</v>
      </c>
      <c r="J110" s="13" t="s">
        <v>19</v>
      </c>
      <c r="K110" s="14">
        <v>5529465.6334353779</v>
      </c>
      <c r="L110" s="14">
        <v>11965401042.843767</v>
      </c>
      <c r="M110" s="14">
        <v>85389452.896657795</v>
      </c>
      <c r="N110" s="14">
        <v>196833.43706842564</v>
      </c>
    </row>
    <row r="111" spans="1:14" ht="16" x14ac:dyDescent="0.4">
      <c r="A111" s="15" t="s">
        <v>169</v>
      </c>
      <c r="B111" s="17" t="s">
        <v>168</v>
      </c>
      <c r="C111" s="11" t="s">
        <v>13</v>
      </c>
      <c r="D111">
        <v>1</v>
      </c>
      <c r="E111" s="42">
        <v>1</v>
      </c>
      <c r="F111" s="42">
        <v>0</v>
      </c>
      <c r="G111" s="42">
        <v>1</v>
      </c>
      <c r="H111" s="42">
        <v>0</v>
      </c>
      <c r="I111" s="19">
        <v>4.8</v>
      </c>
      <c r="J111" s="13" t="s">
        <v>19</v>
      </c>
      <c r="K111" s="14">
        <v>6028024.0102205351</v>
      </c>
      <c r="L111" s="14">
        <v>11557489643.655912</v>
      </c>
      <c r="M111" s="14">
        <v>76596696.069719583</v>
      </c>
      <c r="N111" s="14">
        <v>202013.2643597</v>
      </c>
    </row>
    <row r="112" spans="1:14" ht="16" x14ac:dyDescent="0.4">
      <c r="A112" s="15" t="s">
        <v>170</v>
      </c>
      <c r="B112" s="17" t="s">
        <v>168</v>
      </c>
      <c r="C112" s="11" t="s">
        <v>13</v>
      </c>
      <c r="D112">
        <v>1</v>
      </c>
      <c r="E112" s="42">
        <v>1</v>
      </c>
      <c r="F112" s="42">
        <v>0</v>
      </c>
      <c r="G112" s="42">
        <v>1</v>
      </c>
      <c r="H112" s="42">
        <v>0</v>
      </c>
      <c r="I112" s="19">
        <v>4.8</v>
      </c>
      <c r="J112" s="13" t="s">
        <v>19</v>
      </c>
      <c r="K112" s="14">
        <v>6254641.4542137887</v>
      </c>
      <c r="L112" s="14">
        <v>11421519177.259962</v>
      </c>
      <c r="M112" s="14">
        <v>75508932.338551968</v>
      </c>
      <c r="N112" s="14">
        <v>187121.26089728621</v>
      </c>
    </row>
    <row r="113" spans="1:14" ht="16" x14ac:dyDescent="0.4">
      <c r="A113" s="15" t="s">
        <v>171</v>
      </c>
      <c r="B113" s="17" t="s">
        <v>172</v>
      </c>
      <c r="C113" s="11" t="s">
        <v>14</v>
      </c>
      <c r="D113">
        <v>1</v>
      </c>
      <c r="E113" s="42">
        <v>0</v>
      </c>
      <c r="F113" s="42">
        <v>0</v>
      </c>
      <c r="G113" s="42">
        <v>1</v>
      </c>
      <c r="H113" s="42">
        <v>1</v>
      </c>
      <c r="I113" s="19">
        <v>4.8</v>
      </c>
      <c r="J113" s="13" t="s">
        <v>19</v>
      </c>
      <c r="K113" s="14">
        <v>-3556532.2270168946</v>
      </c>
      <c r="L113" s="14">
        <v>-2776389673.9938335</v>
      </c>
      <c r="M113" s="14">
        <v>-4124430.1148792692</v>
      </c>
      <c r="N113" s="14">
        <v>-7375.297244965911</v>
      </c>
    </row>
    <row r="114" spans="1:14" ht="16" x14ac:dyDescent="0.4">
      <c r="A114" s="15" t="s">
        <v>173</v>
      </c>
      <c r="B114" s="17" t="s">
        <v>172</v>
      </c>
      <c r="C114" s="11" t="s">
        <v>14</v>
      </c>
      <c r="D114">
        <v>1</v>
      </c>
      <c r="E114" s="42">
        <v>0</v>
      </c>
      <c r="F114" s="42">
        <v>0</v>
      </c>
      <c r="G114" s="42">
        <v>1</v>
      </c>
      <c r="H114" s="42">
        <v>1</v>
      </c>
      <c r="I114" s="19">
        <v>4.8</v>
      </c>
      <c r="J114" s="13" t="s">
        <v>19</v>
      </c>
      <c r="K114" s="14">
        <v>-3384441.9579676897</v>
      </c>
      <c r="L114" s="14">
        <v>-2704685395.2233319</v>
      </c>
      <c r="M114" s="14">
        <v>-4021175.9534497471</v>
      </c>
      <c r="N114" s="14">
        <v>-8645.4873260433724</v>
      </c>
    </row>
    <row r="115" spans="1:14" ht="16" x14ac:dyDescent="0.4">
      <c r="A115" s="15" t="s">
        <v>174</v>
      </c>
      <c r="B115" s="17" t="s">
        <v>172</v>
      </c>
      <c r="C115" s="11" t="s">
        <v>14</v>
      </c>
      <c r="D115">
        <v>1</v>
      </c>
      <c r="E115" s="42">
        <v>0</v>
      </c>
      <c r="F115" s="42">
        <v>0</v>
      </c>
      <c r="G115" s="42">
        <v>1</v>
      </c>
      <c r="H115" s="42">
        <v>1</v>
      </c>
      <c r="I115" s="19">
        <v>4.8</v>
      </c>
      <c r="J115" s="13" t="s">
        <v>19</v>
      </c>
      <c r="K115" s="14">
        <v>-3556532.2270168946</v>
      </c>
      <c r="L115" s="14">
        <v>-2575617693.4364285</v>
      </c>
      <c r="M115" s="14">
        <v>-4147375.4840858304</v>
      </c>
      <c r="N115" s="14">
        <v>-8071.8530958793572</v>
      </c>
    </row>
    <row r="116" spans="1:14" ht="16" x14ac:dyDescent="0.4">
      <c r="A116" s="15" t="s">
        <v>175</v>
      </c>
      <c r="B116" s="17" t="s">
        <v>176</v>
      </c>
      <c r="C116" s="11" t="s">
        <v>15</v>
      </c>
      <c r="D116">
        <v>1</v>
      </c>
      <c r="E116" s="42">
        <v>1</v>
      </c>
      <c r="F116" s="42">
        <v>0</v>
      </c>
      <c r="G116" s="42">
        <v>1</v>
      </c>
      <c r="H116" s="42">
        <v>1</v>
      </c>
      <c r="I116" s="19">
        <v>4.8</v>
      </c>
      <c r="J116" s="13" t="s">
        <v>19</v>
      </c>
      <c r="K116" s="14">
        <v>5753186.8558876663</v>
      </c>
      <c r="L116" s="14">
        <v>6240745064.0137405</v>
      </c>
      <c r="M116" s="14">
        <v>76644150.317418754</v>
      </c>
      <c r="N116" s="14">
        <v>8218.8383655538091</v>
      </c>
    </row>
    <row r="117" spans="1:14" ht="16" x14ac:dyDescent="0.4">
      <c r="A117" s="15" t="s">
        <v>177</v>
      </c>
      <c r="B117" s="17" t="s">
        <v>176</v>
      </c>
      <c r="C117" s="11" t="s">
        <v>15</v>
      </c>
      <c r="D117">
        <v>1</v>
      </c>
      <c r="E117" s="42">
        <v>1</v>
      </c>
      <c r="F117" s="42">
        <v>0</v>
      </c>
      <c r="G117" s="42">
        <v>1</v>
      </c>
      <c r="H117" s="42">
        <v>1</v>
      </c>
      <c r="I117" s="19">
        <v>4.8</v>
      </c>
      <c r="J117" s="13" t="s">
        <v>19</v>
      </c>
      <c r="K117" s="14">
        <v>5558163.5726372367</v>
      </c>
      <c r="L117" s="14">
        <v>5948210139.1380959</v>
      </c>
      <c r="M117" s="14">
        <v>72256126.444284096</v>
      </c>
      <c r="N117" s="14">
        <v>6387.0125264515618</v>
      </c>
    </row>
    <row r="118" spans="1:14" ht="16" x14ac:dyDescent="0.4">
      <c r="A118" s="15" t="s">
        <v>178</v>
      </c>
      <c r="B118" s="17" t="s">
        <v>176</v>
      </c>
      <c r="C118" s="11" t="s">
        <v>15</v>
      </c>
      <c r="D118">
        <v>1</v>
      </c>
      <c r="E118" s="42">
        <v>1</v>
      </c>
      <c r="F118" s="42">
        <v>0</v>
      </c>
      <c r="G118" s="42">
        <v>1</v>
      </c>
      <c r="H118" s="42">
        <v>1</v>
      </c>
      <c r="I118" s="19">
        <v>4.8</v>
      </c>
      <c r="J118" s="13" t="s">
        <v>19</v>
      </c>
      <c r="K118" s="14">
        <v>5655675.214262452</v>
      </c>
      <c r="L118" s="14">
        <v>6191989243.2011328</v>
      </c>
      <c r="M118" s="14">
        <v>73133731.218911022</v>
      </c>
      <c r="N118" s="14">
        <v>12885.466929046228</v>
      </c>
    </row>
    <row r="119" spans="1:14" ht="16" x14ac:dyDescent="0.4">
      <c r="A119" s="15" t="s">
        <v>179</v>
      </c>
      <c r="B119" s="17" t="s">
        <v>180</v>
      </c>
      <c r="C119" s="11" t="s">
        <v>16</v>
      </c>
      <c r="D119">
        <v>1</v>
      </c>
      <c r="E119" s="42">
        <v>1</v>
      </c>
      <c r="F119" s="42">
        <v>1</v>
      </c>
      <c r="G119" s="42">
        <v>1</v>
      </c>
      <c r="H119" s="42">
        <v>1</v>
      </c>
      <c r="I119" s="19">
        <v>4.8</v>
      </c>
      <c r="J119" s="13" t="s">
        <v>19</v>
      </c>
      <c r="K119" s="14">
        <v>19463215.114263345</v>
      </c>
      <c r="L119" s="14">
        <v>36434189268.77346</v>
      </c>
      <c r="M119" s="14">
        <v>55304013.678333655</v>
      </c>
      <c r="N119" s="14">
        <v>61712.633289127683</v>
      </c>
    </row>
    <row r="120" spans="1:14" ht="16" x14ac:dyDescent="0.4">
      <c r="A120" s="15" t="s">
        <v>181</v>
      </c>
      <c r="B120" s="17" t="s">
        <v>180</v>
      </c>
      <c r="C120" s="11" t="s">
        <v>16</v>
      </c>
      <c r="D120">
        <v>1</v>
      </c>
      <c r="E120" s="42">
        <v>1</v>
      </c>
      <c r="F120" s="42">
        <v>1</v>
      </c>
      <c r="G120" s="42">
        <v>1</v>
      </c>
      <c r="H120" s="42">
        <v>1</v>
      </c>
      <c r="I120" s="19">
        <v>4.8</v>
      </c>
      <c r="J120" s="13" t="s">
        <v>19</v>
      </c>
      <c r="K120" s="14">
        <v>21243387.228372797</v>
      </c>
      <c r="L120" s="14">
        <v>30381604080.801319</v>
      </c>
      <c r="M120" s="14">
        <v>60763208.161602639</v>
      </c>
      <c r="N120" s="14">
        <v>66459.758926752882</v>
      </c>
    </row>
    <row r="121" spans="1:14" ht="16" x14ac:dyDescent="0.4">
      <c r="A121" s="15" t="s">
        <v>182</v>
      </c>
      <c r="B121" s="17" t="s">
        <v>180</v>
      </c>
      <c r="C121" s="11" t="s">
        <v>16</v>
      </c>
      <c r="D121">
        <v>1</v>
      </c>
      <c r="E121" s="42">
        <v>1</v>
      </c>
      <c r="F121" s="42">
        <v>1</v>
      </c>
      <c r="G121" s="42">
        <v>1</v>
      </c>
      <c r="H121" s="42">
        <v>1</v>
      </c>
      <c r="I121" s="19">
        <v>4.8</v>
      </c>
      <c r="J121" s="13" t="s">
        <v>19</v>
      </c>
      <c r="K121" s="14">
        <v>19225858.832382087</v>
      </c>
      <c r="L121" s="14">
        <v>21243387228.372795</v>
      </c>
      <c r="M121" s="14">
        <v>57914932.779027522</v>
      </c>
      <c r="N121" s="14">
        <v>66798.839329440394</v>
      </c>
    </row>
    <row r="122" spans="1:14" ht="16" x14ac:dyDescent="0.4">
      <c r="A122" s="15" t="s">
        <v>183</v>
      </c>
      <c r="B122" s="17" t="s">
        <v>184</v>
      </c>
      <c r="C122" s="11" t="s">
        <v>13</v>
      </c>
      <c r="D122">
        <v>1</v>
      </c>
      <c r="E122" s="42">
        <v>1</v>
      </c>
      <c r="F122" s="42">
        <v>0</v>
      </c>
      <c r="G122" s="42">
        <v>1</v>
      </c>
      <c r="H122" s="42">
        <v>0</v>
      </c>
      <c r="I122" s="19">
        <v>5.8</v>
      </c>
      <c r="J122" s="13" t="s">
        <v>19</v>
      </c>
      <c r="K122" s="14">
        <v>6034989.4230749318</v>
      </c>
      <c r="L122" s="14">
        <v>0</v>
      </c>
      <c r="M122" s="14">
        <v>863338764.68988609</v>
      </c>
      <c r="N122" s="14">
        <v>814244.60470058594</v>
      </c>
    </row>
    <row r="123" spans="1:14" ht="16" x14ac:dyDescent="0.4">
      <c r="A123" s="15" t="s">
        <v>185</v>
      </c>
      <c r="B123" s="17" t="s">
        <v>184</v>
      </c>
      <c r="C123" s="11" t="s">
        <v>13</v>
      </c>
      <c r="D123">
        <v>1</v>
      </c>
      <c r="E123" s="42">
        <v>1</v>
      </c>
      <c r="F123" s="42">
        <v>0</v>
      </c>
      <c r="G123" s="42">
        <v>1</v>
      </c>
      <c r="H123" s="42">
        <v>0</v>
      </c>
      <c r="I123" s="19">
        <v>5.8</v>
      </c>
      <c r="J123" s="13" t="s">
        <v>19</v>
      </c>
      <c r="K123" s="14">
        <v>7501827.1300723106</v>
      </c>
      <c r="L123" s="14">
        <v>66636341546.45237</v>
      </c>
      <c r="M123" s="14">
        <v>822267308.89395928</v>
      </c>
      <c r="N123" s="14">
        <v>790296.23397409811</v>
      </c>
    </row>
    <row r="124" spans="1:14" ht="16" x14ac:dyDescent="0.4">
      <c r="A124" s="15" t="s">
        <v>186</v>
      </c>
      <c r="B124" s="17" t="s">
        <v>184</v>
      </c>
      <c r="C124" s="11" t="s">
        <v>13</v>
      </c>
      <c r="D124">
        <v>1</v>
      </c>
      <c r="E124" s="42">
        <v>1</v>
      </c>
      <c r="F124" s="42">
        <v>0</v>
      </c>
      <c r="G124" s="42">
        <v>1</v>
      </c>
      <c r="H124" s="42">
        <v>0</v>
      </c>
      <c r="I124" s="19">
        <v>5.8</v>
      </c>
      <c r="J124" s="13" t="s">
        <v>19</v>
      </c>
      <c r="K124" s="14">
        <v>6998911.3448160663</v>
      </c>
      <c r="L124" s="14">
        <v>70408209935.874207</v>
      </c>
      <c r="M124" s="14">
        <v>751020905.98265815</v>
      </c>
      <c r="N124" s="14">
        <v>766347.8632476104</v>
      </c>
    </row>
    <row r="125" spans="1:14" ht="16" x14ac:dyDescent="0.4">
      <c r="A125" s="15" t="s">
        <v>187</v>
      </c>
      <c r="B125" s="17" t="s">
        <v>188</v>
      </c>
      <c r="C125" s="11" t="s">
        <v>14</v>
      </c>
      <c r="D125">
        <v>1</v>
      </c>
      <c r="E125" s="42">
        <v>0</v>
      </c>
      <c r="F125" s="42">
        <v>0</v>
      </c>
      <c r="G125" s="42">
        <v>1</v>
      </c>
      <c r="H125" s="42">
        <v>1</v>
      </c>
      <c r="I125" s="19">
        <v>5.8</v>
      </c>
      <c r="J125" s="13" t="s">
        <v>19</v>
      </c>
      <c r="K125" s="14">
        <v>4140201.9393647383</v>
      </c>
      <c r="L125" s="14">
        <v>8559071316.9559498</v>
      </c>
      <c r="M125" s="14">
        <v>98727892.400236085</v>
      </c>
      <c r="N125" s="14">
        <v>8871861.2986387257</v>
      </c>
    </row>
    <row r="126" spans="1:14" ht="16" x14ac:dyDescent="0.4">
      <c r="A126" s="15" t="s">
        <v>189</v>
      </c>
      <c r="B126" s="17" t="s">
        <v>188</v>
      </c>
      <c r="C126" s="11" t="s">
        <v>14</v>
      </c>
      <c r="D126">
        <v>1</v>
      </c>
      <c r="E126" s="42">
        <v>0</v>
      </c>
      <c r="F126" s="42">
        <v>0</v>
      </c>
      <c r="G126" s="42">
        <v>1</v>
      </c>
      <c r="H126" s="42">
        <v>1</v>
      </c>
      <c r="I126" s="19">
        <v>5.8</v>
      </c>
      <c r="J126" s="13" t="s">
        <v>19</v>
      </c>
      <c r="K126" s="14">
        <v>3682391.1479926761</v>
      </c>
      <c r="L126" s="14">
        <v>9196025461.4736023</v>
      </c>
      <c r="M126" s="14">
        <v>77151070.754700616</v>
      </c>
      <c r="N126" s="14">
        <v>7336346.8431051001</v>
      </c>
    </row>
    <row r="127" spans="1:14" ht="16" x14ac:dyDescent="0.4">
      <c r="A127" s="15" t="s">
        <v>190</v>
      </c>
      <c r="B127" s="17" t="s">
        <v>188</v>
      </c>
      <c r="C127" s="11" t="s">
        <v>14</v>
      </c>
      <c r="D127">
        <v>1</v>
      </c>
      <c r="E127" s="42">
        <v>0</v>
      </c>
      <c r="F127" s="42">
        <v>0</v>
      </c>
      <c r="G127" s="42">
        <v>1</v>
      </c>
      <c r="H127" s="42">
        <v>1</v>
      </c>
      <c r="I127" s="19">
        <v>5.8</v>
      </c>
      <c r="J127" s="13" t="s">
        <v>19</v>
      </c>
      <c r="K127" s="14">
        <v>3937172.8057997371</v>
      </c>
      <c r="L127" s="14">
        <v>8399832780.8265371</v>
      </c>
      <c r="M127" s="14">
        <v>97135507.03894195</v>
      </c>
      <c r="N127" s="14">
        <v>6938250.5027815672</v>
      </c>
    </row>
    <row r="128" spans="1:14" ht="16" x14ac:dyDescent="0.4">
      <c r="A128" s="15" t="s">
        <v>191</v>
      </c>
      <c r="B128" s="17" t="s">
        <v>192</v>
      </c>
      <c r="C128" s="11" t="s">
        <v>15</v>
      </c>
      <c r="D128">
        <v>1</v>
      </c>
      <c r="E128" s="42">
        <v>1</v>
      </c>
      <c r="F128" s="42">
        <v>0</v>
      </c>
      <c r="G128" s="42">
        <v>1</v>
      </c>
      <c r="H128" s="42">
        <v>1</v>
      </c>
      <c r="I128" s="19">
        <v>5.8</v>
      </c>
      <c r="J128" s="13" t="s">
        <v>19</v>
      </c>
      <c r="K128" s="14">
        <v>942050.13187809614</v>
      </c>
      <c r="L128" s="14">
        <v>2591939036.8800654</v>
      </c>
      <c r="M128" s="14">
        <v>31019993.292781509</v>
      </c>
      <c r="N128" s="14">
        <v>1591150.1832826564</v>
      </c>
    </row>
    <row r="129" spans="1:14" ht="16" x14ac:dyDescent="0.4">
      <c r="A129" s="15" t="s">
        <v>193</v>
      </c>
      <c r="B129" s="17" t="s">
        <v>192</v>
      </c>
      <c r="C129" s="11" t="s">
        <v>15</v>
      </c>
      <c r="D129">
        <v>1</v>
      </c>
      <c r="E129" s="42">
        <v>1</v>
      </c>
      <c r="F129" s="42">
        <v>0</v>
      </c>
      <c r="G129" s="42">
        <v>1</v>
      </c>
      <c r="H129" s="42">
        <v>1</v>
      </c>
      <c r="I129" s="19">
        <v>5.8</v>
      </c>
      <c r="J129" s="13" t="s">
        <v>19</v>
      </c>
      <c r="K129" s="14">
        <v>942050.13187809614</v>
      </c>
      <c r="L129" s="14">
        <v>2643986005.492115</v>
      </c>
      <c r="M129" s="14">
        <v>28521738.799403131</v>
      </c>
      <c r="N129" s="14">
        <v>1412703.4337556295</v>
      </c>
    </row>
    <row r="130" spans="1:14" ht="16" x14ac:dyDescent="0.4">
      <c r="A130" s="15" t="s">
        <v>194</v>
      </c>
      <c r="B130" s="17" t="s">
        <v>192</v>
      </c>
      <c r="C130" s="11" t="s">
        <v>15</v>
      </c>
      <c r="D130">
        <v>1</v>
      </c>
      <c r="E130" s="42">
        <v>1</v>
      </c>
      <c r="F130" s="42">
        <v>0</v>
      </c>
      <c r="G130" s="42">
        <v>1</v>
      </c>
      <c r="H130" s="42">
        <v>1</v>
      </c>
      <c r="I130" s="19">
        <v>5.8</v>
      </c>
      <c r="J130" s="13" t="s">
        <v>19</v>
      </c>
      <c r="K130" s="14">
        <v>968073.61618412088</v>
      </c>
      <c r="L130" s="14">
        <v>2560710855.7128358</v>
      </c>
      <c r="M130" s="14">
        <v>27897175.176058538</v>
      </c>
      <c r="N130" s="14">
        <v>1436496.3336925667</v>
      </c>
    </row>
    <row r="131" spans="1:14" ht="16" x14ac:dyDescent="0.4">
      <c r="A131" s="15" t="s">
        <v>195</v>
      </c>
      <c r="B131" s="17" t="s">
        <v>196</v>
      </c>
      <c r="C131" s="11" t="s">
        <v>16</v>
      </c>
      <c r="D131">
        <v>1</v>
      </c>
      <c r="E131" s="42">
        <v>1</v>
      </c>
      <c r="F131" s="42">
        <v>1</v>
      </c>
      <c r="G131" s="42">
        <v>1</v>
      </c>
      <c r="H131" s="42">
        <v>1</v>
      </c>
      <c r="I131" s="19">
        <v>5.8</v>
      </c>
      <c r="J131" s="13" t="s">
        <v>19</v>
      </c>
      <c r="K131" s="14">
        <v>2485053.1397402277</v>
      </c>
      <c r="L131" s="14">
        <v>83715392699.006607</v>
      </c>
      <c r="M131" s="14">
        <v>415672012.95973635</v>
      </c>
      <c r="N131" s="14">
        <v>19014221.68557879</v>
      </c>
    </row>
    <row r="132" spans="1:14" ht="16" x14ac:dyDescent="0.4">
      <c r="A132" s="15" t="s">
        <v>197</v>
      </c>
      <c r="B132" s="17" t="s">
        <v>196</v>
      </c>
      <c r="C132" s="11" t="s">
        <v>16</v>
      </c>
      <c r="D132">
        <v>1</v>
      </c>
      <c r="E132" s="42">
        <v>1</v>
      </c>
      <c r="F132" s="42">
        <v>1</v>
      </c>
      <c r="G132" s="42">
        <v>1</v>
      </c>
      <c r="H132" s="42">
        <v>1</v>
      </c>
      <c r="I132" s="19">
        <v>5.8</v>
      </c>
      <c r="J132" s="13" t="s">
        <v>19</v>
      </c>
      <c r="K132" s="14">
        <v>2389982.0313123339</v>
      </c>
      <c r="L132" s="14">
        <v>79754096514.511032</v>
      </c>
      <c r="M132" s="14">
        <v>436270753.11911327</v>
      </c>
      <c r="N132" s="14">
        <v>18901041.7945932</v>
      </c>
    </row>
    <row r="133" spans="1:14" ht="16" x14ac:dyDescent="0.4">
      <c r="A133" s="15" t="s">
        <v>198</v>
      </c>
      <c r="B133" s="17" t="s">
        <v>196</v>
      </c>
      <c r="C133" s="11" t="s">
        <v>16</v>
      </c>
      <c r="D133">
        <v>1</v>
      </c>
      <c r="E133" s="42">
        <v>1</v>
      </c>
      <c r="F133" s="42">
        <v>1</v>
      </c>
      <c r="G133" s="42">
        <v>1</v>
      </c>
      <c r="H133" s="42">
        <v>1</v>
      </c>
      <c r="I133" s="19">
        <v>5.8</v>
      </c>
      <c r="J133" s="13" t="s">
        <v>19</v>
      </c>
      <c r="K133" s="14">
        <v>2389982.0313123339</v>
      </c>
      <c r="L133" s="14">
        <v>58627183530.534599</v>
      </c>
      <c r="M133" s="14">
        <v>437327098.76831216</v>
      </c>
      <c r="N133" s="14">
        <v>19089674.946235847</v>
      </c>
    </row>
    <row r="134" spans="1:14" ht="16" x14ac:dyDescent="0.4">
      <c r="A134" s="15" t="s">
        <v>199</v>
      </c>
      <c r="B134" s="17" t="s">
        <v>200</v>
      </c>
      <c r="C134" s="11" t="s">
        <v>13</v>
      </c>
      <c r="D134">
        <v>1</v>
      </c>
      <c r="E134" s="42">
        <v>1</v>
      </c>
      <c r="F134" s="42">
        <v>0</v>
      </c>
      <c r="G134" s="42">
        <v>1</v>
      </c>
      <c r="H134" s="42">
        <v>0</v>
      </c>
      <c r="I134" s="19">
        <v>4.8</v>
      </c>
      <c r="J134" s="13" t="s">
        <v>20</v>
      </c>
      <c r="K134" s="14">
        <v>2361866.7031264529</v>
      </c>
      <c r="L134" s="14">
        <v>40925448907.622154</v>
      </c>
      <c r="M134" s="14">
        <v>68412690.711248964</v>
      </c>
      <c r="N134" s="14">
        <v>616645.00130887679</v>
      </c>
    </row>
    <row r="135" spans="1:14" ht="16" x14ac:dyDescent="0.4">
      <c r="A135" s="15" t="s">
        <v>201</v>
      </c>
      <c r="B135" s="17" t="s">
        <v>200</v>
      </c>
      <c r="C135" s="11" t="s">
        <v>13</v>
      </c>
      <c r="D135">
        <v>1</v>
      </c>
      <c r="E135" s="42">
        <v>1</v>
      </c>
      <c r="F135" s="42">
        <v>0</v>
      </c>
      <c r="G135" s="42">
        <v>1</v>
      </c>
      <c r="H135" s="42">
        <v>0</v>
      </c>
      <c r="I135" s="19">
        <v>4.8</v>
      </c>
      <c r="J135" s="13" t="s">
        <v>20</v>
      </c>
      <c r="K135" s="14">
        <v>2422949.4626900679</v>
      </c>
      <c r="L135" s="14">
        <v>41536276503.258308</v>
      </c>
      <c r="M135" s="14">
        <v>65562161.931613602</v>
      </c>
      <c r="N135" s="14">
        <v>587557.97294525045</v>
      </c>
    </row>
    <row r="136" spans="1:14" ht="16" x14ac:dyDescent="0.4">
      <c r="A136" s="15" t="s">
        <v>202</v>
      </c>
      <c r="B136" s="17" t="s">
        <v>200</v>
      </c>
      <c r="C136" s="11" t="s">
        <v>13</v>
      </c>
      <c r="D136">
        <v>1</v>
      </c>
      <c r="E136" s="42">
        <v>1</v>
      </c>
      <c r="F136" s="42">
        <v>0</v>
      </c>
      <c r="G136" s="42">
        <v>1</v>
      </c>
      <c r="H136" s="42">
        <v>0</v>
      </c>
      <c r="I136" s="19">
        <v>4.8</v>
      </c>
      <c r="J136" s="13" t="s">
        <v>20</v>
      </c>
      <c r="K136" s="14">
        <v>2300783.9435628373</v>
      </c>
      <c r="L136" s="14">
        <v>41943494900.349075</v>
      </c>
      <c r="M136" s="14">
        <v>62304414.754887462</v>
      </c>
      <c r="N136" s="14">
        <v>570105.75592707482</v>
      </c>
    </row>
    <row r="137" spans="1:14" ht="16" x14ac:dyDescent="0.4">
      <c r="A137" s="15" t="s">
        <v>203</v>
      </c>
      <c r="B137" s="17" t="s">
        <v>204</v>
      </c>
      <c r="C137" s="11" t="s">
        <v>14</v>
      </c>
      <c r="D137">
        <v>1</v>
      </c>
      <c r="E137" s="42">
        <v>0</v>
      </c>
      <c r="F137" s="42">
        <v>0</v>
      </c>
      <c r="G137" s="42">
        <v>1</v>
      </c>
      <c r="H137" s="42">
        <v>1</v>
      </c>
      <c r="I137" s="19">
        <v>4.8</v>
      </c>
      <c r="J137" s="13" t="s">
        <v>20</v>
      </c>
      <c r="K137" s="14">
        <v>967106.14992414718</v>
      </c>
      <c r="L137" s="14">
        <v>18019584673.800346</v>
      </c>
      <c r="M137" s="14">
        <v>56869147.961351551</v>
      </c>
      <c r="N137" s="14">
        <v>347166.31022918096</v>
      </c>
    </row>
    <row r="138" spans="1:14" ht="16" x14ac:dyDescent="0.4">
      <c r="A138" s="15" t="s">
        <v>205</v>
      </c>
      <c r="B138" s="17" t="s">
        <v>204</v>
      </c>
      <c r="C138" s="11" t="s">
        <v>14</v>
      </c>
      <c r="D138">
        <v>1</v>
      </c>
      <c r="E138" s="42">
        <v>0</v>
      </c>
      <c r="F138" s="42">
        <v>0</v>
      </c>
      <c r="G138" s="42">
        <v>1</v>
      </c>
      <c r="H138" s="42">
        <v>1</v>
      </c>
      <c r="I138" s="19">
        <v>4.8</v>
      </c>
      <c r="J138" s="13" t="s">
        <v>20</v>
      </c>
      <c r="K138" s="14">
        <v>925776.82727781602</v>
      </c>
      <c r="L138" s="14">
        <v>17606291447.337036</v>
      </c>
      <c r="M138" s="14">
        <v>55877244.217839614</v>
      </c>
      <c r="N138" s="14">
        <v>332996.25675043889</v>
      </c>
    </row>
    <row r="139" spans="1:14" ht="16" x14ac:dyDescent="0.4">
      <c r="A139" s="15" t="s">
        <v>206</v>
      </c>
      <c r="B139" s="17" t="s">
        <v>204</v>
      </c>
      <c r="C139" s="11" t="s">
        <v>14</v>
      </c>
      <c r="D139">
        <v>1</v>
      </c>
      <c r="E139" s="42">
        <v>0</v>
      </c>
      <c r="F139" s="42">
        <v>0</v>
      </c>
      <c r="G139" s="42">
        <v>1</v>
      </c>
      <c r="H139" s="42">
        <v>1</v>
      </c>
      <c r="I139" s="19">
        <v>4.8</v>
      </c>
      <c r="J139" s="13" t="s">
        <v>20</v>
      </c>
      <c r="K139" s="14">
        <v>1000169.608041212</v>
      </c>
      <c r="L139" s="14">
        <v>18350219254.970997</v>
      </c>
      <c r="M139" s="14">
        <v>55711926.927254282</v>
      </c>
      <c r="N139" s="14">
        <v>328272.90559085825</v>
      </c>
    </row>
    <row r="140" spans="1:14" ht="16" x14ac:dyDescent="0.4">
      <c r="A140" s="15" t="s">
        <v>207</v>
      </c>
      <c r="B140" s="17" t="s">
        <v>208</v>
      </c>
      <c r="C140" s="11" t="s">
        <v>15</v>
      </c>
      <c r="D140">
        <v>1</v>
      </c>
      <c r="E140" s="42">
        <v>1</v>
      </c>
      <c r="F140" s="42">
        <v>0</v>
      </c>
      <c r="G140" s="42">
        <v>1</v>
      </c>
      <c r="H140" s="42">
        <v>1</v>
      </c>
      <c r="I140" s="19">
        <v>4.8</v>
      </c>
      <c r="J140" s="13" t="s">
        <v>20</v>
      </c>
      <c r="K140" s="14">
        <v>6174106.1224559015</v>
      </c>
      <c r="L140" s="14">
        <v>107829459040.07489</v>
      </c>
      <c r="M140" s="14">
        <v>713935369.93468952</v>
      </c>
      <c r="N140" s="14">
        <v>510574.97310450213</v>
      </c>
    </row>
    <row r="141" spans="1:14" ht="16" x14ac:dyDescent="0.4">
      <c r="A141" s="15" t="s">
        <v>209</v>
      </c>
      <c r="B141" s="17" t="s">
        <v>208</v>
      </c>
      <c r="C141" s="11" t="s">
        <v>15</v>
      </c>
      <c r="D141">
        <v>1</v>
      </c>
      <c r="E141" s="42">
        <v>1</v>
      </c>
      <c r="F141" s="42">
        <v>0</v>
      </c>
      <c r="G141" s="42">
        <v>1</v>
      </c>
      <c r="H141" s="42">
        <v>1</v>
      </c>
      <c r="I141" s="19">
        <v>4.8</v>
      </c>
      <c r="J141" s="13" t="s">
        <v>20</v>
      </c>
      <c r="K141" s="14">
        <v>5434952.5725844204</v>
      </c>
      <c r="L141" s="14">
        <v>108264255245.88165</v>
      </c>
      <c r="M141" s="14">
        <v>633063275.65463328</v>
      </c>
      <c r="N141" s="14">
        <v>445355.54223348905</v>
      </c>
    </row>
    <row r="142" spans="1:14" ht="16" x14ac:dyDescent="0.4">
      <c r="A142" s="15" t="s">
        <v>210</v>
      </c>
      <c r="B142" s="17" t="s">
        <v>208</v>
      </c>
      <c r="C142" s="11" t="s">
        <v>15</v>
      </c>
      <c r="D142">
        <v>1</v>
      </c>
      <c r="E142" s="42">
        <v>1</v>
      </c>
      <c r="F142" s="42">
        <v>0</v>
      </c>
      <c r="G142" s="42">
        <v>1</v>
      </c>
      <c r="H142" s="42">
        <v>1</v>
      </c>
      <c r="I142" s="19">
        <v>4.8</v>
      </c>
      <c r="J142" s="13" t="s">
        <v>20</v>
      </c>
      <c r="K142" s="14">
        <v>5608871.0549071217</v>
      </c>
      <c r="L142" s="14">
        <v>85654852543.930466</v>
      </c>
      <c r="M142" s="14">
        <v>666977379.70756006</v>
      </c>
      <c r="N142" s="14">
        <v>445976.67967035586</v>
      </c>
    </row>
    <row r="143" spans="1:14" ht="16" x14ac:dyDescent="0.4">
      <c r="A143" s="15" t="s">
        <v>211</v>
      </c>
      <c r="B143" s="17" t="s">
        <v>212</v>
      </c>
      <c r="C143" s="11" t="s">
        <v>16</v>
      </c>
      <c r="D143">
        <v>1</v>
      </c>
      <c r="E143" s="42">
        <v>1</v>
      </c>
      <c r="F143" s="42">
        <v>1</v>
      </c>
      <c r="G143" s="42">
        <v>1</v>
      </c>
      <c r="H143" s="42">
        <v>1</v>
      </c>
      <c r="I143" s="19">
        <v>4.8</v>
      </c>
      <c r="J143" s="13" t="s">
        <v>20</v>
      </c>
      <c r="K143" s="14">
        <v>6878141.7243317766</v>
      </c>
      <c r="L143" s="14">
        <v>158840539101.47482</v>
      </c>
      <c r="M143" s="14">
        <v>982733055.00164795</v>
      </c>
      <c r="N143" s="14">
        <v>5195718.5687398305</v>
      </c>
    </row>
    <row r="144" spans="1:14" ht="16" x14ac:dyDescent="0.4">
      <c r="A144" s="15" t="s">
        <v>213</v>
      </c>
      <c r="B144" s="17" t="s">
        <v>212</v>
      </c>
      <c r="C144" s="11" t="s">
        <v>16</v>
      </c>
      <c r="D144">
        <v>1</v>
      </c>
      <c r="E144" s="42">
        <v>1</v>
      </c>
      <c r="F144" s="42">
        <v>1</v>
      </c>
      <c r="G144" s="42">
        <v>1</v>
      </c>
      <c r="H144" s="42">
        <v>1</v>
      </c>
      <c r="I144" s="19">
        <v>4.8</v>
      </c>
      <c r="J144" s="13" t="s">
        <v>20</v>
      </c>
      <c r="K144" s="14">
        <v>8461598.8119477257</v>
      </c>
      <c r="L144" s="14">
        <v>185066547115.11398</v>
      </c>
      <c r="M144" s="14">
        <v>999557286.55756736</v>
      </c>
      <c r="N144" s="14">
        <v>4644336.1900164206</v>
      </c>
    </row>
    <row r="145" spans="1:14" ht="16" x14ac:dyDescent="0.4">
      <c r="A145" s="15" t="s">
        <v>214</v>
      </c>
      <c r="B145" s="17" t="s">
        <v>212</v>
      </c>
      <c r="C145" s="11" t="s">
        <v>16</v>
      </c>
      <c r="D145">
        <v>1</v>
      </c>
      <c r="E145" s="42">
        <v>1</v>
      </c>
      <c r="F145" s="42">
        <v>1</v>
      </c>
      <c r="G145" s="42">
        <v>1</v>
      </c>
      <c r="H145" s="42">
        <v>1</v>
      </c>
      <c r="I145" s="19">
        <v>4.8</v>
      </c>
      <c r="J145" s="13" t="s">
        <v>20</v>
      </c>
      <c r="K145" s="14">
        <v>6828658.6903437786</v>
      </c>
      <c r="L145" s="14">
        <v>126676567009.27589</v>
      </c>
      <c r="M145" s="14">
        <v>1058936927.3431656</v>
      </c>
      <c r="N145" s="14">
        <v>4425197.039498142</v>
      </c>
    </row>
    <row r="146" spans="1:14" ht="16" x14ac:dyDescent="0.4">
      <c r="A146" s="15" t="s">
        <v>215</v>
      </c>
      <c r="B146" s="17" t="s">
        <v>216</v>
      </c>
      <c r="C146" s="11" t="s">
        <v>13</v>
      </c>
      <c r="D146">
        <v>1</v>
      </c>
      <c r="E146" s="42">
        <v>1</v>
      </c>
      <c r="F146" s="42">
        <v>0</v>
      </c>
      <c r="G146" s="42">
        <v>1</v>
      </c>
      <c r="H146" s="42">
        <v>0</v>
      </c>
      <c r="I146" s="19">
        <v>5.8</v>
      </c>
      <c r="J146" s="13" t="s">
        <v>20</v>
      </c>
      <c r="K146" s="14">
        <v>8980169.8541514613</v>
      </c>
      <c r="L146" s="14">
        <v>318082651843.30878</v>
      </c>
      <c r="M146" s="14">
        <v>2198882711.9511056</v>
      </c>
      <c r="N146" s="14">
        <v>100712185.28020331</v>
      </c>
    </row>
    <row r="147" spans="1:14" ht="16" x14ac:dyDescent="0.4">
      <c r="A147" s="15" t="s">
        <v>217</v>
      </c>
      <c r="B147" s="17" t="s">
        <v>216</v>
      </c>
      <c r="C147" s="11" t="s">
        <v>13</v>
      </c>
      <c r="D147">
        <v>1</v>
      </c>
      <c r="E147" s="42">
        <v>1</v>
      </c>
      <c r="F147" s="42">
        <v>0</v>
      </c>
      <c r="G147" s="42">
        <v>1</v>
      </c>
      <c r="H147" s="42">
        <v>0</v>
      </c>
      <c r="I147" s="19">
        <v>5.8</v>
      </c>
      <c r="J147" s="13" t="s">
        <v>20</v>
      </c>
      <c r="K147" s="14">
        <v>9231950.317351969</v>
      </c>
      <c r="L147" s="14">
        <v>344099966374.02789</v>
      </c>
      <c r="M147" s="14">
        <v>2098170526.6709023</v>
      </c>
      <c r="N147" s="14">
        <v>94717412.346857876</v>
      </c>
    </row>
    <row r="148" spans="1:14" ht="16" x14ac:dyDescent="0.4">
      <c r="A148" s="15" t="s">
        <v>218</v>
      </c>
      <c r="B148" s="17" t="s">
        <v>216</v>
      </c>
      <c r="C148" s="11" t="s">
        <v>13</v>
      </c>
      <c r="D148">
        <v>1</v>
      </c>
      <c r="E148" s="42">
        <v>1</v>
      </c>
      <c r="F148" s="42">
        <v>0</v>
      </c>
      <c r="G148" s="42">
        <v>1</v>
      </c>
      <c r="H148" s="42">
        <v>0</v>
      </c>
      <c r="I148" s="19">
        <v>5.8</v>
      </c>
      <c r="J148" s="13" t="s">
        <v>20</v>
      </c>
      <c r="K148" s="14">
        <v>9148023.4962851331</v>
      </c>
      <c r="L148" s="14">
        <v>438937274179.55273</v>
      </c>
      <c r="M148" s="14">
        <v>2098170526.6709023</v>
      </c>
      <c r="N148" s="14">
        <v>97115321.52019605</v>
      </c>
    </row>
    <row r="149" spans="1:14" ht="16" x14ac:dyDescent="0.4">
      <c r="A149" s="15" t="s">
        <v>219</v>
      </c>
      <c r="B149" s="17" t="s">
        <v>220</v>
      </c>
      <c r="C149" s="11" t="s">
        <v>14</v>
      </c>
      <c r="D149">
        <v>1</v>
      </c>
      <c r="E149" s="42">
        <v>0</v>
      </c>
      <c r="F149" s="42">
        <v>0</v>
      </c>
      <c r="G149" s="42">
        <v>1</v>
      </c>
      <c r="H149" s="42">
        <v>1</v>
      </c>
      <c r="I149" s="19">
        <v>5.8</v>
      </c>
      <c r="J149" s="13" t="s">
        <v>20</v>
      </c>
      <c r="K149" s="14">
        <v>7248133.9835370826</v>
      </c>
      <c r="L149" s="14">
        <v>176903609089.71863</v>
      </c>
      <c r="M149" s="14">
        <v>1375916959.5867004</v>
      </c>
      <c r="N149" s="14">
        <v>657246047.65971839</v>
      </c>
    </row>
    <row r="150" spans="1:14" ht="16" x14ac:dyDescent="0.4">
      <c r="A150" s="15" t="s">
        <v>221</v>
      </c>
      <c r="B150" s="17" t="s">
        <v>220</v>
      </c>
      <c r="C150" s="11" t="s">
        <v>14</v>
      </c>
      <c r="D150">
        <v>1</v>
      </c>
      <c r="E150" s="42">
        <v>0</v>
      </c>
      <c r="F150" s="42">
        <v>0</v>
      </c>
      <c r="G150" s="42">
        <v>1</v>
      </c>
      <c r="H150" s="42">
        <v>1</v>
      </c>
      <c r="I150" s="19">
        <v>5.8</v>
      </c>
      <c r="J150" s="13" t="s">
        <v>20</v>
      </c>
      <c r="K150" s="14">
        <v>5558950.2161873383</v>
      </c>
      <c r="L150" s="14">
        <v>217444019506.11246</v>
      </c>
      <c r="M150" s="14">
        <v>1363631986.7332478</v>
      </c>
      <c r="N150" s="14">
        <v>630043607.76993048</v>
      </c>
    </row>
    <row r="151" spans="1:14" ht="16" x14ac:dyDescent="0.4">
      <c r="A151" s="15" t="s">
        <v>222</v>
      </c>
      <c r="B151" s="17" t="s">
        <v>220</v>
      </c>
      <c r="C151" s="11" t="s">
        <v>14</v>
      </c>
      <c r="D151">
        <v>1</v>
      </c>
      <c r="E151" s="42">
        <v>0</v>
      </c>
      <c r="F151" s="42">
        <v>0</v>
      </c>
      <c r="G151" s="42">
        <v>1</v>
      </c>
      <c r="H151" s="42">
        <v>1</v>
      </c>
      <c r="I151" s="19">
        <v>5.8</v>
      </c>
      <c r="J151" s="13" t="s">
        <v>20</v>
      </c>
      <c r="K151" s="14">
        <v>6879584.7979335021</v>
      </c>
      <c r="L151" s="14">
        <v>227271997788.8746</v>
      </c>
      <c r="M151" s="14">
        <v>1363631986.7332478</v>
      </c>
      <c r="N151" s="14">
        <v>612493646.55071235</v>
      </c>
    </row>
    <row r="152" spans="1:14" ht="16" x14ac:dyDescent="0.4">
      <c r="A152" s="15" t="s">
        <v>223</v>
      </c>
      <c r="B152" s="17" t="s">
        <v>224</v>
      </c>
      <c r="C152" s="11" t="s">
        <v>15</v>
      </c>
      <c r="D152">
        <v>1</v>
      </c>
      <c r="E152" s="42">
        <v>1</v>
      </c>
      <c r="F152" s="42">
        <v>0</v>
      </c>
      <c r="G152" s="42">
        <v>1</v>
      </c>
      <c r="H152" s="42">
        <v>1</v>
      </c>
      <c r="I152" s="19">
        <v>5.8</v>
      </c>
      <c r="J152" s="13" t="s">
        <v>20</v>
      </c>
      <c r="K152" s="14">
        <v>6903067.6079666587</v>
      </c>
      <c r="L152" s="14">
        <v>247999095545.46884</v>
      </c>
      <c r="M152" s="14">
        <v>891007059.76902986</v>
      </c>
      <c r="N152" s="14">
        <v>412723089.78848273</v>
      </c>
    </row>
    <row r="153" spans="1:14" ht="16" x14ac:dyDescent="0.4">
      <c r="A153" s="15" t="s">
        <v>225</v>
      </c>
      <c r="B153" s="17" t="s">
        <v>224</v>
      </c>
      <c r="C153" s="11" t="s">
        <v>15</v>
      </c>
      <c r="D153">
        <v>1</v>
      </c>
      <c r="E153" s="42">
        <v>1</v>
      </c>
      <c r="F153" s="42">
        <v>0</v>
      </c>
      <c r="G153" s="42">
        <v>1</v>
      </c>
      <c r="H153" s="42">
        <v>1</v>
      </c>
      <c r="I153" s="19">
        <v>5.8</v>
      </c>
      <c r="J153" s="13" t="s">
        <v>20</v>
      </c>
      <c r="K153" s="14">
        <v>7542240.5346302381</v>
      </c>
      <c r="L153" s="14">
        <v>297215410898.56445</v>
      </c>
      <c r="M153" s="14">
        <v>792574429.06283855</v>
      </c>
      <c r="N153" s="14">
        <v>387156172.72193956</v>
      </c>
    </row>
    <row r="154" spans="1:14" ht="16" x14ac:dyDescent="0.4">
      <c r="A154" s="15" t="s">
        <v>226</v>
      </c>
      <c r="B154" s="17" t="s">
        <v>224</v>
      </c>
      <c r="C154" s="11" t="s">
        <v>15</v>
      </c>
      <c r="D154">
        <v>1</v>
      </c>
      <c r="E154" s="42">
        <v>1</v>
      </c>
      <c r="F154" s="42">
        <v>0</v>
      </c>
      <c r="G154" s="42">
        <v>1</v>
      </c>
      <c r="H154" s="42">
        <v>1</v>
      </c>
      <c r="I154" s="19">
        <v>5.8</v>
      </c>
      <c r="J154" s="13" t="s">
        <v>20</v>
      </c>
      <c r="K154" s="14">
        <v>7158736.7786320904</v>
      </c>
      <c r="L154" s="14">
        <v>136143833379.34244</v>
      </c>
      <c r="M154" s="14">
        <v>825811421.24934459</v>
      </c>
      <c r="N154" s="14">
        <v>383503755.99814767</v>
      </c>
    </row>
    <row r="155" spans="1:14" ht="16" x14ac:dyDescent="0.4">
      <c r="A155" s="15" t="s">
        <v>227</v>
      </c>
      <c r="B155" s="17" t="s">
        <v>228</v>
      </c>
      <c r="C155" s="11" t="s">
        <v>16</v>
      </c>
      <c r="D155">
        <v>1</v>
      </c>
      <c r="E155" s="42">
        <v>1</v>
      </c>
      <c r="F155" s="42">
        <v>1</v>
      </c>
      <c r="G155" s="42">
        <v>1</v>
      </c>
      <c r="H155" s="42">
        <v>1</v>
      </c>
      <c r="I155" s="19">
        <v>5.8</v>
      </c>
      <c r="J155" s="13" t="s">
        <v>20</v>
      </c>
      <c r="K155" s="14">
        <v>6688578.646627903</v>
      </c>
      <c r="L155" s="14">
        <v>109836953265.70331</v>
      </c>
      <c r="M155" s="14">
        <v>632136256.40679383</v>
      </c>
      <c r="N155" s="14">
        <v>271664959.03670752</v>
      </c>
    </row>
    <row r="156" spans="1:14" ht="16" x14ac:dyDescent="0.4">
      <c r="A156" s="15" t="s">
        <v>229</v>
      </c>
      <c r="B156" s="17" t="s">
        <v>228</v>
      </c>
      <c r="C156" s="11" t="s">
        <v>16</v>
      </c>
      <c r="D156">
        <v>1</v>
      </c>
      <c r="E156" s="42">
        <v>1</v>
      </c>
      <c r="F156" s="42">
        <v>1</v>
      </c>
      <c r="G156" s="42">
        <v>1</v>
      </c>
      <c r="H156" s="42">
        <v>1</v>
      </c>
      <c r="I156" s="19">
        <v>5.8</v>
      </c>
      <c r="J156" s="13" t="s">
        <v>20</v>
      </c>
      <c r="K156" s="14">
        <v>6393494.2945707887</v>
      </c>
      <c r="L156" s="14">
        <v>120656712841.13078</v>
      </c>
      <c r="M156" s="14">
        <v>624923083.35650897</v>
      </c>
      <c r="N156" s="14">
        <v>266044304.71181011</v>
      </c>
    </row>
    <row r="157" spans="1:14" ht="16" x14ac:dyDescent="0.4">
      <c r="A157" s="15" t="s">
        <v>230</v>
      </c>
      <c r="B157" s="17" t="s">
        <v>228</v>
      </c>
      <c r="C157" s="11" t="s">
        <v>16</v>
      </c>
      <c r="D157">
        <v>1</v>
      </c>
      <c r="E157" s="42">
        <v>1</v>
      </c>
      <c r="F157" s="42">
        <v>1</v>
      </c>
      <c r="G157" s="42">
        <v>1</v>
      </c>
      <c r="H157" s="42">
        <v>1</v>
      </c>
      <c r="I157" s="19">
        <v>5.8</v>
      </c>
      <c r="J157" s="13" t="s">
        <v>20</v>
      </c>
      <c r="K157" s="14">
        <v>4426265.2808566997</v>
      </c>
      <c r="L157" s="14">
        <v>107541852749.70354</v>
      </c>
      <c r="M157" s="14">
        <v>619677139.31993794</v>
      </c>
      <c r="N157" s="14">
        <v>261360426.10772899</v>
      </c>
    </row>
    <row r="158" spans="1:14" ht="16" x14ac:dyDescent="0.4">
      <c r="A158" s="15" t="s">
        <v>231</v>
      </c>
      <c r="B158" s="17" t="s">
        <v>232</v>
      </c>
      <c r="C158" s="18" t="s">
        <v>122</v>
      </c>
      <c r="D158"/>
      <c r="E158" s="42"/>
      <c r="F158" s="22"/>
      <c r="G158" s="22"/>
      <c r="H158" s="22"/>
      <c r="I158" s="12" t="s">
        <v>122</v>
      </c>
      <c r="J158" s="13" t="s">
        <v>20</v>
      </c>
      <c r="K158" s="14">
        <v>8947792.5610199198</v>
      </c>
      <c r="L158" s="14">
        <v>43404209218.649109</v>
      </c>
      <c r="M158" s="14">
        <v>175791990.86733058</v>
      </c>
      <c r="N158" s="14">
        <v>4011322947.6395531</v>
      </c>
    </row>
    <row r="159" spans="1:14" ht="16" x14ac:dyDescent="0.4">
      <c r="A159" s="15" t="s">
        <v>233</v>
      </c>
      <c r="B159" s="17" t="s">
        <v>232</v>
      </c>
      <c r="C159" s="18" t="s">
        <v>122</v>
      </c>
      <c r="D159"/>
      <c r="E159" s="42"/>
      <c r="F159" s="22"/>
      <c r="G159" s="22"/>
      <c r="H159" s="22"/>
      <c r="I159" s="12" t="s">
        <v>122</v>
      </c>
      <c r="J159" s="13" t="s">
        <v>20</v>
      </c>
      <c r="K159" s="14">
        <v>11271252.507804096</v>
      </c>
      <c r="L159" s="14">
        <v>50028541832.88485</v>
      </c>
      <c r="M159" s="14">
        <v>159181724.01372451</v>
      </c>
      <c r="N159" s="14">
        <v>3333352871.9821639</v>
      </c>
    </row>
    <row r="160" spans="1:14" ht="16" x14ac:dyDescent="0.4">
      <c r="A160" s="15" t="s">
        <v>234</v>
      </c>
      <c r="B160" s="17" t="s">
        <v>232</v>
      </c>
      <c r="C160" s="18" t="s">
        <v>122</v>
      </c>
      <c r="D160"/>
      <c r="E160" s="42"/>
      <c r="F160" s="22"/>
      <c r="G160" s="22"/>
      <c r="H160" s="22"/>
      <c r="I160" s="12" t="s">
        <v>122</v>
      </c>
      <c r="J160" s="13" t="s">
        <v>20</v>
      </c>
      <c r="K160" s="14">
        <v>10084804.875403665</v>
      </c>
      <c r="L160" s="14">
        <v>340114987954.79028</v>
      </c>
      <c r="M160" s="14">
        <v>160368171.64612496</v>
      </c>
      <c r="N160" s="14">
        <v>3870079181.8775973</v>
      </c>
    </row>
    <row r="161" spans="1:14" ht="16" x14ac:dyDescent="0.4">
      <c r="A161" s="15" t="s">
        <v>235</v>
      </c>
      <c r="B161" s="17" t="s">
        <v>232</v>
      </c>
      <c r="C161" s="18" t="s">
        <v>122</v>
      </c>
      <c r="D161"/>
      <c r="E161" s="42"/>
      <c r="F161" s="22"/>
      <c r="G161" s="22"/>
      <c r="H161" s="22"/>
      <c r="I161" s="12" t="s">
        <v>122</v>
      </c>
      <c r="J161" s="13" t="s">
        <v>20</v>
      </c>
      <c r="K161" s="14">
        <v>8607508.122558577</v>
      </c>
      <c r="L161" s="14">
        <v>202585550287.84277</v>
      </c>
      <c r="M161" s="14">
        <v>120980666.65076807</v>
      </c>
      <c r="N161" s="14">
        <v>3179411050.7951174</v>
      </c>
    </row>
    <row r="162" spans="1:14" ht="16" x14ac:dyDescent="0.4">
      <c r="A162" s="15" t="s">
        <v>236</v>
      </c>
      <c r="B162" s="17" t="s">
        <v>232</v>
      </c>
      <c r="C162" s="18" t="s">
        <v>122</v>
      </c>
      <c r="D162"/>
      <c r="E162" s="42"/>
      <c r="F162" s="22"/>
      <c r="G162" s="22"/>
      <c r="H162" s="22"/>
      <c r="I162" s="12" t="s">
        <v>122</v>
      </c>
      <c r="J162" s="13" t="s">
        <v>20</v>
      </c>
      <c r="K162" s="14">
        <v>9434970.2293680757</v>
      </c>
      <c r="L162" s="14">
        <v>577321263026.85706</v>
      </c>
      <c r="M162" s="14">
        <v>113562040.86557946</v>
      </c>
      <c r="N162" s="14">
        <v>3125062143.9439192</v>
      </c>
    </row>
    <row r="163" spans="1:14" ht="16" x14ac:dyDescent="0.4">
      <c r="A163" s="15" t="s">
        <v>237</v>
      </c>
      <c r="B163" s="17" t="s">
        <v>232</v>
      </c>
      <c r="C163" s="18" t="s">
        <v>122</v>
      </c>
      <c r="D163"/>
      <c r="E163" s="42"/>
      <c r="F163" s="22"/>
      <c r="G163" s="22"/>
      <c r="H163" s="22"/>
      <c r="I163" s="12" t="s">
        <v>122</v>
      </c>
      <c r="J163" s="13" t="s">
        <v>20</v>
      </c>
      <c r="K163" s="14">
        <v>10747496.32982452</v>
      </c>
      <c r="L163" s="14">
        <v>424193217973.60504</v>
      </c>
      <c r="M163" s="14">
        <v>131252610.0456446</v>
      </c>
      <c r="N163" s="14">
        <v>3070713237.09272</v>
      </c>
    </row>
    <row r="164" spans="1:14" ht="16" x14ac:dyDescent="0.4">
      <c r="A164" s="10" t="s">
        <v>238</v>
      </c>
      <c r="B164" s="10" t="s">
        <v>239</v>
      </c>
      <c r="C164" s="11" t="s">
        <v>17</v>
      </c>
      <c r="D164">
        <v>1</v>
      </c>
      <c r="E164" s="42">
        <v>0</v>
      </c>
      <c r="F164">
        <v>1</v>
      </c>
      <c r="G164" s="42">
        <v>0</v>
      </c>
      <c r="H164" s="42">
        <v>0</v>
      </c>
      <c r="I164" s="19">
        <v>4.8</v>
      </c>
      <c r="J164" s="20" t="s">
        <v>10</v>
      </c>
      <c r="K164" s="14">
        <v>162841.69662984941</v>
      </c>
      <c r="L164" s="14">
        <v>16749431653.355938</v>
      </c>
      <c r="M164" s="14">
        <v>367556.97239308862</v>
      </c>
      <c r="N164" s="14">
        <v>247585.84487599554</v>
      </c>
    </row>
    <row r="165" spans="1:14" ht="16" x14ac:dyDescent="0.4">
      <c r="A165" s="15" t="s">
        <v>240</v>
      </c>
      <c r="B165" s="15" t="s">
        <v>239</v>
      </c>
      <c r="C165" s="11" t="s">
        <v>17</v>
      </c>
      <c r="D165">
        <v>1</v>
      </c>
      <c r="E165" s="42">
        <v>0</v>
      </c>
      <c r="F165">
        <v>1</v>
      </c>
      <c r="G165" s="42">
        <v>0</v>
      </c>
      <c r="H165" s="42">
        <v>0</v>
      </c>
      <c r="I165" s="19">
        <v>4.8</v>
      </c>
      <c r="J165" s="20" t="s">
        <v>10</v>
      </c>
      <c r="K165" s="14">
        <v>164004.85160577687</v>
      </c>
      <c r="L165" s="14">
        <v>17679955634.097935</v>
      </c>
      <c r="M165" s="14">
        <v>362904.35248937865</v>
      </c>
      <c r="N165" s="14">
        <v>299096.99380992749</v>
      </c>
    </row>
    <row r="166" spans="1:14" ht="16" x14ac:dyDescent="0.4">
      <c r="A166" s="15" t="s">
        <v>241</v>
      </c>
      <c r="B166" s="10" t="s">
        <v>239</v>
      </c>
      <c r="C166" s="11" t="s">
        <v>17</v>
      </c>
      <c r="D166">
        <v>1</v>
      </c>
      <c r="E166" s="42">
        <v>0</v>
      </c>
      <c r="F166">
        <v>1</v>
      </c>
      <c r="G166" s="42">
        <v>0</v>
      </c>
      <c r="H166" s="42">
        <v>0</v>
      </c>
      <c r="I166" s="19">
        <v>4.8</v>
      </c>
      <c r="J166" s="20" t="s">
        <v>10</v>
      </c>
      <c r="K166" s="14">
        <v>160515.38667799439</v>
      </c>
      <c r="L166" s="14">
        <v>13841544213.537199</v>
      </c>
      <c r="M166" s="14">
        <v>376862.21220050857</v>
      </c>
      <c r="N166" s="14">
        <v>297435.34384431678</v>
      </c>
    </row>
    <row r="167" spans="1:14" ht="16" x14ac:dyDescent="0.4">
      <c r="A167" s="15" t="s">
        <v>242</v>
      </c>
      <c r="B167" s="10" t="s">
        <v>243</v>
      </c>
      <c r="C167" s="11" t="s">
        <v>18</v>
      </c>
      <c r="D167">
        <v>1</v>
      </c>
      <c r="E167" s="42">
        <v>0</v>
      </c>
      <c r="F167">
        <v>1</v>
      </c>
      <c r="G167">
        <v>1</v>
      </c>
      <c r="H167" s="42">
        <v>0</v>
      </c>
      <c r="I167" s="19">
        <v>4.8</v>
      </c>
      <c r="J167" s="20" t="s">
        <v>10</v>
      </c>
      <c r="K167" s="14">
        <v>227250.44016110612</v>
      </c>
      <c r="L167" s="14">
        <v>12420411988.115627</v>
      </c>
      <c r="M167" s="14">
        <v>279491.92065791209</v>
      </c>
      <c r="N167" s="14">
        <v>434723.74841984996</v>
      </c>
    </row>
    <row r="168" spans="1:14" ht="16" x14ac:dyDescent="0.4">
      <c r="A168" s="15" t="s">
        <v>244</v>
      </c>
      <c r="B168" s="15" t="s">
        <v>243</v>
      </c>
      <c r="C168" s="11" t="s">
        <v>18</v>
      </c>
      <c r="D168">
        <v>1</v>
      </c>
      <c r="E168" s="42">
        <v>0</v>
      </c>
      <c r="F168">
        <v>1</v>
      </c>
      <c r="G168">
        <v>1</v>
      </c>
      <c r="H168" s="42">
        <v>0</v>
      </c>
      <c r="I168" s="19">
        <v>4.8</v>
      </c>
      <c r="J168" s="20" t="s">
        <v>10</v>
      </c>
      <c r="K168" s="14">
        <v>163254.62655251875</v>
      </c>
      <c r="L168" s="14">
        <v>11532306819.669926</v>
      </c>
      <c r="M168" s="14">
        <v>256766.87664180147</v>
      </c>
      <c r="N168" s="14">
        <v>432857.98125924973</v>
      </c>
    </row>
    <row r="169" spans="1:14" ht="16" x14ac:dyDescent="0.4">
      <c r="A169" s="15" t="s">
        <v>245</v>
      </c>
      <c r="B169" s="10" t="s">
        <v>243</v>
      </c>
      <c r="C169" s="11" t="s">
        <v>18</v>
      </c>
      <c r="D169">
        <v>1</v>
      </c>
      <c r="E169" s="42">
        <v>0</v>
      </c>
      <c r="F169">
        <v>1</v>
      </c>
      <c r="G169">
        <v>1</v>
      </c>
      <c r="H169" s="42">
        <v>0</v>
      </c>
      <c r="I169" s="19">
        <v>4.8</v>
      </c>
      <c r="J169" s="20" t="s">
        <v>10</v>
      </c>
      <c r="K169" s="14">
        <v>160642.55252767843</v>
      </c>
      <c r="L169" s="14">
        <v>12159204585.631596</v>
      </c>
      <c r="M169" s="14">
        <v>279491.92065791209</v>
      </c>
      <c r="N169" s="14">
        <v>429126.44693804922</v>
      </c>
    </row>
    <row r="170" spans="1:14" ht="16" x14ac:dyDescent="0.4">
      <c r="A170" s="15" t="s">
        <v>246</v>
      </c>
      <c r="B170" s="17" t="s">
        <v>247</v>
      </c>
      <c r="C170" s="11" t="s">
        <v>17</v>
      </c>
      <c r="D170">
        <v>1</v>
      </c>
      <c r="E170" s="42">
        <v>0</v>
      </c>
      <c r="F170">
        <v>1</v>
      </c>
      <c r="G170" s="42">
        <v>0</v>
      </c>
      <c r="H170" s="42">
        <v>0</v>
      </c>
      <c r="I170" s="19">
        <v>5.8</v>
      </c>
      <c r="J170" s="20" t="s">
        <v>10</v>
      </c>
      <c r="K170" s="14">
        <v>588159.13073222549</v>
      </c>
      <c r="L170" s="14">
        <v>506721712630.84045</v>
      </c>
      <c r="M170" s="14">
        <v>392709327.28890133</v>
      </c>
      <c r="N170" s="14">
        <v>190020642.23656514</v>
      </c>
    </row>
    <row r="171" spans="1:14" ht="16" x14ac:dyDescent="0.4">
      <c r="A171" s="15" t="s">
        <v>248</v>
      </c>
      <c r="B171" s="17" t="s">
        <v>247</v>
      </c>
      <c r="C171" s="11" t="s">
        <v>17</v>
      </c>
      <c r="D171">
        <v>1</v>
      </c>
      <c r="E171" s="42">
        <v>0</v>
      </c>
      <c r="F171">
        <v>1</v>
      </c>
      <c r="G171" s="42">
        <v>0</v>
      </c>
      <c r="H171" s="42">
        <v>0</v>
      </c>
      <c r="I171" s="19">
        <v>5.8</v>
      </c>
      <c r="J171" s="20" t="s">
        <v>10</v>
      </c>
      <c r="K171" s="14">
        <v>601732.03374912299</v>
      </c>
      <c r="L171" s="14">
        <v>430261025635.65106</v>
      </c>
      <c r="M171" s="14">
        <v>333893414.21567881</v>
      </c>
      <c r="N171" s="14">
        <v>223629735.42126372</v>
      </c>
    </row>
    <row r="172" spans="1:14" ht="16" x14ac:dyDescent="0.4">
      <c r="A172" s="15" t="s">
        <v>249</v>
      </c>
      <c r="B172" s="17" t="s">
        <v>247</v>
      </c>
      <c r="C172" s="11" t="s">
        <v>17</v>
      </c>
      <c r="D172">
        <v>1</v>
      </c>
      <c r="E172" s="42">
        <v>0</v>
      </c>
      <c r="F172">
        <v>1</v>
      </c>
      <c r="G172" s="42">
        <v>0</v>
      </c>
      <c r="H172" s="42">
        <v>0</v>
      </c>
      <c r="I172" s="19">
        <v>5.8</v>
      </c>
      <c r="J172" s="20" t="s">
        <v>10</v>
      </c>
      <c r="K172" s="14">
        <v>565537.62570406287</v>
      </c>
      <c r="L172" s="14">
        <v>332988554014.55231</v>
      </c>
      <c r="M172" s="14">
        <v>342942016.22694379</v>
      </c>
      <c r="N172" s="14">
        <v>225568721.56653482</v>
      </c>
    </row>
    <row r="173" spans="1:14" ht="16" x14ac:dyDescent="0.4">
      <c r="A173" s="15" t="s">
        <v>250</v>
      </c>
      <c r="B173" s="17" t="s">
        <v>251</v>
      </c>
      <c r="C173" s="11" t="s">
        <v>18</v>
      </c>
      <c r="D173">
        <v>1</v>
      </c>
      <c r="E173" s="42">
        <v>0</v>
      </c>
      <c r="F173">
        <v>1</v>
      </c>
      <c r="G173">
        <v>1</v>
      </c>
      <c r="H173" s="42">
        <v>0</v>
      </c>
      <c r="I173" s="19">
        <v>5.8</v>
      </c>
      <c r="J173" s="20" t="s">
        <v>10</v>
      </c>
      <c r="K173" s="14">
        <v>786039.65624995937</v>
      </c>
      <c r="L173" s="14">
        <v>205633588643.96259</v>
      </c>
      <c r="M173" s="14">
        <v>627428082.75666404</v>
      </c>
      <c r="N173" s="14">
        <v>37998600.72943043</v>
      </c>
    </row>
    <row r="174" spans="1:14" ht="16" x14ac:dyDescent="0.4">
      <c r="A174" s="15" t="s">
        <v>252</v>
      </c>
      <c r="B174" s="17" t="s">
        <v>251</v>
      </c>
      <c r="C174" s="11" t="s">
        <v>18</v>
      </c>
      <c r="D174">
        <v>1</v>
      </c>
      <c r="E174" s="42">
        <v>0</v>
      </c>
      <c r="F174">
        <v>1</v>
      </c>
      <c r="G174">
        <v>1</v>
      </c>
      <c r="H174" s="42">
        <v>0</v>
      </c>
      <c r="I174" s="19">
        <v>5.8</v>
      </c>
      <c r="J174" s="20" t="s">
        <v>10</v>
      </c>
      <c r="K174" s="14">
        <v>757966.81138388941</v>
      </c>
      <c r="L174" s="14">
        <v>271604774079.22705</v>
      </c>
      <c r="M174" s="14">
        <v>582511530.97095203</v>
      </c>
      <c r="N174" s="14">
        <v>36895738.966834828</v>
      </c>
    </row>
    <row r="175" spans="1:14" ht="16" x14ac:dyDescent="0.4">
      <c r="A175" s="15" t="s">
        <v>253</v>
      </c>
      <c r="B175" s="17" t="s">
        <v>251</v>
      </c>
      <c r="C175" s="11" t="s">
        <v>18</v>
      </c>
      <c r="D175">
        <v>1</v>
      </c>
      <c r="E175" s="42">
        <v>0</v>
      </c>
      <c r="F175">
        <v>1</v>
      </c>
      <c r="G175">
        <v>1</v>
      </c>
      <c r="H175" s="42">
        <v>0</v>
      </c>
      <c r="I175" s="19">
        <v>5.8</v>
      </c>
      <c r="J175" s="20" t="s">
        <v>10</v>
      </c>
      <c r="K175" s="14">
        <v>786039.65624995937</v>
      </c>
      <c r="L175" s="14">
        <v>261077457254.45078</v>
      </c>
      <c r="M175" s="14">
        <v>530576767.96872252</v>
      </c>
      <c r="N175" s="14">
        <v>34990795.922351509</v>
      </c>
    </row>
    <row r="176" spans="1:14" ht="16" x14ac:dyDescent="0.4">
      <c r="A176" s="15" t="s">
        <v>254</v>
      </c>
      <c r="B176" s="17" t="s">
        <v>255</v>
      </c>
      <c r="C176" s="11" t="s">
        <v>17</v>
      </c>
      <c r="D176">
        <v>1</v>
      </c>
      <c r="E176" s="42">
        <v>0</v>
      </c>
      <c r="F176">
        <v>1</v>
      </c>
      <c r="G176" s="42">
        <v>0</v>
      </c>
      <c r="H176" s="42">
        <v>0</v>
      </c>
      <c r="I176" s="19">
        <v>4.8</v>
      </c>
      <c r="J176" s="13" t="s">
        <v>19</v>
      </c>
      <c r="K176" s="14">
        <v>-872552.9608432164</v>
      </c>
      <c r="L176" s="14">
        <v>-10785724099.311981</v>
      </c>
      <c r="M176" s="14">
        <v>-144213.61436158716</v>
      </c>
      <c r="N176" s="14">
        <v>-15408.177284731401</v>
      </c>
    </row>
    <row r="177" spans="1:14" ht="16" x14ac:dyDescent="0.4">
      <c r="A177" s="15" t="s">
        <v>256</v>
      </c>
      <c r="B177" s="17" t="s">
        <v>255</v>
      </c>
      <c r="C177" s="11" t="s">
        <v>17</v>
      </c>
      <c r="D177">
        <v>1</v>
      </c>
      <c r="E177" s="42">
        <v>0</v>
      </c>
      <c r="F177">
        <v>1</v>
      </c>
      <c r="G177" s="42">
        <v>0</v>
      </c>
      <c r="H177" s="42">
        <v>0</v>
      </c>
      <c r="I177" s="19">
        <v>4.8</v>
      </c>
      <c r="J177" s="13" t="s">
        <v>19</v>
      </c>
      <c r="K177" s="14">
        <v>-854374.77415898268</v>
      </c>
      <c r="L177" s="14">
        <v>-10482754321.241419</v>
      </c>
      <c r="M177" s="14">
        <v>-140577.97702474042</v>
      </c>
      <c r="N177" s="14">
        <v>-20428.819321329272</v>
      </c>
    </row>
    <row r="178" spans="1:14" ht="16" x14ac:dyDescent="0.4">
      <c r="A178" s="15" t="s">
        <v>257</v>
      </c>
      <c r="B178" s="17" t="s">
        <v>255</v>
      </c>
      <c r="C178" s="11" t="s">
        <v>17</v>
      </c>
      <c r="D178">
        <v>1</v>
      </c>
      <c r="E178" s="42">
        <v>0</v>
      </c>
      <c r="F178">
        <v>1</v>
      </c>
      <c r="G178" s="42">
        <v>0</v>
      </c>
      <c r="H178" s="42">
        <v>0</v>
      </c>
      <c r="I178" s="19">
        <v>4.8</v>
      </c>
      <c r="J178" s="13" t="s">
        <v>19</v>
      </c>
      <c r="K178" s="14">
        <v>-896790.54308886128</v>
      </c>
      <c r="L178" s="14">
        <v>-8907311475.2744999</v>
      </c>
      <c r="M178" s="14">
        <v>-144213.61436158716</v>
      </c>
      <c r="N178" s="14">
        <v>-18437.875065437012</v>
      </c>
    </row>
    <row r="179" spans="1:14" ht="16" x14ac:dyDescent="0.4">
      <c r="A179" s="15" t="s">
        <v>258</v>
      </c>
      <c r="B179" s="17" t="s">
        <v>259</v>
      </c>
      <c r="C179" s="11" t="s">
        <v>18</v>
      </c>
      <c r="D179">
        <v>1</v>
      </c>
      <c r="E179" s="42">
        <v>0</v>
      </c>
      <c r="F179">
        <v>1</v>
      </c>
      <c r="G179">
        <v>1</v>
      </c>
      <c r="H179" s="42">
        <v>0</v>
      </c>
      <c r="I179" s="19">
        <v>4.8</v>
      </c>
      <c r="J179" s="13" t="s">
        <v>19</v>
      </c>
      <c r="K179" s="14">
        <v>-6739836.4122303212</v>
      </c>
      <c r="L179" s="14">
        <v>-65224223344.164398</v>
      </c>
      <c r="M179" s="14">
        <v>-4322191.86693996</v>
      </c>
      <c r="N179" s="14">
        <v>-3000314.2738315621</v>
      </c>
    </row>
    <row r="180" spans="1:14" ht="16" x14ac:dyDescent="0.4">
      <c r="A180" s="15" t="s">
        <v>260</v>
      </c>
      <c r="B180" s="17" t="s">
        <v>259</v>
      </c>
      <c r="C180" s="11" t="s">
        <v>18</v>
      </c>
      <c r="D180">
        <v>1</v>
      </c>
      <c r="E180" s="42">
        <v>0</v>
      </c>
      <c r="F180">
        <v>1</v>
      </c>
      <c r="G180">
        <v>1</v>
      </c>
      <c r="H180" s="42">
        <v>0</v>
      </c>
      <c r="I180" s="19">
        <v>4.8</v>
      </c>
      <c r="J180" s="13" t="s">
        <v>19</v>
      </c>
      <c r="K180" s="14">
        <v>-6478939.5188536635</v>
      </c>
      <c r="L180" s="14">
        <v>-86095974814.296997</v>
      </c>
      <c r="M180" s="14">
        <v>-3991722.4686628608</v>
      </c>
      <c r="N180" s="14">
        <v>-2900924.981116645</v>
      </c>
    </row>
    <row r="181" spans="1:14" ht="16" x14ac:dyDescent="0.4">
      <c r="A181" s="15" t="s">
        <v>261</v>
      </c>
      <c r="B181" s="17" t="s">
        <v>259</v>
      </c>
      <c r="C181" s="11" t="s">
        <v>18</v>
      </c>
      <c r="D181">
        <v>1</v>
      </c>
      <c r="E181" s="42">
        <v>0</v>
      </c>
      <c r="F181">
        <v>1</v>
      </c>
      <c r="G181">
        <v>1</v>
      </c>
      <c r="H181" s="42">
        <v>0</v>
      </c>
      <c r="I181" s="19">
        <v>4.8</v>
      </c>
      <c r="J181" s="13" t="s">
        <v>19</v>
      </c>
      <c r="K181" s="14">
        <v>-7044216.1211697543</v>
      </c>
      <c r="L181" s="14">
        <v>-72616301989.836365</v>
      </c>
      <c r="M181" s="14">
        <v>-4183046.857139077</v>
      </c>
      <c r="N181" s="14">
        <v>-2522003.302641023</v>
      </c>
    </row>
    <row r="182" spans="1:14" ht="16" x14ac:dyDescent="0.4">
      <c r="A182" s="15" t="s">
        <v>262</v>
      </c>
      <c r="B182" s="17" t="s">
        <v>263</v>
      </c>
      <c r="C182" s="11" t="s">
        <v>17</v>
      </c>
      <c r="D182">
        <v>1</v>
      </c>
      <c r="E182" s="42">
        <v>0</v>
      </c>
      <c r="F182">
        <v>1</v>
      </c>
      <c r="G182" s="42">
        <v>0</v>
      </c>
      <c r="H182" s="42">
        <v>0</v>
      </c>
      <c r="I182" s="19">
        <v>5.8</v>
      </c>
      <c r="J182" s="13" t="s">
        <v>19</v>
      </c>
      <c r="K182" s="14">
        <v>274060.69501080603</v>
      </c>
      <c r="L182" s="14">
        <v>42707791639.183945</v>
      </c>
      <c r="M182" s="14">
        <v>231581287.28413114</v>
      </c>
      <c r="N182" s="14">
        <v>14649196.673791895</v>
      </c>
    </row>
    <row r="183" spans="1:14" ht="16" x14ac:dyDescent="0.4">
      <c r="A183" s="15" t="s">
        <v>264</v>
      </c>
      <c r="B183" s="17" t="s">
        <v>263</v>
      </c>
      <c r="C183" s="11" t="s">
        <v>17</v>
      </c>
      <c r="D183">
        <v>1</v>
      </c>
      <c r="E183" s="42">
        <v>0</v>
      </c>
      <c r="F183">
        <v>1</v>
      </c>
      <c r="G183" s="42">
        <v>0</v>
      </c>
      <c r="H183" s="42">
        <v>0</v>
      </c>
      <c r="I183" s="19">
        <v>5.8</v>
      </c>
      <c r="J183" s="13" t="s">
        <v>19</v>
      </c>
      <c r="K183" s="14">
        <v>242086.94725954533</v>
      </c>
      <c r="L183" s="14">
        <v>44763246851.764992</v>
      </c>
      <c r="M183" s="14">
        <v>201891378.65796047</v>
      </c>
      <c r="N183" s="14">
        <v>17487682.443546675</v>
      </c>
    </row>
    <row r="184" spans="1:14" ht="16" x14ac:dyDescent="0.4">
      <c r="A184" s="15" t="s">
        <v>265</v>
      </c>
      <c r="B184" s="17" t="s">
        <v>263</v>
      </c>
      <c r="C184" s="11" t="s">
        <v>17</v>
      </c>
      <c r="D184">
        <v>1</v>
      </c>
      <c r="E184" s="42">
        <v>0</v>
      </c>
      <c r="F184">
        <v>1</v>
      </c>
      <c r="G184" s="42">
        <v>0</v>
      </c>
      <c r="H184" s="42">
        <v>0</v>
      </c>
      <c r="I184" s="19">
        <v>5.8</v>
      </c>
      <c r="J184" s="13" t="s">
        <v>19</v>
      </c>
      <c r="K184" s="14">
        <v>237519.26900936526</v>
      </c>
      <c r="L184" s="14">
        <v>41337488164.129913</v>
      </c>
      <c r="M184" s="14">
        <v>195953396.93272632</v>
      </c>
      <c r="N184" s="14">
        <v>15856368.782768065</v>
      </c>
    </row>
    <row r="185" spans="1:14" ht="16" x14ac:dyDescent="0.4">
      <c r="A185" s="15" t="s">
        <v>266</v>
      </c>
      <c r="B185" s="17" t="s">
        <v>267</v>
      </c>
      <c r="C185" s="11" t="s">
        <v>18</v>
      </c>
      <c r="D185">
        <v>1</v>
      </c>
      <c r="E185" s="42">
        <v>0</v>
      </c>
      <c r="F185">
        <v>1</v>
      </c>
      <c r="G185">
        <v>1</v>
      </c>
      <c r="H185" s="42">
        <v>0</v>
      </c>
      <c r="I185" s="19">
        <v>5.8</v>
      </c>
      <c r="J185" s="13" t="s">
        <v>19</v>
      </c>
      <c r="K185" s="14">
        <v>192117.84633003926</v>
      </c>
      <c r="L185" s="14">
        <v>19666117377.703342</v>
      </c>
      <c r="M185" s="14">
        <v>242743495.02511716</v>
      </c>
      <c r="N185" s="14">
        <v>358521.07744988019</v>
      </c>
    </row>
    <row r="186" spans="1:14" ht="16" x14ac:dyDescent="0.4">
      <c r="A186" s="15" t="s">
        <v>268</v>
      </c>
      <c r="B186" s="17" t="s">
        <v>267</v>
      </c>
      <c r="C186" s="11" t="s">
        <v>18</v>
      </c>
      <c r="D186">
        <v>1</v>
      </c>
      <c r="E186" s="42">
        <v>0</v>
      </c>
      <c r="F186">
        <v>1</v>
      </c>
      <c r="G186">
        <v>1</v>
      </c>
      <c r="H186" s="42">
        <v>0</v>
      </c>
      <c r="I186" s="19">
        <v>5.8</v>
      </c>
      <c r="J186" s="13" t="s">
        <v>19</v>
      </c>
      <c r="K186" s="14">
        <v>192117.84633003926</v>
      </c>
      <c r="L186" s="14">
        <v>20704592222.730583</v>
      </c>
      <c r="M186" s="14">
        <v>207262271.15335315</v>
      </c>
      <c r="N186" s="14">
        <v>339976.88378867944</v>
      </c>
    </row>
    <row r="187" spans="1:14" ht="16" x14ac:dyDescent="0.4">
      <c r="A187" s="15" t="s">
        <v>269</v>
      </c>
      <c r="B187" s="17" t="s">
        <v>267</v>
      </c>
      <c r="C187" s="11" t="s">
        <v>18</v>
      </c>
      <c r="D187">
        <v>1</v>
      </c>
      <c r="E187" s="42">
        <v>0</v>
      </c>
      <c r="F187">
        <v>1</v>
      </c>
      <c r="G187">
        <v>1</v>
      </c>
      <c r="H187" s="42">
        <v>0</v>
      </c>
      <c r="I187" s="19">
        <v>5.8</v>
      </c>
      <c r="J187" s="13" t="s">
        <v>19</v>
      </c>
      <c r="K187" s="14">
        <v>206829.5733012585</v>
      </c>
      <c r="L187" s="14">
        <v>18887261243.932915</v>
      </c>
      <c r="M187" s="14">
        <v>204233386.18869036</v>
      </c>
      <c r="N187" s="14">
        <v>333795.48590161261</v>
      </c>
    </row>
    <row r="188" spans="1:14" ht="16" x14ac:dyDescent="0.4">
      <c r="A188" s="15" t="s">
        <v>270</v>
      </c>
      <c r="B188" s="17" t="s">
        <v>271</v>
      </c>
      <c r="C188" s="11" t="s">
        <v>17</v>
      </c>
      <c r="D188">
        <v>1</v>
      </c>
      <c r="E188" s="42">
        <v>0</v>
      </c>
      <c r="F188">
        <v>1</v>
      </c>
      <c r="G188" s="42">
        <v>0</v>
      </c>
      <c r="H188" s="42">
        <v>0</v>
      </c>
      <c r="I188" s="19">
        <v>4.8</v>
      </c>
      <c r="J188" s="13" t="s">
        <v>20</v>
      </c>
      <c r="K188" s="14">
        <v>157400.02055816096</v>
      </c>
      <c r="L188" s="14">
        <v>9012420531.9592152</v>
      </c>
      <c r="M188" s="14">
        <v>10764130.438171007</v>
      </c>
      <c r="N188" s="14">
        <v>252057.6366081149</v>
      </c>
    </row>
    <row r="189" spans="1:14" ht="16" x14ac:dyDescent="0.4">
      <c r="A189" s="15" t="s">
        <v>272</v>
      </c>
      <c r="B189" s="17" t="s">
        <v>271</v>
      </c>
      <c r="C189" s="11" t="s">
        <v>17</v>
      </c>
      <c r="D189">
        <v>1</v>
      </c>
      <c r="E189" s="42">
        <v>0</v>
      </c>
      <c r="F189">
        <v>1</v>
      </c>
      <c r="G189" s="42">
        <v>0</v>
      </c>
      <c r="H189" s="42">
        <v>0</v>
      </c>
      <c r="I189" s="19">
        <v>4.8</v>
      </c>
      <c r="J189" s="13" t="s">
        <v>20</v>
      </c>
      <c r="K189" s="14">
        <v>154861.31054915834</v>
      </c>
      <c r="L189" s="14">
        <v>9342452833.1295528</v>
      </c>
      <c r="M189" s="14">
        <v>9774033.5346599929</v>
      </c>
      <c r="N189" s="14">
        <v>253871.00090025962</v>
      </c>
    </row>
    <row r="190" spans="1:14" ht="16" x14ac:dyDescent="0.4">
      <c r="A190" s="15" t="s">
        <v>273</v>
      </c>
      <c r="B190" s="17" t="s">
        <v>271</v>
      </c>
      <c r="C190" s="11" t="s">
        <v>17</v>
      </c>
      <c r="D190">
        <v>1</v>
      </c>
      <c r="E190" s="42">
        <v>0</v>
      </c>
      <c r="F190">
        <v>1</v>
      </c>
      <c r="G190" s="42">
        <v>0</v>
      </c>
      <c r="H190" s="42">
        <v>0</v>
      </c>
      <c r="I190" s="19">
        <v>4.8</v>
      </c>
      <c r="J190" s="13" t="s">
        <v>20</v>
      </c>
      <c r="K190" s="14">
        <v>148514.53552665186</v>
      </c>
      <c r="L190" s="14">
        <v>9278985082.9044876</v>
      </c>
      <c r="M190" s="14">
        <v>9469388.3335796837</v>
      </c>
      <c r="N190" s="14">
        <v>261124.45806883843</v>
      </c>
    </row>
    <row r="191" spans="1:14" ht="16" x14ac:dyDescent="0.4">
      <c r="A191" s="15" t="s">
        <v>274</v>
      </c>
      <c r="B191" s="17" t="s">
        <v>275</v>
      </c>
      <c r="C191" s="11" t="s">
        <v>18</v>
      </c>
      <c r="D191">
        <v>1</v>
      </c>
      <c r="E191" s="42">
        <v>0</v>
      </c>
      <c r="F191">
        <v>1</v>
      </c>
      <c r="G191">
        <v>1</v>
      </c>
      <c r="H191" s="42">
        <v>0</v>
      </c>
      <c r="I191" s="19">
        <v>4.8</v>
      </c>
      <c r="J191" s="13" t="s">
        <v>20</v>
      </c>
      <c r="K191" s="14">
        <v>173405.62998889067</v>
      </c>
      <c r="L191" s="14">
        <v>12737431730.09306</v>
      </c>
      <c r="M191" s="14">
        <v>25191108.792931572</v>
      </c>
      <c r="N191" s="14">
        <v>387347.6410141454</v>
      </c>
    </row>
    <row r="192" spans="1:14" ht="16" x14ac:dyDescent="0.4">
      <c r="A192" s="15" t="s">
        <v>276</v>
      </c>
      <c r="B192" s="17" t="s">
        <v>275</v>
      </c>
      <c r="C192" s="11" t="s">
        <v>18</v>
      </c>
      <c r="D192">
        <v>1</v>
      </c>
      <c r="E192" s="42">
        <v>0</v>
      </c>
      <c r="F192">
        <v>1</v>
      </c>
      <c r="G192">
        <v>1</v>
      </c>
      <c r="H192" s="42">
        <v>0</v>
      </c>
      <c r="I192" s="19">
        <v>4.8</v>
      </c>
      <c r="J192" s="13" t="s">
        <v>20</v>
      </c>
      <c r="K192" s="14">
        <v>182864.11889737562</v>
      </c>
      <c r="L192" s="14">
        <v>12500969507.380936</v>
      </c>
      <c r="M192" s="14">
        <v>23236354.41851135</v>
      </c>
      <c r="N192" s="14">
        <v>387347.6410141454</v>
      </c>
    </row>
    <row r="193" spans="1:14" ht="16" x14ac:dyDescent="0.4">
      <c r="A193" s="15" t="s">
        <v>277</v>
      </c>
      <c r="B193" s="17" t="s">
        <v>275</v>
      </c>
      <c r="C193" s="11" t="s">
        <v>18</v>
      </c>
      <c r="D193">
        <v>1</v>
      </c>
      <c r="E193" s="42">
        <v>0</v>
      </c>
      <c r="F193">
        <v>1</v>
      </c>
      <c r="G193">
        <v>1</v>
      </c>
      <c r="H193" s="42">
        <v>0</v>
      </c>
      <c r="I193" s="19">
        <v>4.8</v>
      </c>
      <c r="J193" s="13" t="s">
        <v>20</v>
      </c>
      <c r="K193" s="14">
        <v>178134.87444313316</v>
      </c>
      <c r="L193" s="14">
        <v>12564026100.10417</v>
      </c>
      <c r="M193" s="14">
        <v>23173297.825788118</v>
      </c>
      <c r="N193" s="14">
        <v>373835.51400202408</v>
      </c>
    </row>
    <row r="194" spans="1:14" ht="16" x14ac:dyDescent="0.4">
      <c r="A194" s="15" t="s">
        <v>278</v>
      </c>
      <c r="B194" s="17" t="s">
        <v>279</v>
      </c>
      <c r="C194" s="11" t="s">
        <v>17</v>
      </c>
      <c r="D194">
        <v>1</v>
      </c>
      <c r="E194" s="42">
        <v>0</v>
      </c>
      <c r="F194">
        <v>1</v>
      </c>
      <c r="G194" s="42">
        <v>0</v>
      </c>
      <c r="H194" s="42">
        <v>0</v>
      </c>
      <c r="I194" s="19">
        <v>5.8</v>
      </c>
      <c r="J194" s="13" t="s">
        <v>20</v>
      </c>
      <c r="K194" s="14">
        <v>4918406.7626756523</v>
      </c>
      <c r="L194" s="14">
        <v>1059767203007.4611</v>
      </c>
      <c r="M194" s="14">
        <v>98911605.614029706</v>
      </c>
      <c r="N194" s="14">
        <v>2220464615.8251562</v>
      </c>
    </row>
    <row r="195" spans="1:14" ht="16" x14ac:dyDescent="0.4">
      <c r="A195" s="15" t="s">
        <v>280</v>
      </c>
      <c r="B195" s="17" t="s">
        <v>279</v>
      </c>
      <c r="C195" s="11" t="s">
        <v>17</v>
      </c>
      <c r="D195">
        <v>1</v>
      </c>
      <c r="E195" s="42">
        <v>0</v>
      </c>
      <c r="F195">
        <v>1</v>
      </c>
      <c r="G195" s="42">
        <v>0</v>
      </c>
      <c r="H195" s="42">
        <v>0</v>
      </c>
      <c r="I195" s="19">
        <v>5.8</v>
      </c>
      <c r="J195" s="13" t="s">
        <v>20</v>
      </c>
      <c r="K195" s="14">
        <v>3885813.077694024</v>
      </c>
      <c r="L195" s="14">
        <v>1567911990090.5256</v>
      </c>
      <c r="M195" s="14">
        <v>99455075.974546343</v>
      </c>
      <c r="N195" s="14">
        <v>2197173028.9458718</v>
      </c>
    </row>
    <row r="196" spans="1:14" ht="16" x14ac:dyDescent="0.4">
      <c r="A196" s="15" t="s">
        <v>281</v>
      </c>
      <c r="B196" s="17" t="s">
        <v>279</v>
      </c>
      <c r="C196" s="11" t="s">
        <v>17</v>
      </c>
      <c r="D196">
        <v>1</v>
      </c>
      <c r="E196" s="42">
        <v>0</v>
      </c>
      <c r="F196">
        <v>1</v>
      </c>
      <c r="G196" s="42">
        <v>0</v>
      </c>
      <c r="H196" s="42">
        <v>0</v>
      </c>
      <c r="I196" s="19">
        <v>5.8</v>
      </c>
      <c r="J196" s="13" t="s">
        <v>20</v>
      </c>
      <c r="K196" s="14">
        <v>7364023.3850005623</v>
      </c>
      <c r="L196" s="14">
        <v>1144005108887.5413</v>
      </c>
      <c r="M196" s="14">
        <v>93476902.008863226</v>
      </c>
      <c r="N196" s="14">
        <v>2235992340.411346</v>
      </c>
    </row>
    <row r="197" spans="1:14" ht="16" x14ac:dyDescent="0.4">
      <c r="A197" s="15" t="s">
        <v>282</v>
      </c>
      <c r="B197" s="17" t="s">
        <v>283</v>
      </c>
      <c r="C197" s="11" t="s">
        <v>18</v>
      </c>
      <c r="D197">
        <v>1</v>
      </c>
      <c r="E197" s="42">
        <v>0</v>
      </c>
      <c r="F197">
        <v>1</v>
      </c>
      <c r="G197">
        <v>1</v>
      </c>
      <c r="H197" s="42">
        <v>0</v>
      </c>
      <c r="I197" s="19">
        <v>5.8</v>
      </c>
      <c r="J197" s="13" t="s">
        <v>20</v>
      </c>
      <c r="K197" s="14">
        <v>3426416.8025976801</v>
      </c>
      <c r="L197" s="14">
        <v>556488970067.28284</v>
      </c>
      <c r="M197" s="14">
        <v>690143526.19697964</v>
      </c>
      <c r="N197" s="14">
        <v>2627961012.7319593</v>
      </c>
    </row>
    <row r="198" spans="1:14" ht="16" x14ac:dyDescent="0.4">
      <c r="A198" s="15" t="s">
        <v>284</v>
      </c>
      <c r="B198" s="17" t="s">
        <v>283</v>
      </c>
      <c r="C198" s="11" t="s">
        <v>18</v>
      </c>
      <c r="D198">
        <v>1</v>
      </c>
      <c r="E198" s="42">
        <v>0</v>
      </c>
      <c r="F198">
        <v>1</v>
      </c>
      <c r="G198">
        <v>1</v>
      </c>
      <c r="H198" s="42">
        <v>0</v>
      </c>
      <c r="I198" s="19">
        <v>5.8</v>
      </c>
      <c r="J198" s="13" t="s">
        <v>20</v>
      </c>
      <c r="K198" s="14">
        <v>4398449.938086384</v>
      </c>
      <c r="L198" s="14">
        <v>775196425552.24121</v>
      </c>
      <c r="M198" s="14">
        <v>656122366.45487499</v>
      </c>
      <c r="N198" s="14">
        <v>2680034216.4188542</v>
      </c>
    </row>
    <row r="199" spans="1:14" ht="16" x14ac:dyDescent="0.4">
      <c r="A199" s="15" t="s">
        <v>285</v>
      </c>
      <c r="B199" s="17" t="s">
        <v>283</v>
      </c>
      <c r="C199" s="11" t="s">
        <v>18</v>
      </c>
      <c r="D199">
        <v>1</v>
      </c>
      <c r="E199" s="42">
        <v>0</v>
      </c>
      <c r="F199">
        <v>1</v>
      </c>
      <c r="G199">
        <v>1</v>
      </c>
      <c r="H199" s="42">
        <v>0</v>
      </c>
      <c r="I199" s="19">
        <v>5.8</v>
      </c>
      <c r="J199" s="13" t="s">
        <v>20</v>
      </c>
      <c r="K199" s="14">
        <v>5005970.6477668239</v>
      </c>
      <c r="L199" s="14">
        <v>561349135744.72632</v>
      </c>
      <c r="M199" s="14">
        <v>651262200.77743149</v>
      </c>
      <c r="N199" s="14">
        <v>2548115433.7453876</v>
      </c>
    </row>
    <row r="200" spans="1:14" ht="16" x14ac:dyDescent="0.4">
      <c r="D200" s="45"/>
      <c r="E200" s="44"/>
      <c r="F200" s="27"/>
      <c r="G200" s="27"/>
      <c r="H200" s="27"/>
    </row>
    <row r="201" spans="1:14" ht="16" x14ac:dyDescent="0.4">
      <c r="D201" s="45"/>
      <c r="E201" s="44"/>
      <c r="F201" s="27"/>
      <c r="G201" s="27"/>
      <c r="H201" s="27"/>
    </row>
    <row r="202" spans="1:14" ht="16" x14ac:dyDescent="0.4">
      <c r="D202" s="45"/>
      <c r="E202" s="44"/>
      <c r="F202" s="27"/>
      <c r="G202" s="27"/>
      <c r="H202" s="27"/>
    </row>
    <row r="203" spans="1:14" ht="16" x14ac:dyDescent="0.4">
      <c r="D203" s="45"/>
      <c r="E203" s="44"/>
      <c r="F203" s="27"/>
      <c r="G203" s="27"/>
      <c r="H203" s="27"/>
    </row>
    <row r="204" spans="1:14" ht="16" x14ac:dyDescent="0.4">
      <c r="D204" s="45"/>
      <c r="E204" s="44"/>
      <c r="F204" s="27"/>
      <c r="G204" s="27"/>
      <c r="H204" s="27"/>
    </row>
    <row r="205" spans="1:14" ht="16" x14ac:dyDescent="0.4">
      <c r="D205" s="45"/>
      <c r="E205" s="44"/>
      <c r="F205" s="27"/>
      <c r="G205" s="27"/>
      <c r="H205" s="27"/>
    </row>
    <row r="206" spans="1:14" ht="16" x14ac:dyDescent="0.4">
      <c r="D206" s="44"/>
      <c r="E206" s="45"/>
      <c r="F206" s="28"/>
      <c r="G206" s="28"/>
      <c r="H206" s="28"/>
    </row>
    <row r="207" spans="1:14" ht="16" x14ac:dyDescent="0.4">
      <c r="D207" s="44"/>
      <c r="E207" s="45"/>
      <c r="F207" s="28"/>
      <c r="G207" s="28"/>
      <c r="H207" s="28"/>
    </row>
    <row r="208" spans="1:14" ht="16" x14ac:dyDescent="0.4">
      <c r="D208" s="44"/>
      <c r="E208" s="45"/>
      <c r="F208" s="28"/>
      <c r="G208" s="28"/>
      <c r="H208" s="28"/>
    </row>
    <row r="209" spans="4:8" ht="16" x14ac:dyDescent="0.4">
      <c r="D209" s="44"/>
      <c r="E209" s="45"/>
      <c r="F209" s="28"/>
      <c r="G209" s="28"/>
      <c r="H209" s="28"/>
    </row>
    <row r="210" spans="4:8" ht="16" x14ac:dyDescent="0.4">
      <c r="D210" s="44"/>
      <c r="E210" s="45"/>
      <c r="F210" s="28"/>
      <c r="G210" s="28"/>
      <c r="H210" s="28"/>
    </row>
    <row r="211" spans="4:8" ht="16" x14ac:dyDescent="0.4">
      <c r="D211" s="44"/>
      <c r="E211" s="45"/>
      <c r="F211" s="28"/>
      <c r="G211" s="28"/>
      <c r="H211" s="28"/>
    </row>
    <row r="212" spans="4:8" ht="16" x14ac:dyDescent="0.4">
      <c r="D212" s="45"/>
      <c r="E212" s="44"/>
      <c r="F212" s="27"/>
      <c r="G212" s="27"/>
      <c r="H212" s="27"/>
    </row>
    <row r="213" spans="4:8" ht="16" x14ac:dyDescent="0.4">
      <c r="D213" s="45"/>
      <c r="E213" s="44"/>
      <c r="F213" s="27"/>
      <c r="G213" s="27"/>
      <c r="H213" s="27"/>
    </row>
    <row r="214" spans="4:8" ht="16" x14ac:dyDescent="0.4">
      <c r="D214" s="45"/>
      <c r="E214" s="44"/>
      <c r="F214" s="27"/>
      <c r="G214" s="27"/>
      <c r="H214" s="27"/>
    </row>
    <row r="215" spans="4:8" ht="16" x14ac:dyDescent="0.4">
      <c r="D215" s="45"/>
      <c r="E215" s="44"/>
      <c r="F215" s="27"/>
      <c r="G215" s="27"/>
      <c r="H215" s="27"/>
    </row>
    <row r="216" spans="4:8" ht="16" x14ac:dyDescent="0.4">
      <c r="D216" s="45"/>
      <c r="E216" s="44"/>
      <c r="F216" s="27"/>
      <c r="G216" s="27"/>
      <c r="H216" s="27"/>
    </row>
    <row r="217" spans="4:8" ht="16" x14ac:dyDescent="0.4">
      <c r="D217" s="45"/>
      <c r="E217" s="44"/>
      <c r="F217" s="27"/>
      <c r="G217" s="27"/>
      <c r="H217" s="27"/>
    </row>
    <row r="218" spans="4:8" ht="16" x14ac:dyDescent="0.4">
      <c r="D218" s="44"/>
      <c r="E218" s="45"/>
      <c r="F218" s="28"/>
      <c r="G218" s="28"/>
      <c r="H218" s="28"/>
    </row>
    <row r="219" spans="4:8" ht="16" x14ac:dyDescent="0.4">
      <c r="D219" s="44"/>
      <c r="E219" s="45"/>
      <c r="F219" s="28"/>
      <c r="G219" s="28"/>
      <c r="H219" s="28"/>
    </row>
    <row r="220" spans="4:8" ht="16" x14ac:dyDescent="0.4">
      <c r="D220" s="44"/>
      <c r="E220" s="45"/>
      <c r="F220" s="28"/>
      <c r="G220" s="28"/>
      <c r="H220" s="28"/>
    </row>
    <row r="221" spans="4:8" ht="16" x14ac:dyDescent="0.4">
      <c r="D221" s="44"/>
      <c r="E221" s="45"/>
      <c r="F221" s="28"/>
      <c r="G221" s="28"/>
      <c r="H221" s="28"/>
    </row>
    <row r="222" spans="4:8" ht="16" x14ac:dyDescent="0.4">
      <c r="D222" s="44"/>
      <c r="E222" s="45"/>
      <c r="F222" s="28"/>
      <c r="G222" s="28"/>
      <c r="H222" s="28"/>
    </row>
    <row r="223" spans="4:8" ht="16" x14ac:dyDescent="0.4">
      <c r="D223" s="44"/>
      <c r="E223" s="45"/>
      <c r="F223" s="28"/>
      <c r="G223" s="28"/>
      <c r="H223" s="28"/>
    </row>
    <row r="224" spans="4:8" ht="16" x14ac:dyDescent="0.4">
      <c r="D224" s="45"/>
      <c r="E224" s="44"/>
      <c r="F224" s="27"/>
      <c r="G224" s="27"/>
      <c r="H224" s="27"/>
    </row>
    <row r="225" spans="4:8" ht="16" x14ac:dyDescent="0.4">
      <c r="D225" s="45"/>
      <c r="E225" s="44"/>
      <c r="F225" s="27"/>
      <c r="G225" s="27"/>
      <c r="H225" s="27"/>
    </row>
    <row r="226" spans="4:8" ht="16" x14ac:dyDescent="0.4">
      <c r="D226" s="45"/>
      <c r="E226" s="44"/>
      <c r="F226" s="27"/>
      <c r="G226" s="27"/>
      <c r="H226" s="27"/>
    </row>
    <row r="227" spans="4:8" ht="16" x14ac:dyDescent="0.4">
      <c r="D227" s="45"/>
      <c r="E227" s="44"/>
      <c r="F227" s="27"/>
      <c r="G227" s="27"/>
      <c r="H227" s="27"/>
    </row>
    <row r="228" spans="4:8" ht="16" x14ac:dyDescent="0.4">
      <c r="D228" s="45"/>
      <c r="E228" s="44"/>
      <c r="F228" s="27"/>
      <c r="G228" s="27"/>
      <c r="H228" s="27"/>
    </row>
    <row r="229" spans="4:8" ht="16" x14ac:dyDescent="0.4">
      <c r="D229" s="45"/>
      <c r="E229" s="44"/>
      <c r="F229" s="27"/>
      <c r="G229" s="27"/>
      <c r="H229" s="27"/>
    </row>
    <row r="230" spans="4:8" ht="16" x14ac:dyDescent="0.4">
      <c r="D230" s="44"/>
      <c r="E230" s="45"/>
      <c r="F230" s="28"/>
      <c r="G230" s="28"/>
      <c r="H230" s="28"/>
    </row>
    <row r="231" spans="4:8" ht="16" x14ac:dyDescent="0.4">
      <c r="D231" s="44"/>
      <c r="E231" s="45"/>
      <c r="F231" s="28"/>
      <c r="G231" s="28"/>
      <c r="H231" s="28"/>
    </row>
    <row r="232" spans="4:8" ht="16" x14ac:dyDescent="0.4">
      <c r="D232" s="44"/>
      <c r="E232" s="45"/>
      <c r="F232" s="28"/>
      <c r="G232" s="28"/>
      <c r="H232" s="28"/>
    </row>
    <row r="233" spans="4:8" ht="16" x14ac:dyDescent="0.4">
      <c r="D233" s="44"/>
      <c r="E233" s="45"/>
      <c r="F233" s="28"/>
      <c r="G233" s="28"/>
      <c r="H233" s="28"/>
    </row>
    <row r="234" spans="4:8" ht="16" x14ac:dyDescent="0.4">
      <c r="D234" s="44"/>
      <c r="E234" s="45"/>
      <c r="F234" s="28"/>
      <c r="G234" s="28"/>
      <c r="H234" s="28"/>
    </row>
    <row r="235" spans="4:8" ht="16" x14ac:dyDescent="0.4">
      <c r="D235" s="44"/>
      <c r="E235" s="45"/>
      <c r="F235" s="28"/>
      <c r="G235" s="28"/>
      <c r="H235" s="28"/>
    </row>
    <row r="236" spans="4:8" ht="16" x14ac:dyDescent="0.4">
      <c r="D236" s="45"/>
      <c r="E236" s="44"/>
      <c r="F236" s="27"/>
      <c r="G236" s="27"/>
      <c r="H236" s="27"/>
    </row>
    <row r="237" spans="4:8" ht="16" x14ac:dyDescent="0.4">
      <c r="D237" s="45"/>
      <c r="E237" s="44"/>
      <c r="F237" s="27"/>
      <c r="G237" s="27"/>
      <c r="H237" s="27"/>
    </row>
    <row r="238" spans="4:8" ht="16" x14ac:dyDescent="0.4">
      <c r="D238" s="45"/>
      <c r="E238" s="44"/>
      <c r="F238" s="27"/>
      <c r="G238" s="27"/>
      <c r="H238" s="27"/>
    </row>
    <row r="239" spans="4:8" ht="16" x14ac:dyDescent="0.4">
      <c r="D239" s="45"/>
      <c r="E239" s="44"/>
      <c r="F239" s="27"/>
      <c r="G239" s="27"/>
      <c r="H239" s="27"/>
    </row>
    <row r="240" spans="4:8" ht="16" x14ac:dyDescent="0.4">
      <c r="D240" s="45"/>
      <c r="E240" s="44"/>
      <c r="F240" s="27"/>
      <c r="G240" s="27"/>
      <c r="H240" s="27"/>
    </row>
    <row r="241" spans="4:8" ht="16" x14ac:dyDescent="0.4">
      <c r="D241" s="45"/>
      <c r="E241" s="44"/>
      <c r="F241" s="27"/>
      <c r="G241" s="27"/>
      <c r="H241" s="27"/>
    </row>
    <row r="242" spans="4:8" ht="16" x14ac:dyDescent="0.4">
      <c r="D242" s="44"/>
      <c r="E242" s="45"/>
      <c r="F242" s="28"/>
      <c r="G242" s="28"/>
      <c r="H242" s="28"/>
    </row>
    <row r="243" spans="4:8" ht="16" x14ac:dyDescent="0.4">
      <c r="D243" s="44"/>
      <c r="E243" s="45"/>
      <c r="F243" s="28"/>
      <c r="G243" s="28"/>
      <c r="H243" s="28"/>
    </row>
    <row r="244" spans="4:8" ht="16" x14ac:dyDescent="0.4">
      <c r="D244" s="44"/>
      <c r="E244" s="45"/>
      <c r="F244" s="28"/>
      <c r="G244" s="28"/>
      <c r="H244" s="28"/>
    </row>
    <row r="245" spans="4:8" ht="16" x14ac:dyDescent="0.4">
      <c r="D245" s="44"/>
      <c r="E245" s="45"/>
      <c r="F245" s="28"/>
      <c r="G245" s="28"/>
      <c r="H245" s="28"/>
    </row>
    <row r="246" spans="4:8" ht="16" x14ac:dyDescent="0.4">
      <c r="D246" s="44"/>
      <c r="E246" s="45"/>
      <c r="F246" s="28"/>
      <c r="G246" s="28"/>
      <c r="H246" s="28"/>
    </row>
    <row r="247" spans="4:8" ht="16" x14ac:dyDescent="0.4">
      <c r="D247" s="44"/>
      <c r="E247" s="45"/>
      <c r="F247" s="28"/>
      <c r="G247" s="28"/>
      <c r="H247" s="28"/>
    </row>
    <row r="248" spans="4:8" ht="16" x14ac:dyDescent="0.4">
      <c r="D248" s="44"/>
      <c r="E248" s="44"/>
      <c r="F248" s="27"/>
      <c r="G248" s="27"/>
      <c r="H248" s="27"/>
    </row>
    <row r="249" spans="4:8" ht="16" x14ac:dyDescent="0.4">
      <c r="D249" s="44"/>
      <c r="E249" s="44"/>
      <c r="F249" s="27"/>
      <c r="G249" s="27"/>
      <c r="H249" s="27"/>
    </row>
    <row r="250" spans="4:8" ht="16" x14ac:dyDescent="0.4">
      <c r="D250" s="44"/>
      <c r="E250" s="44"/>
      <c r="F250" s="27"/>
      <c r="G250" s="27"/>
      <c r="H250" s="27"/>
    </row>
    <row r="251" spans="4:8" ht="16" x14ac:dyDescent="0.4">
      <c r="D251" s="44"/>
      <c r="E251" s="44"/>
      <c r="F251" s="27"/>
      <c r="G251" s="27"/>
      <c r="H251" s="27"/>
    </row>
    <row r="252" spans="4:8" ht="16" x14ac:dyDescent="0.4">
      <c r="D252" s="44"/>
      <c r="E252" s="44"/>
      <c r="F252" s="27"/>
      <c r="G252" s="27"/>
      <c r="H252" s="27"/>
    </row>
    <row r="253" spans="4:8" ht="16" x14ac:dyDescent="0.4">
      <c r="D253" s="44"/>
      <c r="E253" s="44"/>
      <c r="F253" s="27"/>
      <c r="G253" s="27"/>
      <c r="H253" s="27"/>
    </row>
    <row r="254" spans="4:8" ht="16" x14ac:dyDescent="0.4">
      <c r="D254" s="44"/>
      <c r="E254" s="45"/>
      <c r="F254" s="28"/>
      <c r="G254" s="28"/>
      <c r="H254" s="28"/>
    </row>
    <row r="255" spans="4:8" ht="16" x14ac:dyDescent="0.4">
      <c r="D255" s="44"/>
      <c r="E255" s="45"/>
      <c r="F255" s="28"/>
      <c r="G255" s="28"/>
      <c r="H255" s="28"/>
    </row>
    <row r="256" spans="4:8" ht="16" x14ac:dyDescent="0.4">
      <c r="D256" s="44"/>
      <c r="E256" s="45"/>
      <c r="F256" s="28"/>
      <c r="G256" s="28"/>
      <c r="H256" s="28"/>
    </row>
    <row r="257" spans="4:8" ht="16" x14ac:dyDescent="0.4">
      <c r="D257" s="44"/>
      <c r="E257" s="45"/>
      <c r="F257" s="28"/>
      <c r="G257" s="28"/>
      <c r="H257" s="28"/>
    </row>
    <row r="258" spans="4:8" ht="16" x14ac:dyDescent="0.4">
      <c r="D258" s="44"/>
      <c r="E258" s="45"/>
      <c r="F258" s="28"/>
      <c r="G258" s="28"/>
      <c r="H258" s="28"/>
    </row>
    <row r="259" spans="4:8" ht="16" x14ac:dyDescent="0.4">
      <c r="D259" s="44"/>
      <c r="E259" s="45"/>
      <c r="F259" s="28"/>
      <c r="G259" s="28"/>
      <c r="H259" s="28"/>
    </row>
    <row r="260" spans="4:8" ht="16" x14ac:dyDescent="0.4">
      <c r="D260" s="44"/>
      <c r="E260" s="44"/>
      <c r="F260" s="27"/>
      <c r="G260" s="27"/>
      <c r="H260" s="27"/>
    </row>
    <row r="261" spans="4:8" ht="16" x14ac:dyDescent="0.4">
      <c r="D261" s="44"/>
      <c r="E261" s="44"/>
      <c r="F261" s="27"/>
      <c r="G261" s="27"/>
      <c r="H261" s="27"/>
    </row>
    <row r="262" spans="4:8" ht="16" x14ac:dyDescent="0.4">
      <c r="D262" s="44"/>
      <c r="E262" s="44"/>
      <c r="F262" s="27"/>
      <c r="G262" s="27"/>
      <c r="H262" s="27"/>
    </row>
    <row r="263" spans="4:8" ht="16" x14ac:dyDescent="0.4">
      <c r="D263" s="44"/>
      <c r="E263" s="44"/>
      <c r="F263" s="27"/>
      <c r="G263" s="27"/>
      <c r="H263" s="27"/>
    </row>
    <row r="264" spans="4:8" ht="16" x14ac:dyDescent="0.4">
      <c r="D264" s="44"/>
      <c r="E264" s="44"/>
      <c r="F264" s="27"/>
      <c r="G264" s="27"/>
      <c r="H264" s="27"/>
    </row>
    <row r="265" spans="4:8" ht="16" x14ac:dyDescent="0.4">
      <c r="D265" s="44"/>
      <c r="E265" s="44"/>
      <c r="F265" s="27"/>
      <c r="G265" s="27"/>
      <c r="H265" s="27"/>
    </row>
    <row r="266" spans="4:8" ht="16" x14ac:dyDescent="0.4">
      <c r="D266" s="44"/>
      <c r="E266" s="44"/>
      <c r="F266" s="27"/>
      <c r="G266" s="27"/>
      <c r="H266" s="27"/>
    </row>
    <row r="267" spans="4:8" ht="16" x14ac:dyDescent="0.4">
      <c r="D267" s="44"/>
      <c r="E267" s="44"/>
      <c r="F267" s="27"/>
      <c r="G267" s="27"/>
      <c r="H267" s="27"/>
    </row>
    <row r="268" spans="4:8" ht="16" x14ac:dyDescent="0.4">
      <c r="D268" s="44"/>
      <c r="E268" s="44"/>
      <c r="F268" s="27"/>
      <c r="G268" s="27"/>
      <c r="H268" s="27"/>
    </row>
    <row r="269" spans="4:8" ht="16" x14ac:dyDescent="0.4">
      <c r="D269" s="44"/>
      <c r="E269" s="44"/>
      <c r="F269" s="27"/>
      <c r="G269" s="27"/>
      <c r="H269" s="27"/>
    </row>
    <row r="270" spans="4:8" ht="16" x14ac:dyDescent="0.4">
      <c r="D270" s="44"/>
      <c r="E270" s="44"/>
      <c r="F270" s="27"/>
      <c r="G270" s="27"/>
      <c r="H270" s="27"/>
    </row>
    <row r="271" spans="4:8" ht="16" x14ac:dyDescent="0.4">
      <c r="D271" s="44"/>
      <c r="E271" s="44"/>
      <c r="F271" s="27"/>
      <c r="G271" s="27"/>
      <c r="H271" s="27"/>
    </row>
    <row r="272" spans="4:8" ht="16" x14ac:dyDescent="0.4">
      <c r="E272" s="44"/>
      <c r="F272" s="27"/>
      <c r="G272" s="27"/>
      <c r="H272" s="27"/>
    </row>
    <row r="273" spans="5:8" ht="16" x14ac:dyDescent="0.4">
      <c r="E273" s="44"/>
      <c r="F273" s="27"/>
      <c r="G273" s="27"/>
      <c r="H273" s="27"/>
    </row>
    <row r="274" spans="5:8" ht="16" x14ac:dyDescent="0.4">
      <c r="E274" s="44"/>
      <c r="F274" s="27"/>
      <c r="G274" s="27"/>
      <c r="H274" s="27"/>
    </row>
    <row r="275" spans="5:8" ht="16" x14ac:dyDescent="0.4">
      <c r="E275" s="44"/>
      <c r="F275" s="27"/>
      <c r="G275" s="27"/>
      <c r="H275" s="27"/>
    </row>
    <row r="276" spans="5:8" ht="16" x14ac:dyDescent="0.4">
      <c r="E276" s="44"/>
      <c r="F276" s="27"/>
      <c r="G276" s="27"/>
      <c r="H276" s="27"/>
    </row>
    <row r="277" spans="5:8" ht="16" x14ac:dyDescent="0.4">
      <c r="E277" s="44"/>
      <c r="F277" s="27"/>
      <c r="G277" s="27"/>
      <c r="H277" s="27"/>
    </row>
    <row r="278" spans="5:8" ht="16" x14ac:dyDescent="0.4">
      <c r="E278" s="44"/>
      <c r="F278" s="27"/>
      <c r="G278" s="27"/>
      <c r="H278" s="27"/>
    </row>
    <row r="279" spans="5:8" ht="16" x14ac:dyDescent="0.4">
      <c r="E279" s="44"/>
      <c r="F279" s="27"/>
      <c r="G279" s="27"/>
      <c r="H279" s="27"/>
    </row>
    <row r="280" spans="5:8" ht="16" x14ac:dyDescent="0.4">
      <c r="E280" s="44"/>
      <c r="F280" s="27"/>
      <c r="G280" s="27"/>
      <c r="H280" s="27"/>
    </row>
    <row r="281" spans="5:8" ht="16" x14ac:dyDescent="0.4">
      <c r="E281" s="44"/>
      <c r="F281" s="27"/>
      <c r="G281" s="27"/>
      <c r="H281" s="27"/>
    </row>
    <row r="282" spans="5:8" ht="16" x14ac:dyDescent="0.4">
      <c r="E282" s="44"/>
      <c r="F282" s="27"/>
      <c r="G282" s="27"/>
      <c r="H282" s="27"/>
    </row>
    <row r="283" spans="5:8" ht="16" x14ac:dyDescent="0.4">
      <c r="E283" s="44"/>
      <c r="F283" s="27"/>
      <c r="G283" s="27"/>
      <c r="H283" s="27"/>
    </row>
    <row r="284" spans="5:8" ht="16" x14ac:dyDescent="0.4">
      <c r="E284" s="44"/>
      <c r="F284" s="27"/>
      <c r="G284" s="27"/>
      <c r="H284" s="27"/>
    </row>
    <row r="285" spans="5:8" ht="16" x14ac:dyDescent="0.4">
      <c r="E285" s="44"/>
      <c r="F285" s="27"/>
      <c r="G285" s="27"/>
      <c r="H285" s="27"/>
    </row>
    <row r="286" spans="5:8" ht="16" x14ac:dyDescent="0.4">
      <c r="E286" s="44"/>
      <c r="F286" s="27"/>
      <c r="G286" s="27"/>
      <c r="H286" s="27"/>
    </row>
    <row r="287" spans="5:8" ht="16" x14ac:dyDescent="0.4">
      <c r="E287" s="44"/>
      <c r="F287" s="27"/>
      <c r="G287" s="27"/>
      <c r="H287" s="27"/>
    </row>
    <row r="288" spans="5:8" ht="16" x14ac:dyDescent="0.4">
      <c r="E288" s="44"/>
      <c r="F288" s="27"/>
      <c r="G288" s="27"/>
      <c r="H288" s="27"/>
    </row>
    <row r="289" spans="5:8" ht="16" x14ac:dyDescent="0.4">
      <c r="E289" s="44"/>
      <c r="F289" s="27"/>
      <c r="G289" s="27"/>
      <c r="H289" s="27"/>
    </row>
  </sheetData>
  <conditionalFormatting sqref="A2:D199">
    <cfRule type="expression" dxfId="12" priority="17" stopIfTrue="1">
      <formula>MOD(ROW(),2)=1</formula>
    </cfRule>
    <cfRule type="expression" dxfId="11" priority="18" stopIfTrue="1">
      <formula>MOD(ROW(),2)=0</formula>
    </cfRule>
  </conditionalFormatting>
  <conditionalFormatting sqref="E2:I163">
    <cfRule type="expression" dxfId="10" priority="20" stopIfTrue="1">
      <formula>MOD(ROW(),2)=1</formula>
    </cfRule>
    <cfRule type="expression" dxfId="9" priority="21" stopIfTrue="1">
      <formula>MOD(ROW(),2)=0</formula>
    </cfRule>
  </conditionalFormatting>
  <conditionalFormatting sqref="E164:I199">
    <cfRule type="expression" dxfId="8" priority="1" stopIfTrue="1">
      <formula>MOD(ROW(),2)=1</formula>
    </cfRule>
    <cfRule type="expression" dxfId="7" priority="2" stopIfTrue="1">
      <formula>MOD(ROW(),2)=0</formula>
    </cfRule>
  </conditionalFormatting>
  <conditionalFormatting sqref="I158:I163">
    <cfRule type="expression" dxfId="6" priority="19" stopIfTrue="1">
      <formula>MOD(ROW(),2)=0</formula>
    </cfRule>
  </conditionalFormatting>
  <conditionalFormatting sqref="J2:J199">
    <cfRule type="expression" dxfId="5" priority="36" stopIfTrue="1">
      <formula>MOD(ROW(),2)=1</formula>
    </cfRule>
    <cfRule type="expression" dxfId="4" priority="37" stopIfTrue="1">
      <formula>MOD(ROW(),2)=0</formula>
    </cfRule>
  </conditionalFormatting>
  <conditionalFormatting sqref="J86:J163">
    <cfRule type="expression" dxfId="3" priority="35" stopIfTrue="1">
      <formula>MOD(ROW(),2)=0</formula>
    </cfRule>
  </conditionalFormatting>
  <conditionalFormatting sqref="J176:J199">
    <cfRule type="expression" dxfId="2" priority="34" stopIfTrue="1">
      <formula>MOD(ROW(),2)=0</formula>
    </cfRule>
  </conditionalFormatting>
  <conditionalFormatting sqref="K2:N199">
    <cfRule type="expression" dxfId="1" priority="27" stopIfTrue="1">
      <formula>MOD(ROW(),2)=1</formula>
    </cfRule>
    <cfRule type="expression" dxfId="0" priority="28" stopIfTrue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6C16-B5DD-4399-B2B2-6ECDE287A0A1}">
  <dimension ref="A1:E61"/>
  <sheetViews>
    <sheetView zoomScale="63" zoomScaleNormal="115" workbookViewId="0">
      <selection activeCell="O13" sqref="O13"/>
    </sheetView>
  </sheetViews>
  <sheetFormatPr defaultRowHeight="14.5" x14ac:dyDescent="0.35"/>
  <cols>
    <col min="1" max="1" width="15.81640625" bestFit="1" customWidth="1"/>
    <col min="2" max="2" width="8" bestFit="1" customWidth="1"/>
    <col min="3" max="3" width="25.81640625" bestFit="1" customWidth="1"/>
    <col min="4" max="4" width="5.81640625" bestFit="1" customWidth="1"/>
    <col min="5" max="5" width="12.6328125" bestFit="1" customWidth="1"/>
  </cols>
  <sheetData>
    <row r="1" spans="1:5" x14ac:dyDescent="0.35">
      <c r="A1" s="40" t="s">
        <v>290</v>
      </c>
      <c r="B1" s="40" t="s">
        <v>7</v>
      </c>
      <c r="C1" s="40" t="s">
        <v>291</v>
      </c>
      <c r="D1" s="40" t="s">
        <v>1</v>
      </c>
      <c r="E1" s="40" t="s">
        <v>288</v>
      </c>
    </row>
    <row r="2" spans="1:5" x14ac:dyDescent="0.35">
      <c r="A2">
        <v>262244.48949951562</v>
      </c>
      <c r="B2">
        <v>4.8</v>
      </c>
      <c r="C2" t="s">
        <v>11</v>
      </c>
      <c r="D2" t="s">
        <v>10</v>
      </c>
      <c r="E2">
        <v>-2.1766668806473415E-2</v>
      </c>
    </row>
    <row r="3" spans="1:5" x14ac:dyDescent="0.35">
      <c r="A3">
        <v>140187.28362805012</v>
      </c>
      <c r="B3">
        <v>4.8</v>
      </c>
      <c r="C3" t="s">
        <v>5</v>
      </c>
      <c r="D3" t="s">
        <v>10</v>
      </c>
      <c r="E3">
        <v>7.4433336655298873E-2</v>
      </c>
    </row>
    <row r="4" spans="1:5" x14ac:dyDescent="0.35">
      <c r="A4">
        <v>446634.46782155102</v>
      </c>
      <c r="B4">
        <v>4.8</v>
      </c>
      <c r="C4" t="s">
        <v>3</v>
      </c>
      <c r="D4" t="s">
        <v>10</v>
      </c>
      <c r="E4">
        <v>0.14173333346843719</v>
      </c>
    </row>
    <row r="5" spans="1:5" x14ac:dyDescent="0.35">
      <c r="A5">
        <v>279899.09500134579</v>
      </c>
      <c r="B5">
        <v>4.8</v>
      </c>
      <c r="C5" t="s">
        <v>12</v>
      </c>
      <c r="D5" t="s">
        <v>10</v>
      </c>
      <c r="E5">
        <v>0.14699999491373697</v>
      </c>
    </row>
    <row r="6" spans="1:5" x14ac:dyDescent="0.35">
      <c r="A6">
        <v>6182938100.6696424</v>
      </c>
      <c r="B6">
        <v>5.8</v>
      </c>
      <c r="C6" t="s">
        <v>11</v>
      </c>
      <c r="D6" t="s">
        <v>10</v>
      </c>
      <c r="E6">
        <v>5.8700000246365867E-2</v>
      </c>
    </row>
    <row r="7" spans="1:5" x14ac:dyDescent="0.35">
      <c r="A7">
        <v>780187861.6873883</v>
      </c>
      <c r="B7">
        <v>5.8</v>
      </c>
      <c r="C7" t="s">
        <v>5</v>
      </c>
      <c r="D7" t="s">
        <v>10</v>
      </c>
      <c r="E7">
        <v>0.68723334868748986</v>
      </c>
    </row>
    <row r="8" spans="1:5" x14ac:dyDescent="0.35">
      <c r="A8">
        <v>20224020.263917919</v>
      </c>
      <c r="B8">
        <v>5.8</v>
      </c>
      <c r="C8" t="s">
        <v>3</v>
      </c>
      <c r="D8" t="s">
        <v>10</v>
      </c>
      <c r="E8">
        <v>1.0250666687885921</v>
      </c>
    </row>
    <row r="9" spans="1:5" x14ac:dyDescent="0.35">
      <c r="A9">
        <v>41572335.486879945</v>
      </c>
      <c r="B9">
        <v>5.8</v>
      </c>
      <c r="C9" t="s">
        <v>12</v>
      </c>
      <c r="D9" t="s">
        <v>10</v>
      </c>
      <c r="E9">
        <v>0.86819998919963837</v>
      </c>
    </row>
    <row r="10" spans="1:5" x14ac:dyDescent="0.35">
      <c r="A10">
        <v>918293577.35472775</v>
      </c>
      <c r="B10">
        <v>4.8</v>
      </c>
      <c r="C10" t="s">
        <v>11</v>
      </c>
      <c r="D10" t="s">
        <v>19</v>
      </c>
      <c r="E10">
        <v>4.1699998080730438E-2</v>
      </c>
    </row>
    <row r="11" spans="1:5" x14ac:dyDescent="0.35">
      <c r="A11">
        <v>830.11939438040383</v>
      </c>
      <c r="B11">
        <v>4.8</v>
      </c>
      <c r="C11" t="s">
        <v>5</v>
      </c>
      <c r="D11" t="s">
        <v>19</v>
      </c>
      <c r="E11">
        <v>4.4433330496152244E-2</v>
      </c>
    </row>
    <row r="12" spans="1:5" x14ac:dyDescent="0.35">
      <c r="A12">
        <v>1311.3311465273043</v>
      </c>
      <c r="B12">
        <v>4.8</v>
      </c>
      <c r="C12" t="s">
        <v>3</v>
      </c>
      <c r="D12" t="s">
        <v>19</v>
      </c>
      <c r="E12">
        <v>4.5466666420300804E-2</v>
      </c>
    </row>
    <row r="13" spans="1:5" x14ac:dyDescent="0.35">
      <c r="A13">
        <v>1286.9104380306435</v>
      </c>
      <c r="B13">
        <v>4.8</v>
      </c>
      <c r="C13" t="s">
        <v>12</v>
      </c>
      <c r="D13" t="s">
        <v>19</v>
      </c>
      <c r="E13">
        <v>4.5999998847643532E-2</v>
      </c>
    </row>
    <row r="14" spans="1:5" x14ac:dyDescent="0.35">
      <c r="A14">
        <v>1106374339.0406315</v>
      </c>
      <c r="B14">
        <v>5.8</v>
      </c>
      <c r="C14" t="s">
        <v>11</v>
      </c>
      <c r="D14" t="s">
        <v>19</v>
      </c>
      <c r="E14">
        <v>8.6866666873296097E-2</v>
      </c>
    </row>
    <row r="15" spans="1:5" x14ac:dyDescent="0.35">
      <c r="A15">
        <v>4805393.6072264398</v>
      </c>
      <c r="B15">
        <v>5.8</v>
      </c>
      <c r="C15" t="s">
        <v>5</v>
      </c>
      <c r="D15" t="s">
        <v>19</v>
      </c>
      <c r="E15">
        <v>0.46860000491142273</v>
      </c>
    </row>
    <row r="16" spans="1:5" x14ac:dyDescent="0.35">
      <c r="A16">
        <v>8762830.8622878436</v>
      </c>
      <c r="B16">
        <v>5.8</v>
      </c>
      <c r="C16" t="s">
        <v>3</v>
      </c>
      <c r="D16" t="s">
        <v>19</v>
      </c>
      <c r="E16">
        <v>0.84070000549157464</v>
      </c>
    </row>
    <row r="17" spans="1:5" x14ac:dyDescent="0.35">
      <c r="A17">
        <v>7498130.1730090268</v>
      </c>
      <c r="B17">
        <v>5.8</v>
      </c>
      <c r="C17" t="s">
        <v>12</v>
      </c>
      <c r="D17" t="s">
        <v>19</v>
      </c>
      <c r="E17">
        <v>0.75476666788260138</v>
      </c>
    </row>
    <row r="18" spans="1:5" x14ac:dyDescent="0.35">
      <c r="A18">
        <v>42951769.828209162</v>
      </c>
      <c r="B18">
        <v>4.8</v>
      </c>
      <c r="C18" t="s">
        <v>11</v>
      </c>
      <c r="D18" t="s">
        <v>20</v>
      </c>
      <c r="E18">
        <v>6.0066665212313332E-2</v>
      </c>
    </row>
    <row r="19" spans="1:5" x14ac:dyDescent="0.35">
      <c r="A19">
        <v>2638006.4839336346</v>
      </c>
      <c r="B19">
        <v>4.8</v>
      </c>
      <c r="C19" t="s">
        <v>5</v>
      </c>
      <c r="D19" t="s">
        <v>20</v>
      </c>
      <c r="E19">
        <v>6.1366662383079529E-2</v>
      </c>
    </row>
    <row r="20" spans="1:5" x14ac:dyDescent="0.35">
      <c r="A20">
        <v>163990.68271046024</v>
      </c>
      <c r="B20">
        <v>4.8</v>
      </c>
      <c r="C20" t="s">
        <v>3</v>
      </c>
      <c r="D20" t="s">
        <v>20</v>
      </c>
      <c r="E20">
        <v>7.6666663090387985E-2</v>
      </c>
    </row>
    <row r="21" spans="1:5" x14ac:dyDescent="0.35">
      <c r="A21">
        <v>179428.923322157</v>
      </c>
      <c r="B21">
        <v>4.8</v>
      </c>
      <c r="C21" t="s">
        <v>12</v>
      </c>
      <c r="D21" t="s">
        <v>20</v>
      </c>
      <c r="E21">
        <v>6.4099997282028198E-2</v>
      </c>
    </row>
    <row r="22" spans="1:5" x14ac:dyDescent="0.35">
      <c r="A22">
        <v>7155394162.4315882</v>
      </c>
      <c r="B22">
        <v>5.8</v>
      </c>
      <c r="C22" t="s">
        <v>11</v>
      </c>
      <c r="D22" t="s">
        <v>20</v>
      </c>
      <c r="E22">
        <v>7.0299997925758362E-2</v>
      </c>
    </row>
    <row r="23" spans="1:5" x14ac:dyDescent="0.35">
      <c r="A23">
        <v>1632874999.4242699</v>
      </c>
      <c r="B23">
        <v>5.8</v>
      </c>
      <c r="C23" t="s">
        <v>5</v>
      </c>
      <c r="D23" t="s">
        <v>20</v>
      </c>
      <c r="E23">
        <v>0.40596666932106018</v>
      </c>
    </row>
    <row r="24" spans="1:5" x14ac:dyDescent="0.35">
      <c r="A24">
        <v>148613518.71641997</v>
      </c>
      <c r="B24">
        <v>5.8</v>
      </c>
      <c r="C24" t="s">
        <v>3</v>
      </c>
      <c r="D24" t="s">
        <v>20</v>
      </c>
      <c r="E24">
        <v>1.0166333268086116</v>
      </c>
    </row>
    <row r="25" spans="1:5" x14ac:dyDescent="0.35">
      <c r="A25">
        <v>127028414.8955342</v>
      </c>
      <c r="B25">
        <v>5.8</v>
      </c>
      <c r="C25" t="s">
        <v>12</v>
      </c>
      <c r="D25" t="s">
        <v>20</v>
      </c>
      <c r="E25">
        <v>0.95086668431758881</v>
      </c>
    </row>
    <row r="26" spans="1:5" x14ac:dyDescent="0.35">
      <c r="A26">
        <v>1870298.6590521187</v>
      </c>
      <c r="B26">
        <v>4.8</v>
      </c>
      <c r="C26" t="s">
        <v>13</v>
      </c>
      <c r="D26" t="s">
        <v>10</v>
      </c>
      <c r="E26">
        <v>0.16433333605527878</v>
      </c>
    </row>
    <row r="27" spans="1:5" x14ac:dyDescent="0.35">
      <c r="A27">
        <v>386430.71367275965</v>
      </c>
      <c r="B27">
        <v>4.8</v>
      </c>
      <c r="C27" t="s">
        <v>14</v>
      </c>
      <c r="D27" t="s">
        <v>10</v>
      </c>
      <c r="E27">
        <v>0.14496666441361108</v>
      </c>
    </row>
    <row r="28" spans="1:5" x14ac:dyDescent="0.35">
      <c r="A28">
        <v>176071.05205277944</v>
      </c>
      <c r="B28">
        <v>4.8</v>
      </c>
      <c r="C28" t="s">
        <v>15</v>
      </c>
      <c r="D28" t="s">
        <v>10</v>
      </c>
      <c r="E28">
        <v>0.14363333334525427</v>
      </c>
    </row>
    <row r="29" spans="1:5" x14ac:dyDescent="0.35">
      <c r="A29">
        <v>898703.22823903617</v>
      </c>
      <c r="B29">
        <v>4.8</v>
      </c>
      <c r="C29" t="s">
        <v>16</v>
      </c>
      <c r="D29" t="s">
        <v>10</v>
      </c>
      <c r="E29">
        <v>0.2268999939163526</v>
      </c>
    </row>
    <row r="30" spans="1:5" x14ac:dyDescent="0.35">
      <c r="A30">
        <v>9535855.772400992</v>
      </c>
      <c r="B30">
        <v>5.8</v>
      </c>
      <c r="C30" t="s">
        <v>13</v>
      </c>
      <c r="D30" t="s">
        <v>10</v>
      </c>
      <c r="E30">
        <v>1.162966641287009</v>
      </c>
    </row>
    <row r="31" spans="1:5" x14ac:dyDescent="0.35">
      <c r="A31">
        <v>48384705.966353573</v>
      </c>
      <c r="B31">
        <v>5.8</v>
      </c>
      <c r="C31" t="s">
        <v>14</v>
      </c>
      <c r="D31" t="s">
        <v>10</v>
      </c>
      <c r="E31">
        <v>1.2566333537300427</v>
      </c>
    </row>
    <row r="32" spans="1:5" x14ac:dyDescent="0.35">
      <c r="A32">
        <v>96577893.320971772</v>
      </c>
      <c r="B32">
        <v>5.8</v>
      </c>
      <c r="C32" t="s">
        <v>15</v>
      </c>
      <c r="D32" t="s">
        <v>10</v>
      </c>
      <c r="E32">
        <v>1.2232999925812085</v>
      </c>
    </row>
    <row r="33" spans="1:5" x14ac:dyDescent="0.35">
      <c r="A33">
        <v>61479503.799966492</v>
      </c>
      <c r="B33">
        <v>5.8</v>
      </c>
      <c r="C33" t="s">
        <v>16</v>
      </c>
      <c r="D33" t="s">
        <v>10</v>
      </c>
      <c r="E33">
        <v>1.266099991897742</v>
      </c>
    </row>
    <row r="34" spans="1:5" x14ac:dyDescent="0.35">
      <c r="A34">
        <v>195322.65410847063</v>
      </c>
      <c r="B34">
        <v>4.8</v>
      </c>
      <c r="C34" t="s">
        <v>13</v>
      </c>
      <c r="D34" t="s">
        <v>19</v>
      </c>
      <c r="E34">
        <v>8.8066669801870986E-2</v>
      </c>
    </row>
    <row r="35" spans="1:5" x14ac:dyDescent="0.35">
      <c r="A35">
        <v>-8030.8792222962138</v>
      </c>
      <c r="B35">
        <v>4.8</v>
      </c>
      <c r="C35" t="s">
        <v>14</v>
      </c>
      <c r="D35" t="s">
        <v>19</v>
      </c>
      <c r="E35">
        <v>4.94999960064888E-2</v>
      </c>
    </row>
    <row r="36" spans="1:5" x14ac:dyDescent="0.35">
      <c r="A36">
        <v>9163.7726070171993</v>
      </c>
      <c r="B36">
        <v>4.8</v>
      </c>
      <c r="C36" t="s">
        <v>15</v>
      </c>
      <c r="D36" t="s">
        <v>19</v>
      </c>
      <c r="E36">
        <v>0.19869999835888552</v>
      </c>
    </row>
    <row r="37" spans="1:5" x14ac:dyDescent="0.35">
      <c r="A37">
        <v>64990.410515106982</v>
      </c>
      <c r="B37">
        <v>4.8</v>
      </c>
      <c r="C37" t="s">
        <v>16</v>
      </c>
      <c r="D37" t="s">
        <v>19</v>
      </c>
      <c r="E37">
        <v>0.11036666482686996</v>
      </c>
    </row>
    <row r="38" spans="1:5" x14ac:dyDescent="0.35">
      <c r="A38">
        <v>790296.23397409823</v>
      </c>
      <c r="B38">
        <v>5.8</v>
      </c>
      <c r="C38" t="s">
        <v>13</v>
      </c>
      <c r="D38" t="s">
        <v>19</v>
      </c>
      <c r="E38">
        <v>0.83453332632780075</v>
      </c>
    </row>
    <row r="39" spans="1:5" x14ac:dyDescent="0.35">
      <c r="A39">
        <v>7715486.2148417979</v>
      </c>
      <c r="B39">
        <v>5.8</v>
      </c>
      <c r="C39" t="s">
        <v>14</v>
      </c>
      <c r="D39" t="s">
        <v>19</v>
      </c>
      <c r="E39">
        <v>1.0942333464821179</v>
      </c>
    </row>
    <row r="40" spans="1:5" x14ac:dyDescent="0.35">
      <c r="A40">
        <v>1480116.6502436176</v>
      </c>
      <c r="B40">
        <v>5.8</v>
      </c>
      <c r="C40" t="s">
        <v>15</v>
      </c>
      <c r="D40" t="s">
        <v>19</v>
      </c>
      <c r="E40">
        <v>0.87483333796262741</v>
      </c>
    </row>
    <row r="41" spans="1:5" x14ac:dyDescent="0.35">
      <c r="A41">
        <v>19001646.142135948</v>
      </c>
      <c r="B41">
        <v>5.8</v>
      </c>
      <c r="C41" t="s">
        <v>16</v>
      </c>
      <c r="D41" t="s">
        <v>19</v>
      </c>
      <c r="E41">
        <v>1.1003666544953983</v>
      </c>
    </row>
    <row r="42" spans="1:5" x14ac:dyDescent="0.35">
      <c r="A42">
        <v>591436.24339373398</v>
      </c>
      <c r="B42">
        <v>4.8</v>
      </c>
      <c r="C42" t="s">
        <v>13</v>
      </c>
      <c r="D42" t="s">
        <v>20</v>
      </c>
      <c r="E42">
        <v>9.790000071128209E-2</v>
      </c>
    </row>
    <row r="43" spans="1:5" x14ac:dyDescent="0.35">
      <c r="A43">
        <v>336145.15752349276</v>
      </c>
      <c r="B43">
        <v>4.8</v>
      </c>
      <c r="C43" t="s">
        <v>14</v>
      </c>
      <c r="D43" t="s">
        <v>20</v>
      </c>
      <c r="E43">
        <v>9.1433328886826828E-2</v>
      </c>
    </row>
    <row r="44" spans="1:5" x14ac:dyDescent="0.35">
      <c r="A44">
        <v>467302.3983361157</v>
      </c>
      <c r="B44">
        <v>4.8</v>
      </c>
      <c r="C44" t="s">
        <v>15</v>
      </c>
      <c r="D44" t="s">
        <v>20</v>
      </c>
      <c r="E44">
        <v>0.11150000244379044</v>
      </c>
    </row>
    <row r="45" spans="1:5" x14ac:dyDescent="0.35">
      <c r="A45">
        <v>4755083.9327514647</v>
      </c>
      <c r="B45">
        <v>4.8</v>
      </c>
      <c r="C45" t="s">
        <v>16</v>
      </c>
      <c r="D45" t="s">
        <v>20</v>
      </c>
      <c r="E45">
        <v>0.15366666267315546</v>
      </c>
    </row>
    <row r="46" spans="1:5" x14ac:dyDescent="0.35">
      <c r="A46">
        <v>97514973.049085736</v>
      </c>
      <c r="B46">
        <v>5.8</v>
      </c>
      <c r="C46" t="s">
        <v>13</v>
      </c>
      <c r="D46" t="s">
        <v>20</v>
      </c>
      <c r="E46">
        <v>0.87029998749494553</v>
      </c>
    </row>
    <row r="47" spans="1:5" x14ac:dyDescent="0.35">
      <c r="A47">
        <v>633261100.66012037</v>
      </c>
      <c r="B47">
        <v>5.8</v>
      </c>
      <c r="C47" t="s">
        <v>14</v>
      </c>
      <c r="D47" t="s">
        <v>20</v>
      </c>
      <c r="E47">
        <v>0.98423333217700326</v>
      </c>
    </row>
    <row r="48" spans="1:5" x14ac:dyDescent="0.35">
      <c r="A48">
        <v>394461006.1695233</v>
      </c>
      <c r="B48">
        <v>5.8</v>
      </c>
      <c r="C48" t="s">
        <v>15</v>
      </c>
      <c r="D48" t="s">
        <v>20</v>
      </c>
      <c r="E48">
        <v>1.0059999749064445</v>
      </c>
    </row>
    <row r="49" spans="1:5" x14ac:dyDescent="0.35">
      <c r="A49">
        <v>266356563.28541553</v>
      </c>
      <c r="B49">
        <v>5.8</v>
      </c>
      <c r="C49" t="s">
        <v>16</v>
      </c>
      <c r="D49" t="s">
        <v>20</v>
      </c>
      <c r="E49">
        <v>1.1526999697089195</v>
      </c>
    </row>
    <row r="50" spans="1:5" x14ac:dyDescent="0.35">
      <c r="A50">
        <v>281372.72751007992</v>
      </c>
      <c r="B50">
        <v>4.8</v>
      </c>
      <c r="C50" t="s">
        <v>17</v>
      </c>
      <c r="D50" t="s">
        <v>10</v>
      </c>
      <c r="E50">
        <v>9.2466674745082855E-2</v>
      </c>
    </row>
    <row r="51" spans="1:5" x14ac:dyDescent="0.35">
      <c r="A51">
        <v>432236.05887238303</v>
      </c>
      <c r="B51">
        <v>4.8</v>
      </c>
      <c r="C51" t="s">
        <v>18</v>
      </c>
      <c r="D51" t="s">
        <v>10</v>
      </c>
      <c r="E51">
        <v>0.12036666522423427</v>
      </c>
    </row>
    <row r="52" spans="1:5" x14ac:dyDescent="0.35">
      <c r="A52">
        <v>213073033.07478788</v>
      </c>
      <c r="B52">
        <v>5.8</v>
      </c>
      <c r="C52" t="s">
        <v>17</v>
      </c>
      <c r="D52" t="s">
        <v>10</v>
      </c>
      <c r="E52">
        <v>0.36850001166264218</v>
      </c>
    </row>
    <row r="53" spans="1:5" x14ac:dyDescent="0.35">
      <c r="A53">
        <v>36628378.53953892</v>
      </c>
      <c r="B53">
        <v>5.8</v>
      </c>
      <c r="C53" t="s">
        <v>18</v>
      </c>
      <c r="D53" t="s">
        <v>10</v>
      </c>
      <c r="E53">
        <v>0.93390000611543655</v>
      </c>
    </row>
    <row r="54" spans="1:5" x14ac:dyDescent="0.35">
      <c r="A54">
        <v>-18091.623890499231</v>
      </c>
      <c r="B54">
        <v>4.8</v>
      </c>
      <c r="C54" t="s">
        <v>17</v>
      </c>
      <c r="D54" t="s">
        <v>19</v>
      </c>
      <c r="E54">
        <v>6.9666671256224319E-2</v>
      </c>
    </row>
    <row r="55" spans="1:5" x14ac:dyDescent="0.35">
      <c r="A55">
        <v>-2807747.5191964097</v>
      </c>
      <c r="B55">
        <v>4.8</v>
      </c>
      <c r="C55" t="s">
        <v>18</v>
      </c>
      <c r="D55" t="s">
        <v>19</v>
      </c>
      <c r="E55">
        <v>7.3866662879784897E-2</v>
      </c>
    </row>
    <row r="56" spans="1:5" x14ac:dyDescent="0.35">
      <c r="A56">
        <v>15997749.300035544</v>
      </c>
      <c r="B56">
        <v>5.8</v>
      </c>
      <c r="C56" t="s">
        <v>17</v>
      </c>
      <c r="D56" t="s">
        <v>19</v>
      </c>
      <c r="E56">
        <v>0.24569999923308691</v>
      </c>
    </row>
    <row r="57" spans="1:5" x14ac:dyDescent="0.35">
      <c r="A57">
        <v>344097.81571339071</v>
      </c>
      <c r="B57">
        <v>5.8</v>
      </c>
      <c r="C57" t="s">
        <v>18</v>
      </c>
      <c r="D57" t="s">
        <v>19</v>
      </c>
      <c r="E57">
        <v>0.7837333157658577</v>
      </c>
    </row>
    <row r="58" spans="1:5" x14ac:dyDescent="0.35">
      <c r="A58">
        <v>255684.36519240434</v>
      </c>
      <c r="B58">
        <v>4.8</v>
      </c>
      <c r="C58" t="s">
        <v>17</v>
      </c>
      <c r="D58" t="s">
        <v>20</v>
      </c>
      <c r="E58">
        <v>8.4666671852270767E-2</v>
      </c>
    </row>
    <row r="59" spans="1:5" x14ac:dyDescent="0.35">
      <c r="A59">
        <v>382843.59867677162</v>
      </c>
      <c r="B59">
        <v>4.8</v>
      </c>
      <c r="C59" t="s">
        <v>18</v>
      </c>
      <c r="D59" t="s">
        <v>20</v>
      </c>
      <c r="E59">
        <v>9.9999996523062393E-2</v>
      </c>
    </row>
    <row r="60" spans="1:5" x14ac:dyDescent="0.35">
      <c r="A60">
        <v>2217876661.7274585</v>
      </c>
      <c r="B60">
        <v>5.8</v>
      </c>
      <c r="C60" t="s">
        <v>17</v>
      </c>
      <c r="D60" t="s">
        <v>20</v>
      </c>
      <c r="E60">
        <v>0.37246667097012204</v>
      </c>
    </row>
    <row r="61" spans="1:5" x14ac:dyDescent="0.35">
      <c r="A61">
        <v>2618703554.2987342</v>
      </c>
      <c r="B61">
        <v>5.8</v>
      </c>
      <c r="C61" t="s">
        <v>18</v>
      </c>
      <c r="D61" t="s">
        <v>20</v>
      </c>
      <c r="E61">
        <v>0.45986667027076084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610E-0C60-4C8F-9825-7F245C796851}">
  <dimension ref="A1:N61"/>
  <sheetViews>
    <sheetView workbookViewId="0">
      <selection activeCell="E71" sqref="E71"/>
    </sheetView>
  </sheetViews>
  <sheetFormatPr defaultRowHeight="14.5" x14ac:dyDescent="0.35"/>
  <cols>
    <col min="2" max="2" width="25.36328125" bestFit="1" customWidth="1"/>
    <col min="3" max="3" width="14.1796875" bestFit="1" customWidth="1"/>
    <col min="10" max="10" width="11.81640625" bestFit="1" customWidth="1"/>
    <col min="12" max="12" width="14.1796875" bestFit="1" customWidth="1"/>
    <col min="13" max="13" width="17.08984375" bestFit="1" customWidth="1"/>
  </cols>
  <sheetData>
    <row r="1" spans="1:14" x14ac:dyDescent="0.35">
      <c r="A1" s="40" t="s">
        <v>7</v>
      </c>
      <c r="B1" s="40" t="s">
        <v>291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1</v>
      </c>
      <c r="I1" s="40" t="s">
        <v>294</v>
      </c>
      <c r="J1" s="40" t="s">
        <v>296</v>
      </c>
      <c r="K1" s="40" t="s">
        <v>297</v>
      </c>
      <c r="L1" s="40" t="s">
        <v>295</v>
      </c>
      <c r="M1" s="40" t="s">
        <v>288</v>
      </c>
      <c r="N1" s="40" t="s">
        <v>289</v>
      </c>
    </row>
    <row r="2" spans="1:14" x14ac:dyDescent="0.35">
      <c r="A2">
        <v>4.8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 t="s">
        <v>10</v>
      </c>
      <c r="I2">
        <v>1512163.0303608438</v>
      </c>
      <c r="J2">
        <v>10728183661.343822</v>
      </c>
      <c r="K2">
        <v>596010.20340799016</v>
      </c>
      <c r="L2">
        <v>262244.48949951562</v>
      </c>
      <c r="M2">
        <v>-2.1766668806473415E-2</v>
      </c>
      <c r="N2">
        <v>3.1352966228944941</v>
      </c>
    </row>
    <row r="3" spans="1:14" x14ac:dyDescent="0.35">
      <c r="A3">
        <v>4.8</v>
      </c>
      <c r="B3" t="s">
        <v>5</v>
      </c>
      <c r="C3">
        <v>0</v>
      </c>
      <c r="D3">
        <v>0</v>
      </c>
      <c r="E3">
        <v>0</v>
      </c>
      <c r="F3">
        <v>1</v>
      </c>
      <c r="G3">
        <v>0</v>
      </c>
      <c r="H3" t="s">
        <v>10</v>
      </c>
      <c r="I3">
        <v>1555298.8897387262</v>
      </c>
      <c r="J3">
        <v>8056663763.7043009</v>
      </c>
      <c r="K3">
        <v>71910.12418607228</v>
      </c>
      <c r="L3">
        <v>140187.28362805012</v>
      </c>
      <c r="M3">
        <v>7.4433336655298873E-2</v>
      </c>
      <c r="N3">
        <v>1.8336875457552428</v>
      </c>
    </row>
    <row r="4" spans="1:14" x14ac:dyDescent="0.35">
      <c r="A4">
        <v>4.8</v>
      </c>
      <c r="B4" t="s">
        <v>3</v>
      </c>
      <c r="C4">
        <v>0</v>
      </c>
      <c r="D4">
        <v>1</v>
      </c>
      <c r="E4">
        <v>0</v>
      </c>
      <c r="F4">
        <v>0</v>
      </c>
      <c r="G4">
        <v>0</v>
      </c>
      <c r="H4" t="s">
        <v>10</v>
      </c>
      <c r="I4">
        <v>2708152.3906503995</v>
      </c>
      <c r="J4">
        <v>27403284586.581268</v>
      </c>
      <c r="K4">
        <v>66604.460775995962</v>
      </c>
      <c r="L4">
        <v>446634.46782155102</v>
      </c>
      <c r="M4">
        <v>0.14173333346843719</v>
      </c>
      <c r="N4">
        <v>6.6475233692176801</v>
      </c>
    </row>
    <row r="5" spans="1:14" x14ac:dyDescent="0.35">
      <c r="A5">
        <v>4.8</v>
      </c>
      <c r="B5" t="s">
        <v>12</v>
      </c>
      <c r="C5">
        <v>0</v>
      </c>
      <c r="D5">
        <v>1</v>
      </c>
      <c r="E5">
        <v>0</v>
      </c>
      <c r="F5">
        <v>1</v>
      </c>
      <c r="G5">
        <v>0</v>
      </c>
      <c r="H5" t="s">
        <v>10</v>
      </c>
      <c r="I5">
        <v>1929995.815813018</v>
      </c>
      <c r="J5">
        <v>17798443386.814548</v>
      </c>
      <c r="K5">
        <v>2193676.4585806411</v>
      </c>
      <c r="L5">
        <v>279899.09500134579</v>
      </c>
      <c r="M5">
        <v>0.14699999491373697</v>
      </c>
      <c r="N5">
        <v>2.6009689917284433</v>
      </c>
    </row>
    <row r="6" spans="1:14" x14ac:dyDescent="0.35">
      <c r="A6">
        <v>5.8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 t="s">
        <v>10</v>
      </c>
      <c r="I6">
        <v>5362434.9942285763</v>
      </c>
      <c r="J6">
        <v>159375923305.62598</v>
      </c>
      <c r="K6">
        <v>76707318.85145244</v>
      </c>
      <c r="L6">
        <v>6182938100.6696424</v>
      </c>
      <c r="M6">
        <v>5.8700000246365867E-2</v>
      </c>
      <c r="N6">
        <v>25.814898089643748</v>
      </c>
    </row>
    <row r="7" spans="1:14" x14ac:dyDescent="0.35">
      <c r="A7">
        <v>5.8</v>
      </c>
      <c r="B7" t="s">
        <v>5</v>
      </c>
      <c r="C7">
        <v>0</v>
      </c>
      <c r="D7">
        <v>0</v>
      </c>
      <c r="E7">
        <v>0</v>
      </c>
      <c r="F7">
        <v>1</v>
      </c>
      <c r="G7">
        <v>0</v>
      </c>
      <c r="H7" t="s">
        <v>10</v>
      </c>
      <c r="I7">
        <v>11929051.261897681</v>
      </c>
      <c r="J7">
        <v>423880928214.32953</v>
      </c>
      <c r="K7">
        <v>756591936.11440384</v>
      </c>
      <c r="L7">
        <v>780187861.6873883</v>
      </c>
      <c r="M7">
        <v>0.68723334868748986</v>
      </c>
      <c r="N7">
        <v>38.133756464270803</v>
      </c>
    </row>
    <row r="8" spans="1:14" x14ac:dyDescent="0.35">
      <c r="A8">
        <v>5.8</v>
      </c>
      <c r="B8" t="s">
        <v>3</v>
      </c>
      <c r="C8">
        <v>0</v>
      </c>
      <c r="D8">
        <v>1</v>
      </c>
      <c r="E8">
        <v>0</v>
      </c>
      <c r="F8">
        <v>0</v>
      </c>
      <c r="G8">
        <v>0</v>
      </c>
      <c r="H8" t="s">
        <v>10</v>
      </c>
      <c r="I8">
        <v>15528987.663641939</v>
      </c>
      <c r="J8">
        <v>753356707561.59485</v>
      </c>
      <c r="K8">
        <v>1062263078.5430931</v>
      </c>
      <c r="L8">
        <v>20224020.263917919</v>
      </c>
      <c r="M8">
        <v>1.0250666687885921</v>
      </c>
      <c r="N8">
        <v>50.721407702136879</v>
      </c>
    </row>
    <row r="9" spans="1:14" x14ac:dyDescent="0.35">
      <c r="A9">
        <v>5.8</v>
      </c>
      <c r="B9" t="s">
        <v>12</v>
      </c>
      <c r="C9">
        <v>0</v>
      </c>
      <c r="D9">
        <v>1</v>
      </c>
      <c r="E9">
        <v>0</v>
      </c>
      <c r="F9">
        <v>1</v>
      </c>
      <c r="G9">
        <v>0</v>
      </c>
      <c r="H9" t="s">
        <v>10</v>
      </c>
      <c r="I9">
        <v>20193952.527054235</v>
      </c>
      <c r="J9">
        <v>487610073214.23639</v>
      </c>
      <c r="K9">
        <v>1705814363.8706789</v>
      </c>
      <c r="L9">
        <v>41572335.486879945</v>
      </c>
      <c r="M9">
        <v>0.86819998919963837</v>
      </c>
      <c r="N9">
        <v>69.385406696860798</v>
      </c>
    </row>
    <row r="10" spans="1:14" x14ac:dyDescent="0.35">
      <c r="A10">
        <v>4.8</v>
      </c>
      <c r="B10" t="s">
        <v>11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19</v>
      </c>
      <c r="I10">
        <v>23855226.487281706</v>
      </c>
      <c r="J10">
        <v>28283442182.525616</v>
      </c>
      <c r="K10">
        <v>9713505.3960188981</v>
      </c>
      <c r="L10">
        <v>918293577.35472775</v>
      </c>
      <c r="M10">
        <v>4.1699998080730438E-2</v>
      </c>
      <c r="N10">
        <v>0.72175753855841851</v>
      </c>
    </row>
    <row r="11" spans="1:14" x14ac:dyDescent="0.35">
      <c r="A11">
        <v>4.8</v>
      </c>
      <c r="B11" t="s">
        <v>5</v>
      </c>
      <c r="C11">
        <v>0</v>
      </c>
      <c r="D11">
        <v>0</v>
      </c>
      <c r="E11">
        <v>0</v>
      </c>
      <c r="F11">
        <v>1</v>
      </c>
      <c r="G11">
        <v>0</v>
      </c>
      <c r="H11" t="s">
        <v>19</v>
      </c>
      <c r="I11">
        <v>644984.85318765184</v>
      </c>
      <c r="J11">
        <v>56257012.194700748</v>
      </c>
      <c r="K11">
        <v>26516.043964381246</v>
      </c>
      <c r="L11">
        <v>830.11939438040383</v>
      </c>
      <c r="M11">
        <v>4.4433330496152244E-2</v>
      </c>
      <c r="N11">
        <v>-0.17719097378420057</v>
      </c>
    </row>
    <row r="12" spans="1:14" x14ac:dyDescent="0.35">
      <c r="A12">
        <v>4.8</v>
      </c>
      <c r="B12" t="s">
        <v>3</v>
      </c>
      <c r="C12">
        <v>0</v>
      </c>
      <c r="D12">
        <v>1</v>
      </c>
      <c r="E12">
        <v>0</v>
      </c>
      <c r="F12">
        <v>0</v>
      </c>
      <c r="G12">
        <v>0</v>
      </c>
      <c r="H12" t="s">
        <v>19</v>
      </c>
      <c r="I12">
        <v>1012248.0938016726</v>
      </c>
      <c r="J12">
        <v>40399812.645793758</v>
      </c>
      <c r="K12">
        <v>146941.17729607664</v>
      </c>
      <c r="L12">
        <v>1311.3311465273043</v>
      </c>
      <c r="M12">
        <v>4.5466666420300804E-2</v>
      </c>
      <c r="N12">
        <v>-0.17816097487655841</v>
      </c>
    </row>
    <row r="13" spans="1:14" x14ac:dyDescent="0.35">
      <c r="A13">
        <v>4.8</v>
      </c>
      <c r="B13" t="s">
        <v>12</v>
      </c>
      <c r="C13">
        <v>0</v>
      </c>
      <c r="D13">
        <v>1</v>
      </c>
      <c r="E13">
        <v>0</v>
      </c>
      <c r="F13">
        <v>1</v>
      </c>
      <c r="G13">
        <v>0</v>
      </c>
      <c r="H13" t="s">
        <v>19</v>
      </c>
      <c r="I13">
        <v>1281823.8355087833</v>
      </c>
      <c r="J13">
        <v>35994649.118327446</v>
      </c>
      <c r="K13">
        <v>45899.651483622591</v>
      </c>
      <c r="L13">
        <v>1286.9104380306435</v>
      </c>
      <c r="M13">
        <v>4.5999998847643532E-2</v>
      </c>
      <c r="N13">
        <v>-0.19731849645062557</v>
      </c>
    </row>
    <row r="14" spans="1:14" x14ac:dyDescent="0.35">
      <c r="A14">
        <v>5.8</v>
      </c>
      <c r="B14" t="s">
        <v>11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19</v>
      </c>
      <c r="I14">
        <v>7910103.7145939171</v>
      </c>
      <c r="J14">
        <v>230849261126.74716</v>
      </c>
      <c r="K14">
        <v>8164948.0602105409</v>
      </c>
      <c r="L14">
        <v>1106374339.0406315</v>
      </c>
      <c r="M14">
        <v>8.6866666873296097E-2</v>
      </c>
      <c r="N14">
        <v>23.667813279043585</v>
      </c>
    </row>
    <row r="15" spans="1:14" x14ac:dyDescent="0.35">
      <c r="A15">
        <v>5.8</v>
      </c>
      <c r="B15" t="s">
        <v>5</v>
      </c>
      <c r="C15">
        <v>0</v>
      </c>
      <c r="D15">
        <v>0</v>
      </c>
      <c r="E15">
        <v>0</v>
      </c>
      <c r="F15">
        <v>1</v>
      </c>
      <c r="G15">
        <v>0</v>
      </c>
      <c r="H15" t="s">
        <v>19</v>
      </c>
      <c r="I15">
        <v>2755018.0054423511</v>
      </c>
      <c r="J15">
        <v>17490071813.587276</v>
      </c>
      <c r="K15">
        <v>244439557.87664142</v>
      </c>
      <c r="L15">
        <v>4805393.6072264398</v>
      </c>
      <c r="M15">
        <v>0.46860000491142273</v>
      </c>
      <c r="N15">
        <v>6.1490347864834991</v>
      </c>
    </row>
    <row r="16" spans="1:14" x14ac:dyDescent="0.35">
      <c r="A16">
        <v>5.8</v>
      </c>
      <c r="B16" t="s">
        <v>3</v>
      </c>
      <c r="C16">
        <v>0</v>
      </c>
      <c r="D16">
        <v>1</v>
      </c>
      <c r="E16">
        <v>0</v>
      </c>
      <c r="F16">
        <v>0</v>
      </c>
      <c r="G16">
        <v>0</v>
      </c>
      <c r="H16" t="s">
        <v>19</v>
      </c>
      <c r="I16">
        <v>4743803.5298880683</v>
      </c>
      <c r="J16">
        <v>109351120643.64342</v>
      </c>
      <c r="K16">
        <v>839552902.66115749</v>
      </c>
      <c r="L16">
        <v>8762830.8622878436</v>
      </c>
      <c r="M16">
        <v>0.84070000549157464</v>
      </c>
      <c r="N16">
        <v>21.963829430873801</v>
      </c>
    </row>
    <row r="17" spans="1:14" x14ac:dyDescent="0.35">
      <c r="A17">
        <v>5.8</v>
      </c>
      <c r="B17" t="s">
        <v>12</v>
      </c>
      <c r="C17">
        <v>0</v>
      </c>
      <c r="D17">
        <v>1</v>
      </c>
      <c r="E17">
        <v>0</v>
      </c>
      <c r="F17">
        <v>1</v>
      </c>
      <c r="G17">
        <v>0</v>
      </c>
      <c r="H17" t="s">
        <v>19</v>
      </c>
      <c r="I17">
        <v>6134206.4942991026</v>
      </c>
      <c r="J17">
        <v>58605017425.849701</v>
      </c>
      <c r="K17">
        <v>782473584.31216908</v>
      </c>
      <c r="L17">
        <v>7498130.1730090268</v>
      </c>
      <c r="M17">
        <v>0.75476666788260138</v>
      </c>
      <c r="N17">
        <v>23.464182322044326</v>
      </c>
    </row>
    <row r="18" spans="1:14" x14ac:dyDescent="0.35">
      <c r="A18">
        <v>4.8</v>
      </c>
      <c r="B18" t="s">
        <v>11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20</v>
      </c>
      <c r="I18">
        <v>1784377.1273400104</v>
      </c>
      <c r="J18">
        <v>9566530552.6465855</v>
      </c>
      <c r="K18">
        <v>417729.90553335502</v>
      </c>
      <c r="L18">
        <v>42951769.828209162</v>
      </c>
      <c r="M18">
        <v>6.0066665212313332E-2</v>
      </c>
      <c r="N18">
        <v>3.4985742501811687</v>
      </c>
    </row>
    <row r="19" spans="1:14" x14ac:dyDescent="0.35">
      <c r="A19">
        <v>4.8</v>
      </c>
      <c r="B19" t="s">
        <v>5</v>
      </c>
      <c r="C19">
        <v>0</v>
      </c>
      <c r="D19">
        <v>0</v>
      </c>
      <c r="E19">
        <v>0</v>
      </c>
      <c r="F19">
        <v>1</v>
      </c>
      <c r="G19">
        <v>0</v>
      </c>
      <c r="H19" t="s">
        <v>20</v>
      </c>
      <c r="I19">
        <v>1362313.7961806529</v>
      </c>
      <c r="J19">
        <v>7685654711.4006777</v>
      </c>
      <c r="K19">
        <v>366958.51388449949</v>
      </c>
      <c r="L19">
        <v>2638006.4839336346</v>
      </c>
      <c r="M19">
        <v>6.1366662383079529E-2</v>
      </c>
      <c r="N19">
        <v>3.018005191662922</v>
      </c>
    </row>
    <row r="20" spans="1:14" x14ac:dyDescent="0.35">
      <c r="A20">
        <v>4.8</v>
      </c>
      <c r="B20" t="s">
        <v>3</v>
      </c>
      <c r="C20">
        <v>0</v>
      </c>
      <c r="D20">
        <v>1</v>
      </c>
      <c r="E20">
        <v>0</v>
      </c>
      <c r="F20">
        <v>0</v>
      </c>
      <c r="G20">
        <v>0</v>
      </c>
      <c r="H20" t="s">
        <v>20</v>
      </c>
      <c r="I20">
        <v>1305900.6670240003</v>
      </c>
      <c r="J20">
        <v>11065011034.189192</v>
      </c>
      <c r="K20">
        <v>1293322.5869450157</v>
      </c>
      <c r="L20">
        <v>163990.68271046024</v>
      </c>
      <c r="M20">
        <v>7.6666663090387985E-2</v>
      </c>
      <c r="N20">
        <v>4.8669742812161765</v>
      </c>
    </row>
    <row r="21" spans="1:14" x14ac:dyDescent="0.35">
      <c r="A21">
        <v>4.8</v>
      </c>
      <c r="B21" t="s">
        <v>12</v>
      </c>
      <c r="C21">
        <v>0</v>
      </c>
      <c r="D21">
        <v>1</v>
      </c>
      <c r="E21">
        <v>0</v>
      </c>
      <c r="F21">
        <v>1</v>
      </c>
      <c r="G21">
        <v>0</v>
      </c>
      <c r="H21" t="s">
        <v>20</v>
      </c>
      <c r="I21">
        <v>1492322.0112051496</v>
      </c>
      <c r="J21">
        <v>8641094025.2218857</v>
      </c>
      <c r="K21">
        <v>1206540.2322888093</v>
      </c>
      <c r="L21">
        <v>179428.923322157</v>
      </c>
      <c r="M21">
        <v>6.4099997282028198E-2</v>
      </c>
      <c r="N21">
        <v>4.0410471196271889</v>
      </c>
    </row>
    <row r="22" spans="1:14" x14ac:dyDescent="0.35">
      <c r="A22">
        <v>5.8</v>
      </c>
      <c r="B22" t="s">
        <v>11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20</v>
      </c>
      <c r="I22">
        <v>9188849.243142074</v>
      </c>
      <c r="J22">
        <v>189139178055.12601</v>
      </c>
      <c r="K22">
        <v>9890809.0792229567</v>
      </c>
      <c r="L22">
        <v>7155394162.4315882</v>
      </c>
      <c r="M22">
        <v>7.0299997925758362E-2</v>
      </c>
      <c r="N22">
        <v>40.736974618549311</v>
      </c>
    </row>
    <row r="23" spans="1:14" x14ac:dyDescent="0.35">
      <c r="A23">
        <v>5.8</v>
      </c>
      <c r="B23" t="s">
        <v>5</v>
      </c>
      <c r="C23">
        <v>0</v>
      </c>
      <c r="D23">
        <v>0</v>
      </c>
      <c r="E23">
        <v>0</v>
      </c>
      <c r="F23">
        <v>1</v>
      </c>
      <c r="G23">
        <v>0</v>
      </c>
      <c r="H23" t="s">
        <v>20</v>
      </c>
      <c r="I23">
        <v>12435730.351558911</v>
      </c>
      <c r="J23">
        <v>300530150162.67371</v>
      </c>
      <c r="K23">
        <v>176096082.87948239</v>
      </c>
      <c r="L23">
        <v>1632874999.4242699</v>
      </c>
      <c r="M23">
        <v>0.40596666932106018</v>
      </c>
      <c r="N23">
        <v>67.64395475260315</v>
      </c>
    </row>
    <row r="24" spans="1:14" x14ac:dyDescent="0.35">
      <c r="A24">
        <v>5.8</v>
      </c>
      <c r="B24" t="s">
        <v>3</v>
      </c>
      <c r="C24">
        <v>0</v>
      </c>
      <c r="D24">
        <v>1</v>
      </c>
      <c r="E24">
        <v>0</v>
      </c>
      <c r="F24">
        <v>0</v>
      </c>
      <c r="G24">
        <v>0</v>
      </c>
      <c r="H24" t="s">
        <v>20</v>
      </c>
      <c r="I24">
        <v>8364389.1544231521</v>
      </c>
      <c r="J24">
        <v>367780930156.79688</v>
      </c>
      <c r="K24">
        <v>1242469062.3354189</v>
      </c>
      <c r="L24">
        <v>148613518.71641997</v>
      </c>
      <c r="M24">
        <v>1.0166333268086116</v>
      </c>
      <c r="N24">
        <v>39.676464594497176</v>
      </c>
    </row>
    <row r="25" spans="1:14" x14ac:dyDescent="0.35">
      <c r="A25">
        <v>5.8</v>
      </c>
      <c r="B25" t="s">
        <v>12</v>
      </c>
      <c r="C25">
        <v>0</v>
      </c>
      <c r="D25">
        <v>1</v>
      </c>
      <c r="E25">
        <v>0</v>
      </c>
      <c r="F25">
        <v>1</v>
      </c>
      <c r="G25">
        <v>0</v>
      </c>
      <c r="H25" t="s">
        <v>20</v>
      </c>
      <c r="I25">
        <v>8717207.9312832206</v>
      </c>
      <c r="J25">
        <v>490697970267.22076</v>
      </c>
      <c r="K25">
        <v>957800490.49487817</v>
      </c>
      <c r="L25">
        <v>127028414.8955342</v>
      </c>
      <c r="M25">
        <v>0.95086668431758881</v>
      </c>
      <c r="N25">
        <v>46.368592365320765</v>
      </c>
    </row>
    <row r="26" spans="1:14" x14ac:dyDescent="0.35">
      <c r="A26">
        <v>4.8</v>
      </c>
      <c r="B26" t="s">
        <v>13</v>
      </c>
      <c r="C26">
        <v>1</v>
      </c>
      <c r="D26">
        <v>1</v>
      </c>
      <c r="E26">
        <v>0</v>
      </c>
      <c r="F26">
        <v>1</v>
      </c>
      <c r="G26">
        <v>0</v>
      </c>
      <c r="H26" t="s">
        <v>10</v>
      </c>
      <c r="I26">
        <v>5945933.6716124788</v>
      </c>
      <c r="J26">
        <v>189000675872.60083</v>
      </c>
      <c r="K26">
        <v>287777671.43813527</v>
      </c>
      <c r="L26">
        <v>1870298.6590521187</v>
      </c>
      <c r="M26">
        <v>0.16433333605527878</v>
      </c>
      <c r="N26">
        <v>26.608244298112858</v>
      </c>
    </row>
    <row r="27" spans="1:14" x14ac:dyDescent="0.35">
      <c r="A27">
        <v>4.8</v>
      </c>
      <c r="B27" t="s">
        <v>14</v>
      </c>
      <c r="C27">
        <v>1</v>
      </c>
      <c r="D27">
        <v>0</v>
      </c>
      <c r="E27">
        <v>0</v>
      </c>
      <c r="F27">
        <v>1</v>
      </c>
      <c r="G27">
        <v>1</v>
      </c>
      <c r="H27" t="s">
        <v>10</v>
      </c>
      <c r="I27">
        <v>1893089.8103719952</v>
      </c>
      <c r="J27">
        <v>35674225759.898926</v>
      </c>
      <c r="K27">
        <v>3121494.7539911568</v>
      </c>
      <c r="L27">
        <v>386430.71367275965</v>
      </c>
      <c r="M27">
        <v>0.14496666441361108</v>
      </c>
      <c r="N27">
        <v>6.4324890786264639</v>
      </c>
    </row>
    <row r="28" spans="1:14" x14ac:dyDescent="0.35">
      <c r="A28">
        <v>4.8</v>
      </c>
      <c r="B28" t="s">
        <v>15</v>
      </c>
      <c r="C28">
        <v>1</v>
      </c>
      <c r="D28">
        <v>1</v>
      </c>
      <c r="E28">
        <v>0</v>
      </c>
      <c r="F28">
        <v>1</v>
      </c>
      <c r="G28">
        <v>1</v>
      </c>
      <c r="H28" t="s">
        <v>10</v>
      </c>
      <c r="I28">
        <v>1010842.7000263325</v>
      </c>
      <c r="J28">
        <v>10108427000.263327</v>
      </c>
      <c r="K28">
        <v>1588119.1335353467</v>
      </c>
      <c r="L28">
        <v>176071.05205277944</v>
      </c>
      <c r="M28">
        <v>0.14363333334525427</v>
      </c>
      <c r="N28">
        <v>2.3810475581692456</v>
      </c>
    </row>
    <row r="29" spans="1:14" x14ac:dyDescent="0.35">
      <c r="A29">
        <v>4.8</v>
      </c>
      <c r="B29" t="s">
        <v>16</v>
      </c>
      <c r="C29">
        <v>1</v>
      </c>
      <c r="D29">
        <v>1</v>
      </c>
      <c r="E29">
        <v>1</v>
      </c>
      <c r="F29">
        <v>1</v>
      </c>
      <c r="G29">
        <v>1</v>
      </c>
      <c r="H29" t="s">
        <v>10</v>
      </c>
      <c r="I29">
        <v>3079656.6691538519</v>
      </c>
      <c r="J29">
        <v>68502619499.768372</v>
      </c>
      <c r="K29">
        <v>3627151.1881145365</v>
      </c>
      <c r="L29">
        <v>898703.22823903617</v>
      </c>
      <c r="M29">
        <v>0.2268999939163526</v>
      </c>
      <c r="N29">
        <v>11.516746812983914</v>
      </c>
    </row>
    <row r="30" spans="1:14" x14ac:dyDescent="0.35">
      <c r="A30">
        <v>5.8</v>
      </c>
      <c r="B30" t="s">
        <v>13</v>
      </c>
      <c r="C30">
        <v>1</v>
      </c>
      <c r="D30">
        <v>1</v>
      </c>
      <c r="E30">
        <v>0</v>
      </c>
      <c r="F30">
        <v>1</v>
      </c>
      <c r="G30">
        <v>0</v>
      </c>
      <c r="H30" t="s">
        <v>10</v>
      </c>
      <c r="I30">
        <v>21902668.727233529</v>
      </c>
      <c r="J30">
        <v>743995413909.20251</v>
      </c>
      <c r="K30">
        <v>2142753146.9129522</v>
      </c>
      <c r="L30">
        <v>9535855.772400992</v>
      </c>
      <c r="M30">
        <v>1.162966641287009</v>
      </c>
      <c r="N30">
        <v>95.650542054452956</v>
      </c>
    </row>
    <row r="31" spans="1:14" x14ac:dyDescent="0.35">
      <c r="A31">
        <v>5.8</v>
      </c>
      <c r="B31" t="s">
        <v>14</v>
      </c>
      <c r="C31">
        <v>1</v>
      </c>
      <c r="D31">
        <v>0</v>
      </c>
      <c r="E31">
        <v>0</v>
      </c>
      <c r="F31">
        <v>1</v>
      </c>
      <c r="G31">
        <v>1</v>
      </c>
      <c r="H31" t="s">
        <v>10</v>
      </c>
      <c r="I31">
        <v>10997236.408708869</v>
      </c>
      <c r="J31">
        <v>337870205873.54926</v>
      </c>
      <c r="K31">
        <v>985089106.73521817</v>
      </c>
      <c r="L31">
        <v>48384705.966353573</v>
      </c>
      <c r="M31">
        <v>1.2566333537300427</v>
      </c>
      <c r="N31">
        <v>35.978526415390675</v>
      </c>
    </row>
    <row r="32" spans="1:14" x14ac:dyDescent="0.35">
      <c r="A32">
        <v>5.8</v>
      </c>
      <c r="B32" t="s">
        <v>15</v>
      </c>
      <c r="C32">
        <v>1</v>
      </c>
      <c r="D32">
        <v>1</v>
      </c>
      <c r="E32">
        <v>0</v>
      </c>
      <c r="F32">
        <v>1</v>
      </c>
      <c r="G32">
        <v>1</v>
      </c>
      <c r="H32" t="s">
        <v>10</v>
      </c>
      <c r="I32">
        <v>15144256.972420573</v>
      </c>
      <c r="J32">
        <v>549198924545.08942</v>
      </c>
      <c r="K32">
        <v>980335892.18221343</v>
      </c>
      <c r="L32">
        <v>96577893.320971772</v>
      </c>
      <c r="M32">
        <v>1.2232999925812085</v>
      </c>
      <c r="N32">
        <v>40.319938418614825</v>
      </c>
    </row>
    <row r="33" spans="1:14" x14ac:dyDescent="0.35">
      <c r="A33">
        <v>5.8</v>
      </c>
      <c r="B33" t="s">
        <v>16</v>
      </c>
      <c r="C33">
        <v>1</v>
      </c>
      <c r="D33">
        <v>1</v>
      </c>
      <c r="E33">
        <v>1</v>
      </c>
      <c r="F33">
        <v>1</v>
      </c>
      <c r="G33">
        <v>1</v>
      </c>
      <c r="H33" t="s">
        <v>10</v>
      </c>
      <c r="I33">
        <v>14101719.395593792</v>
      </c>
      <c r="J33">
        <v>460846730698.34668</v>
      </c>
      <c r="K33">
        <v>1194834873.1131496</v>
      </c>
      <c r="L33">
        <v>61479503.799966492</v>
      </c>
      <c r="M33">
        <v>1.266099991897742</v>
      </c>
      <c r="N33">
        <v>41.263157011435389</v>
      </c>
    </row>
    <row r="34" spans="1:14" x14ac:dyDescent="0.35">
      <c r="A34">
        <v>4.8</v>
      </c>
      <c r="B34" t="s">
        <v>13</v>
      </c>
      <c r="C34">
        <v>1</v>
      </c>
      <c r="D34">
        <v>1</v>
      </c>
      <c r="E34">
        <v>0</v>
      </c>
      <c r="F34">
        <v>1</v>
      </c>
      <c r="G34">
        <v>0</v>
      </c>
      <c r="H34" t="s">
        <v>19</v>
      </c>
      <c r="I34">
        <v>5937377.0326232342</v>
      </c>
      <c r="J34">
        <v>11648136621.253214</v>
      </c>
      <c r="K34">
        <v>79165027.101643115</v>
      </c>
      <c r="L34">
        <v>195322.65410847063</v>
      </c>
      <c r="M34">
        <v>8.8066669801870986E-2</v>
      </c>
      <c r="N34">
        <v>3.1045652219354283</v>
      </c>
    </row>
    <row r="35" spans="1:14" x14ac:dyDescent="0.35">
      <c r="A35">
        <v>4.8</v>
      </c>
      <c r="B35" t="s">
        <v>14</v>
      </c>
      <c r="C35">
        <v>1</v>
      </c>
      <c r="D35">
        <v>0</v>
      </c>
      <c r="E35">
        <v>0</v>
      </c>
      <c r="F35">
        <v>1</v>
      </c>
      <c r="G35">
        <v>1</v>
      </c>
      <c r="H35" t="s">
        <v>19</v>
      </c>
      <c r="I35">
        <v>-3499168.8040004931</v>
      </c>
      <c r="J35">
        <v>-2685564254.2178645</v>
      </c>
      <c r="K35">
        <v>-4097660.5174716152</v>
      </c>
      <c r="L35">
        <v>-8030.8792222962138</v>
      </c>
      <c r="M35">
        <v>4.94999960064888E-2</v>
      </c>
      <c r="N35">
        <v>0.27822453907780065</v>
      </c>
    </row>
    <row r="36" spans="1:14" x14ac:dyDescent="0.35">
      <c r="A36">
        <v>4.8</v>
      </c>
      <c r="B36" t="s">
        <v>15</v>
      </c>
      <c r="C36">
        <v>1</v>
      </c>
      <c r="D36">
        <v>1</v>
      </c>
      <c r="E36">
        <v>0</v>
      </c>
      <c r="F36">
        <v>1</v>
      </c>
      <c r="G36">
        <v>1</v>
      </c>
      <c r="H36" t="s">
        <v>19</v>
      </c>
      <c r="I36">
        <v>5655675.214262452</v>
      </c>
      <c r="J36">
        <v>6126981482.1176567</v>
      </c>
      <c r="K36">
        <v>74011335.993537948</v>
      </c>
      <c r="L36">
        <v>9163.7726070171993</v>
      </c>
      <c r="M36">
        <v>0.19869999835888552</v>
      </c>
      <c r="N36">
        <v>2.3933119209640492</v>
      </c>
    </row>
    <row r="37" spans="1:14" x14ac:dyDescent="0.35">
      <c r="A37">
        <v>4.8</v>
      </c>
      <c r="B37" t="s">
        <v>16</v>
      </c>
      <c r="C37">
        <v>1</v>
      </c>
      <c r="D37">
        <v>1</v>
      </c>
      <c r="E37">
        <v>1</v>
      </c>
      <c r="F37">
        <v>1</v>
      </c>
      <c r="G37">
        <v>1</v>
      </c>
      <c r="H37" t="s">
        <v>19</v>
      </c>
      <c r="I37">
        <v>19977487.058339406</v>
      </c>
      <c r="J37">
        <v>29353060192.649189</v>
      </c>
      <c r="K37">
        <v>57994051.539654605</v>
      </c>
      <c r="L37">
        <v>64990.410515106982</v>
      </c>
      <c r="M37">
        <v>0.11036666482686996</v>
      </c>
      <c r="N37">
        <v>1.3920282933776791</v>
      </c>
    </row>
    <row r="38" spans="1:14" x14ac:dyDescent="0.35">
      <c r="A38">
        <v>5.8</v>
      </c>
      <c r="B38" t="s">
        <v>13</v>
      </c>
      <c r="C38">
        <v>1</v>
      </c>
      <c r="D38">
        <v>1</v>
      </c>
      <c r="E38">
        <v>0</v>
      </c>
      <c r="F38">
        <v>1</v>
      </c>
      <c r="G38">
        <v>0</v>
      </c>
      <c r="H38" t="s">
        <v>19</v>
      </c>
      <c r="I38">
        <v>6845242.6326544359</v>
      </c>
      <c r="J38">
        <v>45681517160.77552</v>
      </c>
      <c r="K38">
        <v>812208993.18883455</v>
      </c>
      <c r="L38">
        <v>790296.23397409823</v>
      </c>
      <c r="M38">
        <v>0.83453332632780075</v>
      </c>
      <c r="N38">
        <v>24.446498058608743</v>
      </c>
    </row>
    <row r="39" spans="1:14" x14ac:dyDescent="0.35">
      <c r="A39">
        <v>5.8</v>
      </c>
      <c r="B39" t="s">
        <v>14</v>
      </c>
      <c r="C39">
        <v>1</v>
      </c>
      <c r="D39">
        <v>0</v>
      </c>
      <c r="E39">
        <v>0</v>
      </c>
      <c r="F39">
        <v>1</v>
      </c>
      <c r="G39">
        <v>1</v>
      </c>
      <c r="H39" t="s">
        <v>19</v>
      </c>
      <c r="I39">
        <v>3919921.9643857176</v>
      </c>
      <c r="J39">
        <v>8718309853.0853634</v>
      </c>
      <c r="K39">
        <v>91004823.397959545</v>
      </c>
      <c r="L39">
        <v>7715486.2148417979</v>
      </c>
      <c r="M39">
        <v>1.0942333464821179</v>
      </c>
      <c r="N39">
        <v>3.1959878248901537</v>
      </c>
    </row>
    <row r="40" spans="1:14" x14ac:dyDescent="0.35">
      <c r="A40">
        <v>5.8</v>
      </c>
      <c r="B40" t="s">
        <v>15</v>
      </c>
      <c r="C40">
        <v>1</v>
      </c>
      <c r="D40">
        <v>1</v>
      </c>
      <c r="E40">
        <v>0</v>
      </c>
      <c r="F40">
        <v>1</v>
      </c>
      <c r="G40">
        <v>1</v>
      </c>
      <c r="H40" t="s">
        <v>19</v>
      </c>
      <c r="I40">
        <v>950724.6266467711</v>
      </c>
      <c r="J40">
        <v>2598878632.6950054</v>
      </c>
      <c r="K40">
        <v>29146302.422747727</v>
      </c>
      <c r="L40">
        <v>1480116.6502436176</v>
      </c>
      <c r="M40">
        <v>0.87483333796262741</v>
      </c>
      <c r="N40">
        <v>1.1169065771178579</v>
      </c>
    </row>
    <row r="41" spans="1:14" x14ac:dyDescent="0.35">
      <c r="A41">
        <v>5.8</v>
      </c>
      <c r="B41" t="s">
        <v>16</v>
      </c>
      <c r="C41">
        <v>1</v>
      </c>
      <c r="D41">
        <v>1</v>
      </c>
      <c r="E41">
        <v>1</v>
      </c>
      <c r="F41">
        <v>1</v>
      </c>
      <c r="G41">
        <v>1</v>
      </c>
      <c r="H41" t="s">
        <v>19</v>
      </c>
      <c r="I41">
        <v>2421672.4007882983</v>
      </c>
      <c r="J41">
        <v>74032224248.01741</v>
      </c>
      <c r="K41">
        <v>429756621.61572057</v>
      </c>
      <c r="L41">
        <v>19001646.142135948</v>
      </c>
      <c r="M41">
        <v>1.1003666544953983</v>
      </c>
      <c r="N41">
        <v>13.108326372890108</v>
      </c>
    </row>
    <row r="42" spans="1:14" x14ac:dyDescent="0.35">
      <c r="A42">
        <v>4.8</v>
      </c>
      <c r="B42" t="s">
        <v>13</v>
      </c>
      <c r="C42">
        <v>1</v>
      </c>
      <c r="D42">
        <v>1</v>
      </c>
      <c r="E42">
        <v>0</v>
      </c>
      <c r="F42">
        <v>1</v>
      </c>
      <c r="G42">
        <v>0</v>
      </c>
      <c r="H42" t="s">
        <v>20</v>
      </c>
      <c r="I42">
        <v>2361866.7031264529</v>
      </c>
      <c r="J42">
        <v>41468406770.409843</v>
      </c>
      <c r="K42">
        <v>65426422.465916671</v>
      </c>
      <c r="L42">
        <v>591436.24339373398</v>
      </c>
      <c r="M42">
        <v>9.790000071128209E-2</v>
      </c>
      <c r="N42">
        <v>14.067835442270606</v>
      </c>
    </row>
    <row r="43" spans="1:14" x14ac:dyDescent="0.35">
      <c r="A43">
        <v>4.8</v>
      </c>
      <c r="B43" t="s">
        <v>14</v>
      </c>
      <c r="C43">
        <v>1</v>
      </c>
      <c r="D43">
        <v>0</v>
      </c>
      <c r="E43">
        <v>0</v>
      </c>
      <c r="F43">
        <v>1</v>
      </c>
      <c r="G43">
        <v>1</v>
      </c>
      <c r="H43" t="s">
        <v>20</v>
      </c>
      <c r="I43">
        <v>964350.86174772505</v>
      </c>
      <c r="J43">
        <v>17992031792.036129</v>
      </c>
      <c r="K43">
        <v>56152773.035481818</v>
      </c>
      <c r="L43">
        <v>336145.15752349276</v>
      </c>
      <c r="M43">
        <v>9.1433328886826828E-2</v>
      </c>
      <c r="N43">
        <v>5.8248543029406816</v>
      </c>
    </row>
    <row r="44" spans="1:14" x14ac:dyDescent="0.35">
      <c r="A44">
        <v>4.8</v>
      </c>
      <c r="B44" t="s">
        <v>15</v>
      </c>
      <c r="C44">
        <v>1</v>
      </c>
      <c r="D44">
        <v>1</v>
      </c>
      <c r="E44">
        <v>0</v>
      </c>
      <c r="F44">
        <v>1</v>
      </c>
      <c r="G44">
        <v>1</v>
      </c>
      <c r="H44" t="s">
        <v>20</v>
      </c>
      <c r="I44">
        <v>5739309.9166491479</v>
      </c>
      <c r="J44">
        <v>100582855609.96234</v>
      </c>
      <c r="K44">
        <v>671325341.76562762</v>
      </c>
      <c r="L44">
        <v>467302.3983361157</v>
      </c>
      <c r="M44">
        <v>0.11150000244379044</v>
      </c>
      <c r="N44">
        <v>26.217272860674282</v>
      </c>
    </row>
    <row r="45" spans="1:14" x14ac:dyDescent="0.35">
      <c r="A45">
        <v>4.8</v>
      </c>
      <c r="B45" t="s">
        <v>16</v>
      </c>
      <c r="C45">
        <v>1</v>
      </c>
      <c r="D45">
        <v>1</v>
      </c>
      <c r="E45">
        <v>1</v>
      </c>
      <c r="F45">
        <v>1</v>
      </c>
      <c r="G45">
        <v>1</v>
      </c>
      <c r="H45" t="s">
        <v>20</v>
      </c>
      <c r="I45">
        <v>7389466.408874427</v>
      </c>
      <c r="J45">
        <v>156861217741.9549</v>
      </c>
      <c r="K45">
        <v>1013742422.9674603</v>
      </c>
      <c r="L45">
        <v>4755083.9327514647</v>
      </c>
      <c r="M45">
        <v>0.15366666267315546</v>
      </c>
      <c r="N45">
        <v>27.238685740982554</v>
      </c>
    </row>
    <row r="46" spans="1:14" x14ac:dyDescent="0.35">
      <c r="A46">
        <v>5.8</v>
      </c>
      <c r="B46" t="s">
        <v>13</v>
      </c>
      <c r="C46">
        <v>1</v>
      </c>
      <c r="D46">
        <v>1</v>
      </c>
      <c r="E46">
        <v>0</v>
      </c>
      <c r="F46">
        <v>1</v>
      </c>
      <c r="G46">
        <v>0</v>
      </c>
      <c r="H46" t="s">
        <v>20</v>
      </c>
      <c r="I46">
        <v>9120047.8892628551</v>
      </c>
      <c r="J46">
        <v>367039964132.29645</v>
      </c>
      <c r="K46">
        <v>2131741255.0976365</v>
      </c>
      <c r="L46">
        <v>97514973.049085736</v>
      </c>
      <c r="M46">
        <v>0.87029998749494553</v>
      </c>
      <c r="N46">
        <v>54.398168261715469</v>
      </c>
    </row>
    <row r="47" spans="1:14" x14ac:dyDescent="0.35">
      <c r="A47">
        <v>5.8</v>
      </c>
      <c r="B47" t="s">
        <v>14</v>
      </c>
      <c r="C47">
        <v>1</v>
      </c>
      <c r="D47">
        <v>0</v>
      </c>
      <c r="E47">
        <v>0</v>
      </c>
      <c r="F47">
        <v>1</v>
      </c>
      <c r="G47">
        <v>1</v>
      </c>
      <c r="H47" t="s">
        <v>20</v>
      </c>
      <c r="I47">
        <v>6562222.9992193086</v>
      </c>
      <c r="J47">
        <v>207206542128.23523</v>
      </c>
      <c r="K47">
        <v>1367726977.6843987</v>
      </c>
      <c r="L47">
        <v>633261100.66012037</v>
      </c>
      <c r="M47">
        <v>0.98423333217700326</v>
      </c>
      <c r="N47">
        <v>37.866592648687778</v>
      </c>
    </row>
    <row r="48" spans="1:14" x14ac:dyDescent="0.35">
      <c r="A48">
        <v>5.8</v>
      </c>
      <c r="B48" t="s">
        <v>15</v>
      </c>
      <c r="C48">
        <v>1</v>
      </c>
      <c r="D48">
        <v>1</v>
      </c>
      <c r="E48">
        <v>0</v>
      </c>
      <c r="F48">
        <v>1</v>
      </c>
      <c r="G48">
        <v>1</v>
      </c>
      <c r="H48" t="s">
        <v>20</v>
      </c>
      <c r="I48">
        <v>7201348.3070763284</v>
      </c>
      <c r="J48">
        <v>227119446607.7919</v>
      </c>
      <c r="K48">
        <v>836464303.36040437</v>
      </c>
      <c r="L48">
        <v>394461006.1695233</v>
      </c>
      <c r="M48">
        <v>1.0059999749064445</v>
      </c>
      <c r="N48">
        <v>33.764650650894751</v>
      </c>
    </row>
    <row r="49" spans="1:14" x14ac:dyDescent="0.35">
      <c r="A49">
        <v>5.8</v>
      </c>
      <c r="B49" t="s">
        <v>16</v>
      </c>
      <c r="C49">
        <v>1</v>
      </c>
      <c r="D49">
        <v>1</v>
      </c>
      <c r="E49">
        <v>1</v>
      </c>
      <c r="F49">
        <v>1</v>
      </c>
      <c r="G49">
        <v>1</v>
      </c>
      <c r="H49" t="s">
        <v>20</v>
      </c>
      <c r="I49">
        <v>5836112.7406851305</v>
      </c>
      <c r="J49">
        <v>112678506285.51256</v>
      </c>
      <c r="K49">
        <v>625578826.36108029</v>
      </c>
      <c r="L49">
        <v>266356563.28541553</v>
      </c>
      <c r="M49">
        <v>1.1526999697089195</v>
      </c>
      <c r="N49">
        <v>18.748089357941531</v>
      </c>
    </row>
    <row r="50" spans="1:14" x14ac:dyDescent="0.35">
      <c r="A50">
        <v>4.8</v>
      </c>
      <c r="B50" t="s">
        <v>17</v>
      </c>
      <c r="C50">
        <v>1</v>
      </c>
      <c r="D50">
        <v>0</v>
      </c>
      <c r="E50">
        <v>1</v>
      </c>
      <c r="F50">
        <v>0</v>
      </c>
      <c r="G50">
        <v>0</v>
      </c>
      <c r="H50" t="s">
        <v>10</v>
      </c>
      <c r="I50">
        <v>162453.97830454024</v>
      </c>
      <c r="J50">
        <v>16090310500.330359</v>
      </c>
      <c r="K50">
        <v>369107.84569432522</v>
      </c>
      <c r="L50">
        <v>281372.72751007992</v>
      </c>
      <c r="M50">
        <v>9.2466674745082855E-2</v>
      </c>
      <c r="N50">
        <v>3.974256165731433</v>
      </c>
    </row>
    <row r="51" spans="1:14" x14ac:dyDescent="0.35">
      <c r="A51">
        <v>4.8</v>
      </c>
      <c r="B51" t="s">
        <v>18</v>
      </c>
      <c r="C51">
        <v>1</v>
      </c>
      <c r="D51">
        <v>0</v>
      </c>
      <c r="E51">
        <v>1</v>
      </c>
      <c r="F51">
        <v>1</v>
      </c>
      <c r="G51">
        <v>0</v>
      </c>
      <c r="H51" t="s">
        <v>10</v>
      </c>
      <c r="I51">
        <v>183715.87308043442</v>
      </c>
      <c r="J51">
        <v>12037307797.805716</v>
      </c>
      <c r="K51">
        <v>271916.90598587523</v>
      </c>
      <c r="L51">
        <v>432236.05887238303</v>
      </c>
      <c r="M51">
        <v>0.12036666522423427</v>
      </c>
      <c r="N51">
        <v>4.585149036729204</v>
      </c>
    </row>
    <row r="52" spans="1:14" x14ac:dyDescent="0.35">
      <c r="A52">
        <v>5.8</v>
      </c>
      <c r="B52" t="s">
        <v>17</v>
      </c>
      <c r="C52">
        <v>1</v>
      </c>
      <c r="D52">
        <v>0</v>
      </c>
      <c r="E52">
        <v>1</v>
      </c>
      <c r="F52">
        <v>0</v>
      </c>
      <c r="G52">
        <v>0</v>
      </c>
      <c r="H52" t="s">
        <v>10</v>
      </c>
      <c r="I52">
        <v>585142.93006180378</v>
      </c>
      <c r="J52">
        <v>423323764093.68121</v>
      </c>
      <c r="K52">
        <v>356514919.24384135</v>
      </c>
      <c r="L52">
        <v>213073033.07478788</v>
      </c>
      <c r="M52">
        <v>0.36850001166264218</v>
      </c>
      <c r="N52">
        <v>28.414858148610264</v>
      </c>
    </row>
    <row r="53" spans="1:14" x14ac:dyDescent="0.35">
      <c r="A53">
        <v>5.8</v>
      </c>
      <c r="B53" t="s">
        <v>18</v>
      </c>
      <c r="C53">
        <v>1</v>
      </c>
      <c r="D53">
        <v>0</v>
      </c>
      <c r="E53">
        <v>1</v>
      </c>
      <c r="F53">
        <v>1</v>
      </c>
      <c r="G53">
        <v>0</v>
      </c>
      <c r="H53" t="s">
        <v>10</v>
      </c>
      <c r="I53">
        <v>776682.04129460268</v>
      </c>
      <c r="J53">
        <v>246105273325.88013</v>
      </c>
      <c r="K53">
        <v>580172127.23211288</v>
      </c>
      <c r="L53">
        <v>36628378.53953892</v>
      </c>
      <c r="M53">
        <v>0.93390000611543655</v>
      </c>
      <c r="N53">
        <v>38.804924098540354</v>
      </c>
    </row>
    <row r="54" spans="1:14" x14ac:dyDescent="0.35">
      <c r="A54">
        <v>4.8</v>
      </c>
      <c r="B54" t="s">
        <v>17</v>
      </c>
      <c r="C54">
        <v>1</v>
      </c>
      <c r="D54">
        <v>0</v>
      </c>
      <c r="E54">
        <v>1</v>
      </c>
      <c r="F54">
        <v>0</v>
      </c>
      <c r="G54">
        <v>0</v>
      </c>
      <c r="H54" t="s">
        <v>19</v>
      </c>
      <c r="I54">
        <v>-874572.75936368678</v>
      </c>
      <c r="J54">
        <v>-10058596631.942633</v>
      </c>
      <c r="K54">
        <v>-143001.73524930491</v>
      </c>
      <c r="L54">
        <v>-18091.623890499231</v>
      </c>
      <c r="M54">
        <v>6.9666671256224319E-2</v>
      </c>
      <c r="N54">
        <v>0.65919246810133847</v>
      </c>
    </row>
    <row r="55" spans="1:14" x14ac:dyDescent="0.35">
      <c r="A55">
        <v>4.8</v>
      </c>
      <c r="B55" t="s">
        <v>18</v>
      </c>
      <c r="C55">
        <v>1</v>
      </c>
      <c r="D55">
        <v>0</v>
      </c>
      <c r="E55">
        <v>1</v>
      </c>
      <c r="F55">
        <v>1</v>
      </c>
      <c r="G55">
        <v>0</v>
      </c>
      <c r="H55" t="s">
        <v>19</v>
      </c>
      <c r="I55">
        <v>-6754330.6840845793</v>
      </c>
      <c r="J55">
        <v>-74645500049.432587</v>
      </c>
      <c r="K55">
        <v>-4165653.7309139655</v>
      </c>
      <c r="L55">
        <v>-2807747.5191964097</v>
      </c>
      <c r="M55">
        <v>7.3866662879784897E-2</v>
      </c>
      <c r="N55">
        <v>0.60972241239108915</v>
      </c>
    </row>
    <row r="56" spans="1:14" x14ac:dyDescent="0.35">
      <c r="A56">
        <v>5.8</v>
      </c>
      <c r="B56" t="s">
        <v>17</v>
      </c>
      <c r="C56">
        <v>1</v>
      </c>
      <c r="D56">
        <v>0</v>
      </c>
      <c r="E56">
        <v>1</v>
      </c>
      <c r="F56">
        <v>0</v>
      </c>
      <c r="G56">
        <v>0</v>
      </c>
      <c r="H56" t="s">
        <v>19</v>
      </c>
      <c r="I56">
        <v>251222.30375990554</v>
      </c>
      <c r="J56">
        <v>42936175551.692955</v>
      </c>
      <c r="K56">
        <v>209808687.62493929</v>
      </c>
      <c r="L56">
        <v>15997749.300035544</v>
      </c>
      <c r="M56">
        <v>0.24569999923308691</v>
      </c>
      <c r="N56">
        <v>7.2437548113115042</v>
      </c>
    </row>
    <row r="57" spans="1:14" x14ac:dyDescent="0.35">
      <c r="A57">
        <v>5.8</v>
      </c>
      <c r="B57" t="s">
        <v>18</v>
      </c>
      <c r="C57">
        <v>1</v>
      </c>
      <c r="D57">
        <v>0</v>
      </c>
      <c r="E57">
        <v>1</v>
      </c>
      <c r="F57">
        <v>1</v>
      </c>
      <c r="G57">
        <v>0</v>
      </c>
      <c r="H57" t="s">
        <v>19</v>
      </c>
      <c r="I57">
        <v>197021.75532044566</v>
      </c>
      <c r="J57">
        <v>19752656948.12228</v>
      </c>
      <c r="K57">
        <v>218079717.45572022</v>
      </c>
      <c r="L57">
        <v>344097.81571339071</v>
      </c>
      <c r="M57">
        <v>0.7837333157658577</v>
      </c>
      <c r="N57">
        <v>6.0936471661797</v>
      </c>
    </row>
    <row r="58" spans="1:14" x14ac:dyDescent="0.35">
      <c r="A58">
        <v>4.8</v>
      </c>
      <c r="B58" t="s">
        <v>17</v>
      </c>
      <c r="C58">
        <v>1</v>
      </c>
      <c r="D58">
        <v>0</v>
      </c>
      <c r="E58">
        <v>1</v>
      </c>
      <c r="F58">
        <v>0</v>
      </c>
      <c r="G58">
        <v>0</v>
      </c>
      <c r="H58" t="s">
        <v>20</v>
      </c>
      <c r="I58">
        <v>153591.95554465707</v>
      </c>
      <c r="J58">
        <v>9211286149.3310852</v>
      </c>
      <c r="K58">
        <v>10002517.435470229</v>
      </c>
      <c r="L58">
        <v>255684.36519240434</v>
      </c>
      <c r="M58">
        <v>8.4666671852270767E-2</v>
      </c>
      <c r="N58">
        <v>3.4073475814455012</v>
      </c>
    </row>
    <row r="59" spans="1:14" x14ac:dyDescent="0.35">
      <c r="A59">
        <v>4.8</v>
      </c>
      <c r="B59" t="s">
        <v>18</v>
      </c>
      <c r="C59">
        <v>1</v>
      </c>
      <c r="D59">
        <v>0</v>
      </c>
      <c r="E59">
        <v>1</v>
      </c>
      <c r="F59">
        <v>1</v>
      </c>
      <c r="G59">
        <v>0</v>
      </c>
      <c r="H59" t="s">
        <v>20</v>
      </c>
      <c r="I59">
        <v>178134.87444313313</v>
      </c>
      <c r="J59">
        <v>12600809112.526054</v>
      </c>
      <c r="K59">
        <v>23866920.345743675</v>
      </c>
      <c r="L59">
        <v>382843.59867677162</v>
      </c>
      <c r="M59">
        <v>9.9999996523062393E-2</v>
      </c>
      <c r="N59">
        <v>5.1373961921111899</v>
      </c>
    </row>
    <row r="60" spans="1:14" x14ac:dyDescent="0.35">
      <c r="A60">
        <v>5.8</v>
      </c>
      <c r="B60" t="s">
        <v>17</v>
      </c>
      <c r="C60">
        <v>1</v>
      </c>
      <c r="D60">
        <v>0</v>
      </c>
      <c r="E60">
        <v>1</v>
      </c>
      <c r="F60">
        <v>0</v>
      </c>
      <c r="G60">
        <v>0</v>
      </c>
      <c r="H60" t="s">
        <v>20</v>
      </c>
      <c r="I60">
        <v>5389414.4084567456</v>
      </c>
      <c r="J60">
        <v>1257228100661.8428</v>
      </c>
      <c r="K60">
        <v>97281194.532479763</v>
      </c>
      <c r="L60">
        <v>2217876661.7274585</v>
      </c>
      <c r="M60">
        <v>0.37246667097012204</v>
      </c>
      <c r="N60">
        <v>143.5852693320781</v>
      </c>
    </row>
    <row r="61" spans="1:14" x14ac:dyDescent="0.35">
      <c r="A61">
        <v>5.8</v>
      </c>
      <c r="B61" t="s">
        <v>18</v>
      </c>
      <c r="C61">
        <v>1</v>
      </c>
      <c r="D61">
        <v>0</v>
      </c>
      <c r="E61">
        <v>1</v>
      </c>
      <c r="F61">
        <v>1</v>
      </c>
      <c r="G61">
        <v>0</v>
      </c>
      <c r="H61" t="s">
        <v>20</v>
      </c>
      <c r="I61">
        <v>4276945.796150296</v>
      </c>
      <c r="J61">
        <v>631011510454.75012</v>
      </c>
      <c r="K61">
        <v>665842697.809762</v>
      </c>
      <c r="L61">
        <v>2618703554.2987342</v>
      </c>
      <c r="M61">
        <v>0.45986667027076084</v>
      </c>
      <c r="N61">
        <v>145.95227557623744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OD+pH</vt:lpstr>
      <vt:lpstr>OD+DNA.conc.</vt:lpstr>
      <vt:lpstr>qPCR_All</vt:lpstr>
      <vt:lpstr>OD_Entero</vt:lpstr>
      <vt:lpstr>Heatmap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Van Der Meer</dc:creator>
  <cp:lastModifiedBy>Mila Van Der Meer</cp:lastModifiedBy>
  <dcterms:created xsi:type="dcterms:W3CDTF">2025-11-13T10:14:57Z</dcterms:created>
  <dcterms:modified xsi:type="dcterms:W3CDTF">2025-11-27T10:50:23Z</dcterms:modified>
</cp:coreProperties>
</file>