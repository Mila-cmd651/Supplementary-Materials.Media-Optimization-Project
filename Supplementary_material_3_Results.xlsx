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mmi\Documents\ETHZ\Autumn 2025\Research project\"/>
    </mc:Choice>
  </mc:AlternateContent>
  <xr:revisionPtr revIDLastSave="0" documentId="13_ncr:1_{7D5716C6-1C07-47A6-B11A-83DE7F1BFCE4}" xr6:coauthVersionLast="47" xr6:coauthVersionMax="47" xr10:uidLastSave="{00000000-0000-0000-0000-000000000000}"/>
  <bookViews>
    <workbookView xWindow="-110" yWindow="-110" windowWidth="22620" windowHeight="13500" activeTab="9" xr2:uid="{DD6CB84A-3280-4A92-896B-5321AB76AD5A}"/>
  </bookViews>
  <sheets>
    <sheet name="1" sheetId="5" r:id="rId1"/>
    <sheet name="2" sheetId="4" r:id="rId2"/>
    <sheet name="3" sheetId="8" r:id="rId3"/>
    <sheet name="4" sheetId="20" r:id="rId4"/>
    <sheet name="5" sheetId="12" r:id="rId5"/>
    <sheet name="6" sheetId="22" r:id="rId6"/>
    <sheet name="7" sheetId="19" r:id="rId7"/>
    <sheet name="8" sheetId="23" r:id="rId8"/>
    <sheet name="9" sheetId="25" r:id="rId9"/>
    <sheet name="10" sheetId="2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8" i="22" l="1"/>
  <c r="Q298" i="22"/>
  <c r="R298" i="22" s="1"/>
  <c r="T298" i="22" s="1"/>
  <c r="Q297" i="22"/>
  <c r="R297" i="22" s="1"/>
  <c r="T297" i="22" s="1"/>
  <c r="Q296" i="22"/>
  <c r="R296" i="22" s="1"/>
  <c r="T296" i="22" s="1"/>
  <c r="W295" i="22"/>
  <c r="Q295" i="22"/>
  <c r="R295" i="22" s="1"/>
  <c r="T295" i="22" s="1"/>
  <c r="Q294" i="22"/>
  <c r="R294" i="22" s="1"/>
  <c r="T294" i="22" s="1"/>
  <c r="Q293" i="22"/>
  <c r="R293" i="22" s="1"/>
  <c r="T293" i="22" s="1"/>
  <c r="W292" i="22"/>
  <c r="Q292" i="22"/>
  <c r="R292" i="22" s="1"/>
  <c r="T292" i="22" s="1"/>
  <c r="Q291" i="22"/>
  <c r="R291" i="22" s="1"/>
  <c r="T291" i="22" s="1"/>
  <c r="Q290" i="22"/>
  <c r="R290" i="22" s="1"/>
  <c r="T290" i="22" s="1"/>
  <c r="V292" i="22" s="1"/>
  <c r="W289" i="22"/>
  <c r="Q289" i="22"/>
  <c r="R289" i="22" s="1"/>
  <c r="T289" i="22" s="1"/>
  <c r="Q288" i="22"/>
  <c r="R288" i="22" s="1"/>
  <c r="T288" i="22" s="1"/>
  <c r="Q287" i="22"/>
  <c r="R287" i="22" s="1"/>
  <c r="T287" i="22" s="1"/>
  <c r="V289" i="22" s="1"/>
  <c r="W286" i="22"/>
  <c r="R286" i="22"/>
  <c r="T286" i="22" s="1"/>
  <c r="Q286" i="22"/>
  <c r="Q285" i="22"/>
  <c r="R285" i="22" s="1"/>
  <c r="T285" i="22" s="1"/>
  <c r="R284" i="22"/>
  <c r="T284" i="22" s="1"/>
  <c r="Q284" i="22"/>
  <c r="W283" i="22"/>
  <c r="Q283" i="22"/>
  <c r="R283" i="22" s="1"/>
  <c r="T283" i="22" s="1"/>
  <c r="Q282" i="22"/>
  <c r="R282" i="22" s="1"/>
  <c r="T282" i="22" s="1"/>
  <c r="Q281" i="22"/>
  <c r="R281" i="22" s="1"/>
  <c r="T281" i="22" s="1"/>
  <c r="W280" i="22"/>
  <c r="Q280" i="22"/>
  <c r="R280" i="22" s="1"/>
  <c r="T280" i="22" s="1"/>
  <c r="Q279" i="22"/>
  <c r="R279" i="22" s="1"/>
  <c r="T279" i="22" s="1"/>
  <c r="Q278" i="22"/>
  <c r="R278" i="22" s="1"/>
  <c r="T278" i="22" s="1"/>
  <c r="V280" i="22" s="1"/>
  <c r="W277" i="22"/>
  <c r="R277" i="22"/>
  <c r="T277" i="22" s="1"/>
  <c r="Q277" i="22"/>
  <c r="Q276" i="22"/>
  <c r="R276" i="22" s="1"/>
  <c r="T276" i="22" s="1"/>
  <c r="R275" i="22"/>
  <c r="T275" i="22" s="1"/>
  <c r="Q275" i="22"/>
  <c r="W274" i="22"/>
  <c r="R274" i="22"/>
  <c r="T274" i="22" s="1"/>
  <c r="Q274" i="22"/>
  <c r="Q273" i="22"/>
  <c r="R273" i="22" s="1"/>
  <c r="T273" i="22" s="1"/>
  <c r="R272" i="22"/>
  <c r="T272" i="22" s="1"/>
  <c r="Q272" i="22"/>
  <c r="W271" i="22"/>
  <c r="Q271" i="22"/>
  <c r="R271" i="22" s="1"/>
  <c r="T271" i="22" s="1"/>
  <c r="Q270" i="22"/>
  <c r="R270" i="22" s="1"/>
  <c r="T270" i="22" s="1"/>
  <c r="Q269" i="22"/>
  <c r="R269" i="22" s="1"/>
  <c r="T269" i="22" s="1"/>
  <c r="W268" i="22"/>
  <c r="R268" i="22"/>
  <c r="T268" i="22" s="1"/>
  <c r="Q268" i="22"/>
  <c r="Q267" i="22"/>
  <c r="R267" i="22" s="1"/>
  <c r="T267" i="22" s="1"/>
  <c r="R266" i="22"/>
  <c r="T266" i="22" s="1"/>
  <c r="Q266" i="22"/>
  <c r="W265" i="22"/>
  <c r="R265" i="22"/>
  <c r="T265" i="22" s="1"/>
  <c r="Q265" i="22"/>
  <c r="Q264" i="22"/>
  <c r="R264" i="22" s="1"/>
  <c r="T264" i="22" s="1"/>
  <c r="R263" i="22"/>
  <c r="T263" i="22" s="1"/>
  <c r="Q263" i="22"/>
  <c r="W262" i="22"/>
  <c r="R262" i="22"/>
  <c r="T262" i="22" s="1"/>
  <c r="Q262" i="22"/>
  <c r="Q261" i="22"/>
  <c r="R261" i="22" s="1"/>
  <c r="T261" i="22" s="1"/>
  <c r="Q260" i="22"/>
  <c r="R260" i="22" s="1"/>
  <c r="T260" i="22" s="1"/>
  <c r="W259" i="22"/>
  <c r="Q259" i="22"/>
  <c r="R259" i="22" s="1"/>
  <c r="T259" i="22" s="1"/>
  <c r="Q258" i="22"/>
  <c r="R258" i="22" s="1"/>
  <c r="T258" i="22" s="1"/>
  <c r="Q257" i="22"/>
  <c r="R257" i="22" s="1"/>
  <c r="T257" i="22" s="1"/>
  <c r="W256" i="22"/>
  <c r="R256" i="22"/>
  <c r="T256" i="22" s="1"/>
  <c r="Q256" i="22"/>
  <c r="Q255" i="22"/>
  <c r="R255" i="22" s="1"/>
  <c r="T255" i="22" s="1"/>
  <c r="R254" i="22"/>
  <c r="T254" i="22" s="1"/>
  <c r="Q254" i="22"/>
  <c r="W253" i="22"/>
  <c r="R253" i="22"/>
  <c r="T253" i="22" s="1"/>
  <c r="Q253" i="22"/>
  <c r="Q252" i="22"/>
  <c r="R252" i="22" s="1"/>
  <c r="T252" i="22" s="1"/>
  <c r="Q251" i="22"/>
  <c r="R251" i="22" s="1"/>
  <c r="T251" i="22" s="1"/>
  <c r="V253" i="22" s="1"/>
  <c r="W250" i="22"/>
  <c r="Q250" i="22"/>
  <c r="R250" i="22" s="1"/>
  <c r="T250" i="22" s="1"/>
  <c r="Q249" i="22"/>
  <c r="R249" i="22" s="1"/>
  <c r="T249" i="22" s="1"/>
  <c r="Q248" i="22"/>
  <c r="R248" i="22" s="1"/>
  <c r="T248" i="22" s="1"/>
  <c r="W247" i="22"/>
  <c r="Q247" i="22"/>
  <c r="R247" i="22" s="1"/>
  <c r="T247" i="22" s="1"/>
  <c r="Q246" i="22"/>
  <c r="R246" i="22" s="1"/>
  <c r="T246" i="22" s="1"/>
  <c r="Q245" i="22"/>
  <c r="R245" i="22" s="1"/>
  <c r="T245" i="22" s="1"/>
  <c r="W244" i="22"/>
  <c r="R244" i="22"/>
  <c r="T244" i="22" s="1"/>
  <c r="Q244" i="22"/>
  <c r="Q243" i="22"/>
  <c r="R243" i="22" s="1"/>
  <c r="T243" i="22" s="1"/>
  <c r="Q242" i="22"/>
  <c r="R242" i="22" s="1"/>
  <c r="T242" i="22" s="1"/>
  <c r="V244" i="22" s="1"/>
  <c r="W241" i="22"/>
  <c r="Q241" i="22"/>
  <c r="R241" i="22" s="1"/>
  <c r="T241" i="22" s="1"/>
  <c r="Q240" i="22"/>
  <c r="R240" i="22" s="1"/>
  <c r="T240" i="22" s="1"/>
  <c r="Q239" i="22"/>
  <c r="R239" i="22" s="1"/>
  <c r="T239" i="22" s="1"/>
  <c r="V241" i="22" s="1"/>
  <c r="W238" i="22"/>
  <c r="Q238" i="22"/>
  <c r="R238" i="22" s="1"/>
  <c r="T238" i="22" s="1"/>
  <c r="Q237" i="22"/>
  <c r="R237" i="22" s="1"/>
  <c r="T237" i="22" s="1"/>
  <c r="Q236" i="22"/>
  <c r="R236" i="22" s="1"/>
  <c r="T236" i="22" s="1"/>
  <c r="W235" i="22"/>
  <c r="Q235" i="22"/>
  <c r="R235" i="22" s="1"/>
  <c r="T235" i="22" s="1"/>
  <c r="Q234" i="22"/>
  <c r="R234" i="22" s="1"/>
  <c r="T234" i="22" s="1"/>
  <c r="Q233" i="22"/>
  <c r="R233" i="22" s="1"/>
  <c r="T233" i="22" s="1"/>
  <c r="W232" i="22"/>
  <c r="Q232" i="22"/>
  <c r="R232" i="22" s="1"/>
  <c r="T232" i="22" s="1"/>
  <c r="Q231" i="22"/>
  <c r="R231" i="22" s="1"/>
  <c r="T231" i="22" s="1"/>
  <c r="Q230" i="22"/>
  <c r="R230" i="22" s="1"/>
  <c r="T230" i="22" s="1"/>
  <c r="V232" i="22" s="1"/>
  <c r="W229" i="22"/>
  <c r="Q229" i="22"/>
  <c r="R229" i="22" s="1"/>
  <c r="T229" i="22" s="1"/>
  <c r="Q228" i="22"/>
  <c r="R228" i="22" s="1"/>
  <c r="T228" i="22" s="1"/>
  <c r="Q227" i="22"/>
  <c r="R227" i="22" s="1"/>
  <c r="T227" i="22" s="1"/>
  <c r="V229" i="22" s="1"/>
  <c r="W226" i="22"/>
  <c r="R226" i="22"/>
  <c r="T226" i="22" s="1"/>
  <c r="Q226" i="22"/>
  <c r="Q225" i="22"/>
  <c r="R225" i="22" s="1"/>
  <c r="T225" i="22" s="1"/>
  <c r="Q224" i="22"/>
  <c r="R224" i="22" s="1"/>
  <c r="T224" i="22" s="1"/>
  <c r="W223" i="22"/>
  <c r="Q223" i="22"/>
  <c r="R223" i="22" s="1"/>
  <c r="T223" i="22" s="1"/>
  <c r="Q222" i="22"/>
  <c r="R222" i="22" s="1"/>
  <c r="T222" i="22" s="1"/>
  <c r="Q221" i="22"/>
  <c r="R221" i="22" s="1"/>
  <c r="T221" i="22" s="1"/>
  <c r="W220" i="22"/>
  <c r="Q220" i="22"/>
  <c r="R220" i="22" s="1"/>
  <c r="T220" i="22" s="1"/>
  <c r="Q219" i="22"/>
  <c r="R219" i="22" s="1"/>
  <c r="T219" i="22" s="1"/>
  <c r="Q218" i="22"/>
  <c r="R218" i="22" s="1"/>
  <c r="T218" i="22" s="1"/>
  <c r="V220" i="22" s="1"/>
  <c r="W217" i="22"/>
  <c r="R217" i="22"/>
  <c r="T217" i="22" s="1"/>
  <c r="Q217" i="22"/>
  <c r="Q216" i="22"/>
  <c r="R216" i="22" s="1"/>
  <c r="T216" i="22" s="1"/>
  <c r="Q215" i="22"/>
  <c r="R215" i="22" s="1"/>
  <c r="T215" i="22" s="1"/>
  <c r="W214" i="22"/>
  <c r="Q214" i="22"/>
  <c r="R214" i="22" s="1"/>
  <c r="T214" i="22" s="1"/>
  <c r="Q213" i="22"/>
  <c r="R213" i="22" s="1"/>
  <c r="T213" i="22" s="1"/>
  <c r="Q212" i="22"/>
  <c r="R212" i="22" s="1"/>
  <c r="T212" i="22" s="1"/>
  <c r="W211" i="22"/>
  <c r="Q211" i="22"/>
  <c r="R211" i="22" s="1"/>
  <c r="T211" i="22" s="1"/>
  <c r="Q210" i="22"/>
  <c r="R210" i="22" s="1"/>
  <c r="T210" i="22" s="1"/>
  <c r="Q209" i="22"/>
  <c r="R209" i="22" s="1"/>
  <c r="T209" i="22" s="1"/>
  <c r="W208" i="22"/>
  <c r="R208" i="22"/>
  <c r="T208" i="22" s="1"/>
  <c r="Q208" i="22"/>
  <c r="Q207" i="22"/>
  <c r="R207" i="22" s="1"/>
  <c r="T207" i="22" s="1"/>
  <c r="Q206" i="22"/>
  <c r="R206" i="22" s="1"/>
  <c r="T206" i="22" s="1"/>
  <c r="W205" i="22"/>
  <c r="Q205" i="22"/>
  <c r="R205" i="22" s="1"/>
  <c r="T205" i="22" s="1"/>
  <c r="Q204" i="22"/>
  <c r="R204" i="22" s="1"/>
  <c r="T204" i="22" s="1"/>
  <c r="Q203" i="22"/>
  <c r="R203" i="22" s="1"/>
  <c r="T203" i="22" s="1"/>
  <c r="W202" i="22"/>
  <c r="Q202" i="22"/>
  <c r="R202" i="22" s="1"/>
  <c r="T202" i="22" s="1"/>
  <c r="Q201" i="22"/>
  <c r="R201" i="22" s="1"/>
  <c r="T201" i="22" s="1"/>
  <c r="Q200" i="22"/>
  <c r="R200" i="22" s="1"/>
  <c r="T200" i="22" s="1"/>
  <c r="W199" i="22"/>
  <c r="Q199" i="22"/>
  <c r="R199" i="22" s="1"/>
  <c r="T199" i="22" s="1"/>
  <c r="Q198" i="22"/>
  <c r="R198" i="22" s="1"/>
  <c r="T198" i="22" s="1"/>
  <c r="Q197" i="22"/>
  <c r="R197" i="22" s="1"/>
  <c r="T197" i="22" s="1"/>
  <c r="W196" i="22"/>
  <c r="Q196" i="22"/>
  <c r="R196" i="22" s="1"/>
  <c r="T196" i="22" s="1"/>
  <c r="Q195" i="22"/>
  <c r="R195" i="22" s="1"/>
  <c r="T195" i="22" s="1"/>
  <c r="Q194" i="22"/>
  <c r="R194" i="22" s="1"/>
  <c r="T194" i="22" s="1"/>
  <c r="W193" i="22"/>
  <c r="Q193" i="22"/>
  <c r="R193" i="22" s="1"/>
  <c r="T193" i="22" s="1"/>
  <c r="Q192" i="22"/>
  <c r="R192" i="22" s="1"/>
  <c r="T192" i="22" s="1"/>
  <c r="Q191" i="22"/>
  <c r="R191" i="22" s="1"/>
  <c r="T191" i="22" s="1"/>
  <c r="V193" i="22" s="1"/>
  <c r="W190" i="22"/>
  <c r="R190" i="22"/>
  <c r="T190" i="22" s="1"/>
  <c r="Q190" i="22"/>
  <c r="Q189" i="22"/>
  <c r="R189" i="22" s="1"/>
  <c r="T189" i="22" s="1"/>
  <c r="R188" i="22"/>
  <c r="T188" i="22" s="1"/>
  <c r="Q188" i="22"/>
  <c r="W187" i="22"/>
  <c r="Q187" i="22"/>
  <c r="R187" i="22" s="1"/>
  <c r="T187" i="22" s="1"/>
  <c r="Q186" i="22"/>
  <c r="R186" i="22" s="1"/>
  <c r="T186" i="22" s="1"/>
  <c r="Q185" i="22"/>
  <c r="R185" i="22" s="1"/>
  <c r="T185" i="22" s="1"/>
  <c r="W184" i="22"/>
  <c r="Q184" i="22"/>
  <c r="R184" i="22" s="1"/>
  <c r="T184" i="22" s="1"/>
  <c r="Q183" i="22"/>
  <c r="R183" i="22" s="1"/>
  <c r="T183" i="22" s="1"/>
  <c r="Q182" i="22"/>
  <c r="R182" i="22" s="1"/>
  <c r="T182" i="22" s="1"/>
  <c r="V184" i="22" s="1"/>
  <c r="W181" i="22"/>
  <c r="R181" i="22"/>
  <c r="T181" i="22" s="1"/>
  <c r="Q181" i="22"/>
  <c r="Q180" i="22"/>
  <c r="R180" i="22" s="1"/>
  <c r="T180" i="22" s="1"/>
  <c r="R179" i="22"/>
  <c r="T179" i="22" s="1"/>
  <c r="Q179" i="22"/>
  <c r="W178" i="22"/>
  <c r="R178" i="22"/>
  <c r="T178" i="22" s="1"/>
  <c r="Q178" i="22"/>
  <c r="Q177" i="22"/>
  <c r="R177" i="22" s="1"/>
  <c r="T177" i="22" s="1"/>
  <c r="R176" i="22"/>
  <c r="T176" i="22" s="1"/>
  <c r="Q176" i="22"/>
  <c r="W175" i="22"/>
  <c r="Q175" i="22"/>
  <c r="R175" i="22" s="1"/>
  <c r="T175" i="22" s="1"/>
  <c r="Q174" i="22"/>
  <c r="R174" i="22" s="1"/>
  <c r="T174" i="22" s="1"/>
  <c r="Q173" i="22"/>
  <c r="R173" i="22" s="1"/>
  <c r="T173" i="22" s="1"/>
  <c r="W172" i="22"/>
  <c r="R172" i="22"/>
  <c r="T172" i="22" s="1"/>
  <c r="Q172" i="22"/>
  <c r="Q171" i="22"/>
  <c r="R171" i="22" s="1"/>
  <c r="T171" i="22" s="1"/>
  <c r="R170" i="22"/>
  <c r="T170" i="22" s="1"/>
  <c r="Q170" i="22"/>
  <c r="W169" i="22"/>
  <c r="R169" i="22"/>
  <c r="T169" i="22" s="1"/>
  <c r="Q169" i="22"/>
  <c r="Q168" i="22"/>
  <c r="R168" i="22" s="1"/>
  <c r="T168" i="22" s="1"/>
  <c r="R167" i="22"/>
  <c r="T167" i="22" s="1"/>
  <c r="Q167" i="22"/>
  <c r="W166" i="22"/>
  <c r="R166" i="22"/>
  <c r="T166" i="22" s="1"/>
  <c r="Q166" i="22"/>
  <c r="Q165" i="22"/>
  <c r="R165" i="22" s="1"/>
  <c r="T165" i="22" s="1"/>
  <c r="Q164" i="22"/>
  <c r="R164" i="22" s="1"/>
  <c r="T164" i="22" s="1"/>
  <c r="W163" i="22"/>
  <c r="Q163" i="22"/>
  <c r="R163" i="22" s="1"/>
  <c r="T163" i="22" s="1"/>
  <c r="Q162" i="22"/>
  <c r="R162" i="22" s="1"/>
  <c r="T162" i="22" s="1"/>
  <c r="Q161" i="22"/>
  <c r="R161" i="22" s="1"/>
  <c r="T161" i="22" s="1"/>
  <c r="W160" i="22"/>
  <c r="R160" i="22"/>
  <c r="T160" i="22" s="1"/>
  <c r="Q160" i="22"/>
  <c r="Q159" i="22"/>
  <c r="R159" i="22" s="1"/>
  <c r="T159" i="22" s="1"/>
  <c r="R158" i="22"/>
  <c r="T158" i="22" s="1"/>
  <c r="Q158" i="22"/>
  <c r="W157" i="22"/>
  <c r="R157" i="22"/>
  <c r="T157" i="22" s="1"/>
  <c r="Q157" i="22"/>
  <c r="Q156" i="22"/>
  <c r="R156" i="22" s="1"/>
  <c r="T156" i="22" s="1"/>
  <c r="Q155" i="22"/>
  <c r="R155" i="22" s="1"/>
  <c r="T155" i="22" s="1"/>
  <c r="V157" i="22" s="1"/>
  <c r="W154" i="22"/>
  <c r="Q154" i="22"/>
  <c r="R154" i="22" s="1"/>
  <c r="T154" i="22" s="1"/>
  <c r="Q153" i="22"/>
  <c r="R153" i="22" s="1"/>
  <c r="T153" i="22" s="1"/>
  <c r="Q152" i="22"/>
  <c r="R152" i="22" s="1"/>
  <c r="T152" i="22" s="1"/>
  <c r="W151" i="22"/>
  <c r="Q151" i="22"/>
  <c r="R151" i="22" s="1"/>
  <c r="T151" i="22" s="1"/>
  <c r="Q150" i="22"/>
  <c r="R150" i="22" s="1"/>
  <c r="T150" i="22" s="1"/>
  <c r="Q149" i="22"/>
  <c r="R149" i="22" s="1"/>
  <c r="T149" i="22" s="1"/>
  <c r="W148" i="22"/>
  <c r="R148" i="22"/>
  <c r="T148" i="22" s="1"/>
  <c r="Q148" i="22"/>
  <c r="Q147" i="22"/>
  <c r="R147" i="22" s="1"/>
  <c r="T147" i="22" s="1"/>
  <c r="Q146" i="22"/>
  <c r="R146" i="22" s="1"/>
  <c r="T146" i="22" s="1"/>
  <c r="V148" i="22" s="1"/>
  <c r="W145" i="22"/>
  <c r="Q145" i="22"/>
  <c r="R145" i="22" s="1"/>
  <c r="T145" i="22" s="1"/>
  <c r="Q144" i="22"/>
  <c r="R144" i="22" s="1"/>
  <c r="T144" i="22" s="1"/>
  <c r="Q143" i="22"/>
  <c r="R143" i="22" s="1"/>
  <c r="T143" i="22" s="1"/>
  <c r="W142" i="22"/>
  <c r="Q142" i="22"/>
  <c r="R142" i="22" s="1"/>
  <c r="T142" i="22" s="1"/>
  <c r="Q141" i="22"/>
  <c r="R141" i="22" s="1"/>
  <c r="T141" i="22" s="1"/>
  <c r="Q140" i="22"/>
  <c r="R140" i="22" s="1"/>
  <c r="T140" i="22" s="1"/>
  <c r="W139" i="22"/>
  <c r="Q139" i="22"/>
  <c r="R139" i="22" s="1"/>
  <c r="T139" i="22" s="1"/>
  <c r="Q138" i="22"/>
  <c r="R138" i="22" s="1"/>
  <c r="T138" i="22" s="1"/>
  <c r="Q137" i="22"/>
  <c r="R137" i="22" s="1"/>
  <c r="T137" i="22" s="1"/>
  <c r="W136" i="22"/>
  <c r="Q136" i="22"/>
  <c r="R136" i="22" s="1"/>
  <c r="T136" i="22" s="1"/>
  <c r="Q135" i="22"/>
  <c r="R135" i="22" s="1"/>
  <c r="T135" i="22" s="1"/>
  <c r="Q134" i="22"/>
  <c r="R134" i="22" s="1"/>
  <c r="T134" i="22" s="1"/>
  <c r="V136" i="22" s="1"/>
  <c r="W133" i="22"/>
  <c r="Q133" i="22"/>
  <c r="R133" i="22" s="1"/>
  <c r="T133" i="22" s="1"/>
  <c r="Q132" i="22"/>
  <c r="R132" i="22" s="1"/>
  <c r="T132" i="22" s="1"/>
  <c r="Q131" i="22"/>
  <c r="R131" i="22" s="1"/>
  <c r="T131" i="22" s="1"/>
  <c r="W130" i="22"/>
  <c r="R130" i="22"/>
  <c r="T130" i="22" s="1"/>
  <c r="Q130" i="22"/>
  <c r="Q129" i="22"/>
  <c r="R129" i="22" s="1"/>
  <c r="T129" i="22" s="1"/>
  <c r="Q128" i="22"/>
  <c r="R128" i="22" s="1"/>
  <c r="T128" i="22" s="1"/>
  <c r="W127" i="22"/>
  <c r="Q127" i="22"/>
  <c r="R127" i="22" s="1"/>
  <c r="T127" i="22" s="1"/>
  <c r="Q126" i="22"/>
  <c r="R126" i="22" s="1"/>
  <c r="T126" i="22" s="1"/>
  <c r="Q125" i="22"/>
  <c r="R125" i="22" s="1"/>
  <c r="T125" i="22" s="1"/>
  <c r="W124" i="22"/>
  <c r="Q124" i="22"/>
  <c r="R124" i="22" s="1"/>
  <c r="T124" i="22" s="1"/>
  <c r="Q123" i="22"/>
  <c r="R123" i="22" s="1"/>
  <c r="T123" i="22" s="1"/>
  <c r="Q122" i="22"/>
  <c r="R122" i="22" s="1"/>
  <c r="T122" i="22" s="1"/>
  <c r="V124" i="22" s="1"/>
  <c r="W121" i="22"/>
  <c r="R121" i="22"/>
  <c r="T121" i="22" s="1"/>
  <c r="Q121" i="22"/>
  <c r="Q120" i="22"/>
  <c r="R120" i="22" s="1"/>
  <c r="T120" i="22" s="1"/>
  <c r="Q119" i="22"/>
  <c r="R119" i="22" s="1"/>
  <c r="T119" i="22" s="1"/>
  <c r="W118" i="22"/>
  <c r="Q118" i="22"/>
  <c r="R118" i="22" s="1"/>
  <c r="T118" i="22" s="1"/>
  <c r="Q117" i="22"/>
  <c r="R117" i="22" s="1"/>
  <c r="T117" i="22" s="1"/>
  <c r="Q116" i="22"/>
  <c r="R116" i="22" s="1"/>
  <c r="T116" i="22" s="1"/>
  <c r="W115" i="22"/>
  <c r="Q115" i="22"/>
  <c r="R115" i="22" s="1"/>
  <c r="T115" i="22" s="1"/>
  <c r="Q114" i="22"/>
  <c r="R114" i="22" s="1"/>
  <c r="T114" i="22" s="1"/>
  <c r="Q113" i="22"/>
  <c r="R113" i="22" s="1"/>
  <c r="T113" i="22" s="1"/>
  <c r="W112" i="22"/>
  <c r="R112" i="22"/>
  <c r="T112" i="22" s="1"/>
  <c r="Q112" i="22"/>
  <c r="Q111" i="22"/>
  <c r="R111" i="22" s="1"/>
  <c r="T111" i="22" s="1"/>
  <c r="Q110" i="22"/>
  <c r="R110" i="22" s="1"/>
  <c r="T110" i="22" s="1"/>
  <c r="W109" i="22"/>
  <c r="Q109" i="22"/>
  <c r="R109" i="22" s="1"/>
  <c r="T109" i="22" s="1"/>
  <c r="Q108" i="22"/>
  <c r="R108" i="22" s="1"/>
  <c r="T108" i="22" s="1"/>
  <c r="Q107" i="22"/>
  <c r="R107" i="22" s="1"/>
  <c r="T107" i="22" s="1"/>
  <c r="W106" i="22"/>
  <c r="Q106" i="22"/>
  <c r="R106" i="22" s="1"/>
  <c r="T106" i="22" s="1"/>
  <c r="Q105" i="22"/>
  <c r="R105" i="22" s="1"/>
  <c r="T105" i="22" s="1"/>
  <c r="Q104" i="22"/>
  <c r="R104" i="22" s="1"/>
  <c r="T104" i="22" s="1"/>
  <c r="W103" i="22"/>
  <c r="Q103" i="22"/>
  <c r="R103" i="22" s="1"/>
  <c r="T103" i="22" s="1"/>
  <c r="Q102" i="22"/>
  <c r="R102" i="22" s="1"/>
  <c r="T102" i="22" s="1"/>
  <c r="Q101" i="22"/>
  <c r="R101" i="22" s="1"/>
  <c r="T101" i="22" s="1"/>
  <c r="W100" i="22"/>
  <c r="Q100" i="22"/>
  <c r="R100" i="22" s="1"/>
  <c r="T100" i="22" s="1"/>
  <c r="Q99" i="22"/>
  <c r="R99" i="22" s="1"/>
  <c r="T99" i="22" s="1"/>
  <c r="Q98" i="22"/>
  <c r="R98" i="22" s="1"/>
  <c r="T98" i="22" s="1"/>
  <c r="V100" i="22" s="1"/>
  <c r="W97" i="22"/>
  <c r="Q97" i="22"/>
  <c r="R97" i="22" s="1"/>
  <c r="T97" i="22" s="1"/>
  <c r="Q96" i="22"/>
  <c r="R96" i="22" s="1"/>
  <c r="T96" i="22" s="1"/>
  <c r="Q95" i="22"/>
  <c r="R95" i="22" s="1"/>
  <c r="T95" i="22" s="1"/>
  <c r="V97" i="22" s="1"/>
  <c r="W94" i="22"/>
  <c r="R94" i="22"/>
  <c r="T94" i="22" s="1"/>
  <c r="Q94" i="22"/>
  <c r="Q93" i="22"/>
  <c r="R93" i="22" s="1"/>
  <c r="T93" i="22" s="1"/>
  <c r="R92" i="22"/>
  <c r="T92" i="22" s="1"/>
  <c r="Q92" i="22"/>
  <c r="W91" i="22"/>
  <c r="Q91" i="22"/>
  <c r="R91" i="22" s="1"/>
  <c r="T91" i="22" s="1"/>
  <c r="Q90" i="22"/>
  <c r="R90" i="22" s="1"/>
  <c r="T90" i="22" s="1"/>
  <c r="Q89" i="22"/>
  <c r="R89" i="22" s="1"/>
  <c r="T89" i="22" s="1"/>
  <c r="W88" i="22"/>
  <c r="Q88" i="22"/>
  <c r="R88" i="22" s="1"/>
  <c r="T88" i="22" s="1"/>
  <c r="Q87" i="22"/>
  <c r="R87" i="22" s="1"/>
  <c r="T87" i="22" s="1"/>
  <c r="Q86" i="22"/>
  <c r="R86" i="22" s="1"/>
  <c r="T86" i="22" s="1"/>
  <c r="W85" i="22"/>
  <c r="R85" i="22"/>
  <c r="T85" i="22" s="1"/>
  <c r="Q85" i="22"/>
  <c r="Q84" i="22"/>
  <c r="R84" i="22" s="1"/>
  <c r="T84" i="22" s="1"/>
  <c r="R83" i="22"/>
  <c r="T83" i="22" s="1"/>
  <c r="Q83" i="22"/>
  <c r="W82" i="22"/>
  <c r="R82" i="22"/>
  <c r="T82" i="22" s="1"/>
  <c r="Q82" i="22"/>
  <c r="Q81" i="22"/>
  <c r="R81" i="22" s="1"/>
  <c r="T81" i="22" s="1"/>
  <c r="R80" i="22"/>
  <c r="T80" i="22" s="1"/>
  <c r="Q80" i="22"/>
  <c r="W79" i="22"/>
  <c r="Q79" i="22"/>
  <c r="R79" i="22" s="1"/>
  <c r="T79" i="22" s="1"/>
  <c r="Q78" i="22"/>
  <c r="R78" i="22" s="1"/>
  <c r="T78" i="22" s="1"/>
  <c r="Q77" i="22"/>
  <c r="R77" i="22" s="1"/>
  <c r="T77" i="22" s="1"/>
  <c r="W76" i="22"/>
  <c r="R76" i="22"/>
  <c r="T76" i="22" s="1"/>
  <c r="Q76" i="22"/>
  <c r="Q75" i="22"/>
  <c r="R75" i="22" s="1"/>
  <c r="T75" i="22" s="1"/>
  <c r="R74" i="22"/>
  <c r="T74" i="22" s="1"/>
  <c r="Q74" i="22"/>
  <c r="W73" i="22"/>
  <c r="R73" i="22"/>
  <c r="T73" i="22" s="1"/>
  <c r="Q73" i="22"/>
  <c r="Q72" i="22"/>
  <c r="R72" i="22" s="1"/>
  <c r="T72" i="22" s="1"/>
  <c r="R71" i="22"/>
  <c r="T71" i="22" s="1"/>
  <c r="Q71" i="22"/>
  <c r="W70" i="22"/>
  <c r="R70" i="22"/>
  <c r="T70" i="22" s="1"/>
  <c r="Q70" i="22"/>
  <c r="Q69" i="22"/>
  <c r="R69" i="22" s="1"/>
  <c r="T69" i="22" s="1"/>
  <c r="Q68" i="22"/>
  <c r="R68" i="22" s="1"/>
  <c r="T68" i="22" s="1"/>
  <c r="W67" i="22"/>
  <c r="Q67" i="22"/>
  <c r="R67" i="22" s="1"/>
  <c r="T67" i="22" s="1"/>
  <c r="Q66" i="22"/>
  <c r="R66" i="22" s="1"/>
  <c r="T66" i="22" s="1"/>
  <c r="Q65" i="22"/>
  <c r="R65" i="22" s="1"/>
  <c r="T65" i="22" s="1"/>
  <c r="W64" i="22"/>
  <c r="R64" i="22"/>
  <c r="T64" i="22" s="1"/>
  <c r="Q64" i="22"/>
  <c r="Q63" i="22"/>
  <c r="R63" i="22" s="1"/>
  <c r="T63" i="22" s="1"/>
  <c r="R62" i="22"/>
  <c r="T62" i="22" s="1"/>
  <c r="Q62" i="22"/>
  <c r="W61" i="22"/>
  <c r="R61" i="22"/>
  <c r="T61" i="22" s="1"/>
  <c r="Q61" i="22"/>
  <c r="Q60" i="22"/>
  <c r="R60" i="22" s="1"/>
  <c r="T60" i="22" s="1"/>
  <c r="Q59" i="22"/>
  <c r="R59" i="22" s="1"/>
  <c r="T59" i="22" s="1"/>
  <c r="V61" i="22" s="1"/>
  <c r="W58" i="22"/>
  <c r="Q58" i="22"/>
  <c r="R58" i="22" s="1"/>
  <c r="T58" i="22" s="1"/>
  <c r="Q57" i="22"/>
  <c r="R57" i="22" s="1"/>
  <c r="T57" i="22" s="1"/>
  <c r="Q56" i="22"/>
  <c r="R56" i="22" s="1"/>
  <c r="T56" i="22" s="1"/>
  <c r="W55" i="22"/>
  <c r="Q55" i="22"/>
  <c r="R55" i="22" s="1"/>
  <c r="T55" i="22" s="1"/>
  <c r="Q54" i="22"/>
  <c r="R54" i="22" s="1"/>
  <c r="T54" i="22" s="1"/>
  <c r="Q53" i="22"/>
  <c r="R53" i="22" s="1"/>
  <c r="T53" i="22" s="1"/>
  <c r="W52" i="22"/>
  <c r="R52" i="22"/>
  <c r="T52" i="22" s="1"/>
  <c r="Q52" i="22"/>
  <c r="Q51" i="22"/>
  <c r="R51" i="22" s="1"/>
  <c r="T51" i="22" s="1"/>
  <c r="Q50" i="22"/>
  <c r="R50" i="22" s="1"/>
  <c r="T50" i="22" s="1"/>
  <c r="V52" i="22" s="1"/>
  <c r="W49" i="22"/>
  <c r="Q49" i="22"/>
  <c r="R49" i="22" s="1"/>
  <c r="T49" i="22" s="1"/>
  <c r="Q48" i="22"/>
  <c r="R48" i="22" s="1"/>
  <c r="T48" i="22" s="1"/>
  <c r="Q47" i="22"/>
  <c r="R47" i="22" s="1"/>
  <c r="T47" i="22" s="1"/>
  <c r="W46" i="22"/>
  <c r="Q46" i="22"/>
  <c r="R46" i="22" s="1"/>
  <c r="T46" i="22" s="1"/>
  <c r="Q45" i="22"/>
  <c r="R45" i="22" s="1"/>
  <c r="T45" i="22" s="1"/>
  <c r="Q44" i="22"/>
  <c r="R44" i="22" s="1"/>
  <c r="T44" i="22" s="1"/>
  <c r="W43" i="22"/>
  <c r="Q43" i="22"/>
  <c r="R43" i="22" s="1"/>
  <c r="T43" i="22" s="1"/>
  <c r="Q42" i="22"/>
  <c r="R42" i="22" s="1"/>
  <c r="T42" i="22" s="1"/>
  <c r="Q41" i="22"/>
  <c r="R41" i="22" s="1"/>
  <c r="T41" i="22" s="1"/>
  <c r="W40" i="22"/>
  <c r="Q40" i="22"/>
  <c r="R40" i="22" s="1"/>
  <c r="T40" i="22" s="1"/>
  <c r="Q39" i="22"/>
  <c r="R39" i="22" s="1"/>
  <c r="T39" i="22" s="1"/>
  <c r="Q38" i="22"/>
  <c r="R38" i="22" s="1"/>
  <c r="T38" i="22" s="1"/>
  <c r="U40" i="22" s="1"/>
  <c r="W37" i="22"/>
  <c r="Q37" i="22"/>
  <c r="R37" i="22" s="1"/>
  <c r="T37" i="22" s="1"/>
  <c r="Q36" i="22"/>
  <c r="R36" i="22" s="1"/>
  <c r="T36" i="22" s="1"/>
  <c r="Q35" i="22"/>
  <c r="R35" i="22" s="1"/>
  <c r="T35" i="22" s="1"/>
  <c r="V37" i="22" s="1"/>
  <c r="W34" i="22"/>
  <c r="R34" i="22"/>
  <c r="T34" i="22" s="1"/>
  <c r="Q34" i="22"/>
  <c r="Q33" i="22"/>
  <c r="R33" i="22" s="1"/>
  <c r="T33" i="22" s="1"/>
  <c r="Q32" i="22"/>
  <c r="R32" i="22" s="1"/>
  <c r="T32" i="22" s="1"/>
  <c r="W31" i="22"/>
  <c r="Q31" i="22"/>
  <c r="R31" i="22" s="1"/>
  <c r="T31" i="22" s="1"/>
  <c r="Q30" i="22"/>
  <c r="R30" i="22" s="1"/>
  <c r="T30" i="22" s="1"/>
  <c r="Q29" i="22"/>
  <c r="R29" i="22" s="1"/>
  <c r="T29" i="22" s="1"/>
  <c r="W28" i="22"/>
  <c r="Q28" i="22"/>
  <c r="R28" i="22" s="1"/>
  <c r="T28" i="22" s="1"/>
  <c r="Q27" i="22"/>
  <c r="R27" i="22" s="1"/>
  <c r="T27" i="22" s="1"/>
  <c r="Q26" i="22"/>
  <c r="R26" i="22" s="1"/>
  <c r="T26" i="22" s="1"/>
  <c r="V28" i="22" s="1"/>
  <c r="W25" i="22"/>
  <c r="R25" i="22"/>
  <c r="T25" i="22" s="1"/>
  <c r="Q25" i="22"/>
  <c r="Q24" i="22"/>
  <c r="R24" i="22" s="1"/>
  <c r="T24" i="22" s="1"/>
  <c r="Q23" i="22"/>
  <c r="R23" i="22" s="1"/>
  <c r="T23" i="22" s="1"/>
  <c r="W22" i="22"/>
  <c r="Q22" i="22"/>
  <c r="R22" i="22" s="1"/>
  <c r="T22" i="22" s="1"/>
  <c r="Q21" i="22"/>
  <c r="R21" i="22" s="1"/>
  <c r="T21" i="22" s="1"/>
  <c r="Q20" i="22"/>
  <c r="R20" i="22" s="1"/>
  <c r="T20" i="22" s="1"/>
  <c r="W19" i="22"/>
  <c r="Q19" i="22"/>
  <c r="R19" i="22" s="1"/>
  <c r="T19" i="22" s="1"/>
  <c r="Q18" i="22"/>
  <c r="R18" i="22" s="1"/>
  <c r="T18" i="22" s="1"/>
  <c r="Q17" i="22"/>
  <c r="R17" i="22" s="1"/>
  <c r="T17" i="22" s="1"/>
  <c r="W16" i="22"/>
  <c r="R16" i="22"/>
  <c r="T16" i="22" s="1"/>
  <c r="Q16" i="22"/>
  <c r="Q15" i="22"/>
  <c r="R15" i="22" s="1"/>
  <c r="T15" i="22" s="1"/>
  <c r="Q14" i="22"/>
  <c r="R14" i="22" s="1"/>
  <c r="T14" i="22" s="1"/>
  <c r="W13" i="22"/>
  <c r="Q13" i="22"/>
  <c r="R13" i="22" s="1"/>
  <c r="T13" i="22" s="1"/>
  <c r="Q12" i="22"/>
  <c r="R12" i="22" s="1"/>
  <c r="T12" i="22" s="1"/>
  <c r="Q11" i="22"/>
  <c r="R11" i="22" s="1"/>
  <c r="T11" i="22" s="1"/>
  <c r="T72" i="20"/>
  <c r="T90" i="20"/>
  <c r="T96" i="20"/>
  <c r="T148" i="20"/>
  <c r="T158" i="20"/>
  <c r="V160" i="20" s="1"/>
  <c r="T168" i="20"/>
  <c r="T198" i="20"/>
  <c r="T199" i="20"/>
  <c r="T211" i="20"/>
  <c r="T224" i="20"/>
  <c r="U226" i="20" s="1"/>
  <c r="T226" i="20"/>
  <c r="T247" i="20"/>
  <c r="T258" i="20"/>
  <c r="T272" i="20"/>
  <c r="U274" i="20" s="1"/>
  <c r="T274" i="20"/>
  <c r="T275" i="20"/>
  <c r="U277" i="20" s="1"/>
  <c r="T277" i="20"/>
  <c r="T289" i="20"/>
  <c r="T295" i="20"/>
  <c r="Q95" i="20"/>
  <c r="R95" i="20" s="1"/>
  <c r="T95" i="20" s="1"/>
  <c r="Q96" i="20"/>
  <c r="R96" i="20" s="1"/>
  <c r="Q97" i="20"/>
  <c r="R97" i="20" s="1"/>
  <c r="T97" i="20" s="1"/>
  <c r="W97" i="20"/>
  <c r="Q98" i="20"/>
  <c r="R98" i="20" s="1"/>
  <c r="T98" i="20" s="1"/>
  <c r="Q99" i="20"/>
  <c r="R99" i="20" s="1"/>
  <c r="T99" i="20" s="1"/>
  <c r="Q100" i="20"/>
  <c r="R100" i="20" s="1"/>
  <c r="T100" i="20" s="1"/>
  <c r="W100" i="20"/>
  <c r="Q101" i="20"/>
  <c r="R101" i="20" s="1"/>
  <c r="T101" i="20" s="1"/>
  <c r="Q102" i="20"/>
  <c r="R102" i="20" s="1"/>
  <c r="T102" i="20" s="1"/>
  <c r="Q103" i="20"/>
  <c r="R103" i="20" s="1"/>
  <c r="T103" i="20" s="1"/>
  <c r="W103" i="20"/>
  <c r="Q104" i="20"/>
  <c r="R104" i="20" s="1"/>
  <c r="T104" i="20" s="1"/>
  <c r="Q105" i="20"/>
  <c r="R105" i="20" s="1"/>
  <c r="T105" i="20" s="1"/>
  <c r="Q106" i="20"/>
  <c r="R106" i="20" s="1"/>
  <c r="T106" i="20" s="1"/>
  <c r="W106" i="20"/>
  <c r="Q185" i="20"/>
  <c r="R185" i="20" s="1"/>
  <c r="T185" i="20" s="1"/>
  <c r="Q186" i="20"/>
  <c r="R186" i="20" s="1"/>
  <c r="T186" i="20" s="1"/>
  <c r="Q187" i="20"/>
  <c r="R187" i="20" s="1"/>
  <c r="T187" i="20" s="1"/>
  <c r="W187" i="20"/>
  <c r="Q188" i="20"/>
  <c r="R188" i="20" s="1"/>
  <c r="T188" i="20" s="1"/>
  <c r="Q189" i="20"/>
  <c r="R189" i="20" s="1"/>
  <c r="T189" i="20" s="1"/>
  <c r="Q190" i="20"/>
  <c r="R190" i="20" s="1"/>
  <c r="T190" i="20" s="1"/>
  <c r="W190" i="20"/>
  <c r="Q191" i="20"/>
  <c r="R191" i="20" s="1"/>
  <c r="T191" i="20" s="1"/>
  <c r="Q192" i="20"/>
  <c r="R192" i="20" s="1"/>
  <c r="T192" i="20" s="1"/>
  <c r="Q193" i="20"/>
  <c r="R193" i="20" s="1"/>
  <c r="T193" i="20" s="1"/>
  <c r="W193" i="20"/>
  <c r="Q194" i="20"/>
  <c r="R194" i="20" s="1"/>
  <c r="T194" i="20" s="1"/>
  <c r="Q195" i="20"/>
  <c r="R195" i="20" s="1"/>
  <c r="T195" i="20" s="1"/>
  <c r="Q196" i="20"/>
  <c r="R196" i="20" s="1"/>
  <c r="T196" i="20" s="1"/>
  <c r="W196" i="20"/>
  <c r="Q197" i="20"/>
  <c r="R197" i="20" s="1"/>
  <c r="T197" i="20" s="1"/>
  <c r="Q198" i="20"/>
  <c r="R198" i="20" s="1"/>
  <c r="Q199" i="20"/>
  <c r="R199" i="20" s="1"/>
  <c r="W199" i="20"/>
  <c r="Q200" i="20"/>
  <c r="R200" i="20" s="1"/>
  <c r="T200" i="20" s="1"/>
  <c r="Q201" i="20"/>
  <c r="R201" i="20" s="1"/>
  <c r="T201" i="20" s="1"/>
  <c r="Q202" i="20"/>
  <c r="R202" i="20" s="1"/>
  <c r="T202" i="20" s="1"/>
  <c r="W202" i="20"/>
  <c r="Q209" i="20"/>
  <c r="R209" i="20" s="1"/>
  <c r="T209" i="20" s="1"/>
  <c r="Q210" i="20"/>
  <c r="R210" i="20" s="1"/>
  <c r="T210" i="20" s="1"/>
  <c r="Q211" i="20"/>
  <c r="R211" i="20" s="1"/>
  <c r="W211" i="20"/>
  <c r="Q212" i="20"/>
  <c r="R212" i="20" s="1"/>
  <c r="T212" i="20" s="1"/>
  <c r="Q213" i="20"/>
  <c r="R213" i="20" s="1"/>
  <c r="T213" i="20" s="1"/>
  <c r="Q214" i="20"/>
  <c r="R214" i="20" s="1"/>
  <c r="T214" i="20" s="1"/>
  <c r="W214" i="20"/>
  <c r="Q221" i="20"/>
  <c r="R221" i="20" s="1"/>
  <c r="T221" i="20" s="1"/>
  <c r="Q222" i="20"/>
  <c r="R222" i="20" s="1"/>
  <c r="T222" i="20" s="1"/>
  <c r="Q223" i="20"/>
  <c r="R223" i="20" s="1"/>
  <c r="T223" i="20" s="1"/>
  <c r="W223" i="20"/>
  <c r="Q224" i="20"/>
  <c r="R224" i="20" s="1"/>
  <c r="Q225" i="20"/>
  <c r="R225" i="20" s="1"/>
  <c r="T225" i="20" s="1"/>
  <c r="Q226" i="20"/>
  <c r="R226" i="20" s="1"/>
  <c r="W226" i="20"/>
  <c r="Q233" i="20"/>
  <c r="R233" i="20" s="1"/>
  <c r="T233" i="20" s="1"/>
  <c r="Q234" i="20"/>
  <c r="R234" i="20" s="1"/>
  <c r="T234" i="20" s="1"/>
  <c r="Q235" i="20"/>
  <c r="R235" i="20" s="1"/>
  <c r="T235" i="20" s="1"/>
  <c r="W235" i="20"/>
  <c r="Q236" i="20"/>
  <c r="R236" i="20" s="1"/>
  <c r="T236" i="20" s="1"/>
  <c r="Q237" i="20"/>
  <c r="R237" i="20" s="1"/>
  <c r="T237" i="20" s="1"/>
  <c r="Q238" i="20"/>
  <c r="R238" i="20" s="1"/>
  <c r="T238" i="20" s="1"/>
  <c r="W238" i="20"/>
  <c r="Q245" i="20"/>
  <c r="R245" i="20" s="1"/>
  <c r="T245" i="20" s="1"/>
  <c r="Q246" i="20"/>
  <c r="R246" i="20" s="1"/>
  <c r="T246" i="20" s="1"/>
  <c r="Q247" i="20"/>
  <c r="R247" i="20" s="1"/>
  <c r="W247" i="20"/>
  <c r="Q248" i="20"/>
  <c r="R248" i="20" s="1"/>
  <c r="T248" i="20" s="1"/>
  <c r="Q249" i="20"/>
  <c r="R249" i="20" s="1"/>
  <c r="T249" i="20" s="1"/>
  <c r="Q250" i="20"/>
  <c r="R250" i="20" s="1"/>
  <c r="T250" i="20" s="1"/>
  <c r="W250" i="20"/>
  <c r="Q257" i="20"/>
  <c r="R257" i="20" s="1"/>
  <c r="T257" i="20" s="1"/>
  <c r="Q258" i="20"/>
  <c r="R258" i="20" s="1"/>
  <c r="Q259" i="20"/>
  <c r="R259" i="20" s="1"/>
  <c r="T259" i="20" s="1"/>
  <c r="W259" i="20"/>
  <c r="Q260" i="20"/>
  <c r="R260" i="20" s="1"/>
  <c r="T260" i="20" s="1"/>
  <c r="Q261" i="20"/>
  <c r="R261" i="20" s="1"/>
  <c r="T261" i="20" s="1"/>
  <c r="Q262" i="20"/>
  <c r="R262" i="20" s="1"/>
  <c r="T262" i="20" s="1"/>
  <c r="W262" i="20"/>
  <c r="Q269" i="20"/>
  <c r="R269" i="20" s="1"/>
  <c r="T269" i="20" s="1"/>
  <c r="Q270" i="20"/>
  <c r="R270" i="20" s="1"/>
  <c r="T270" i="20" s="1"/>
  <c r="Q271" i="20"/>
  <c r="R271" i="20" s="1"/>
  <c r="T271" i="20" s="1"/>
  <c r="W271" i="20"/>
  <c r="Q272" i="20"/>
  <c r="R272" i="20" s="1"/>
  <c r="Q273" i="20"/>
  <c r="R273" i="20" s="1"/>
  <c r="T273" i="20" s="1"/>
  <c r="Q274" i="20"/>
  <c r="R274" i="20" s="1"/>
  <c r="W274" i="20"/>
  <c r="Q275" i="20"/>
  <c r="R275" i="20" s="1"/>
  <c r="Q276" i="20"/>
  <c r="R276" i="20" s="1"/>
  <c r="T276" i="20" s="1"/>
  <c r="Q277" i="20"/>
  <c r="R277" i="20" s="1"/>
  <c r="W277" i="20"/>
  <c r="Q278" i="20"/>
  <c r="R278" i="20" s="1"/>
  <c r="T278" i="20" s="1"/>
  <c r="Q279" i="20"/>
  <c r="R279" i="20" s="1"/>
  <c r="T279" i="20" s="1"/>
  <c r="Q280" i="20"/>
  <c r="R280" i="20" s="1"/>
  <c r="T280" i="20" s="1"/>
  <c r="W280" i="20"/>
  <c r="Q281" i="20"/>
  <c r="R281" i="20" s="1"/>
  <c r="T281" i="20" s="1"/>
  <c r="Q282" i="20"/>
  <c r="R282" i="20" s="1"/>
  <c r="T282" i="20" s="1"/>
  <c r="Q283" i="20"/>
  <c r="R283" i="20" s="1"/>
  <c r="T283" i="20" s="1"/>
  <c r="W283" i="20"/>
  <c r="Q284" i="20"/>
  <c r="R284" i="20" s="1"/>
  <c r="T284" i="20" s="1"/>
  <c r="U286" i="20" s="1"/>
  <c r="Q285" i="20"/>
  <c r="R285" i="20" s="1"/>
  <c r="T285" i="20" s="1"/>
  <c r="Q286" i="20"/>
  <c r="R286" i="20" s="1"/>
  <c r="T286" i="20" s="1"/>
  <c r="W286" i="20"/>
  <c r="Q287" i="20"/>
  <c r="R287" i="20" s="1"/>
  <c r="T287" i="20" s="1"/>
  <c r="Q288" i="20"/>
  <c r="R288" i="20" s="1"/>
  <c r="T288" i="20" s="1"/>
  <c r="Q289" i="20"/>
  <c r="R289" i="20" s="1"/>
  <c r="W289" i="20"/>
  <c r="Q290" i="20"/>
  <c r="R290" i="20" s="1"/>
  <c r="T290" i="20" s="1"/>
  <c r="Q291" i="20"/>
  <c r="R291" i="20" s="1"/>
  <c r="T291" i="20" s="1"/>
  <c r="Q292" i="20"/>
  <c r="R292" i="20" s="1"/>
  <c r="T292" i="20" s="1"/>
  <c r="W292" i="20"/>
  <c r="Q293" i="20"/>
  <c r="R293" i="20" s="1"/>
  <c r="T293" i="20" s="1"/>
  <c r="Q294" i="20"/>
  <c r="R294" i="20" s="1"/>
  <c r="T294" i="20" s="1"/>
  <c r="Q295" i="20"/>
  <c r="R295" i="20" s="1"/>
  <c r="W295" i="20"/>
  <c r="Q296" i="20"/>
  <c r="R296" i="20" s="1"/>
  <c r="T296" i="20" s="1"/>
  <c r="Q297" i="20"/>
  <c r="R297" i="20" s="1"/>
  <c r="T297" i="20" s="1"/>
  <c r="Q298" i="20"/>
  <c r="R298" i="20" s="1"/>
  <c r="T298" i="20" s="1"/>
  <c r="W298" i="20"/>
  <c r="K62" i="4"/>
  <c r="K63" i="4"/>
  <c r="K64" i="4"/>
  <c r="K65" i="4"/>
  <c r="K66" i="4"/>
  <c r="J62" i="4"/>
  <c r="J63" i="4"/>
  <c r="J64" i="4"/>
  <c r="J65" i="4"/>
  <c r="J66" i="4"/>
  <c r="I62" i="4"/>
  <c r="I63" i="4"/>
  <c r="I64" i="4"/>
  <c r="I65" i="4"/>
  <c r="I66" i="4"/>
  <c r="H62" i="4"/>
  <c r="H63" i="4"/>
  <c r="H64" i="4"/>
  <c r="H65" i="4"/>
  <c r="H66" i="4"/>
  <c r="G62" i="4"/>
  <c r="G63" i="4"/>
  <c r="G64" i="4"/>
  <c r="G65" i="4"/>
  <c r="G66" i="4"/>
  <c r="F62" i="4"/>
  <c r="F63" i="4"/>
  <c r="F64" i="4"/>
  <c r="F65" i="4"/>
  <c r="F66" i="4"/>
  <c r="E62" i="4"/>
  <c r="E63" i="4"/>
  <c r="E64" i="4"/>
  <c r="E65" i="4"/>
  <c r="E66" i="4"/>
  <c r="D62" i="4"/>
  <c r="D63" i="4"/>
  <c r="D64" i="4"/>
  <c r="D65" i="4"/>
  <c r="D66" i="4"/>
  <c r="C62" i="4"/>
  <c r="C63" i="4"/>
  <c r="C64" i="4"/>
  <c r="C65" i="4"/>
  <c r="C66" i="4"/>
  <c r="B62" i="4"/>
  <c r="B63" i="4"/>
  <c r="B64" i="4"/>
  <c r="B65" i="4"/>
  <c r="B66" i="4"/>
  <c r="K61" i="4"/>
  <c r="J61" i="4"/>
  <c r="I61" i="4"/>
  <c r="H61" i="4"/>
  <c r="G61" i="4"/>
  <c r="F61" i="4"/>
  <c r="E61" i="4"/>
  <c r="D61" i="4"/>
  <c r="C61" i="4"/>
  <c r="B61" i="4"/>
  <c r="K53" i="4"/>
  <c r="K54" i="4"/>
  <c r="K55" i="4"/>
  <c r="K56" i="4"/>
  <c r="K57" i="4"/>
  <c r="J53" i="4"/>
  <c r="J54" i="4"/>
  <c r="J55" i="4"/>
  <c r="J56" i="4"/>
  <c r="J57" i="4"/>
  <c r="I53" i="4"/>
  <c r="I54" i="4"/>
  <c r="I55" i="4"/>
  <c r="I56" i="4"/>
  <c r="I57" i="4"/>
  <c r="H53" i="4"/>
  <c r="H54" i="4"/>
  <c r="H55" i="4"/>
  <c r="H56" i="4"/>
  <c r="H57" i="4"/>
  <c r="G53" i="4"/>
  <c r="G54" i="4"/>
  <c r="G55" i="4"/>
  <c r="G56" i="4"/>
  <c r="G57" i="4"/>
  <c r="F53" i="4"/>
  <c r="F54" i="4"/>
  <c r="F55" i="4"/>
  <c r="F56" i="4"/>
  <c r="F57" i="4"/>
  <c r="E53" i="4"/>
  <c r="E54" i="4"/>
  <c r="E55" i="4"/>
  <c r="E56" i="4"/>
  <c r="E57" i="4"/>
  <c r="D53" i="4"/>
  <c r="D54" i="4"/>
  <c r="D55" i="4"/>
  <c r="D56" i="4"/>
  <c r="D57" i="4"/>
  <c r="C53" i="4"/>
  <c r="C54" i="4"/>
  <c r="C55" i="4"/>
  <c r="C56" i="4"/>
  <c r="C57" i="4"/>
  <c r="B53" i="4"/>
  <c r="B54" i="4"/>
  <c r="B55" i="4"/>
  <c r="B56" i="4"/>
  <c r="B57" i="4"/>
  <c r="K52" i="4"/>
  <c r="J52" i="4"/>
  <c r="I52" i="4"/>
  <c r="H52" i="4"/>
  <c r="G52" i="4"/>
  <c r="F52" i="4"/>
  <c r="E52" i="4"/>
  <c r="D52" i="4"/>
  <c r="C52" i="4"/>
  <c r="B52" i="4"/>
  <c r="K44" i="4"/>
  <c r="K45" i="4"/>
  <c r="K46" i="4"/>
  <c r="K47" i="4"/>
  <c r="K48" i="4"/>
  <c r="I44" i="4"/>
  <c r="I45" i="4"/>
  <c r="I46" i="4"/>
  <c r="I47" i="4"/>
  <c r="I48" i="4"/>
  <c r="J44" i="4"/>
  <c r="J45" i="4"/>
  <c r="J46" i="4"/>
  <c r="J47" i="4"/>
  <c r="J48" i="4"/>
  <c r="H44" i="4"/>
  <c r="H45" i="4"/>
  <c r="H46" i="4"/>
  <c r="H47" i="4"/>
  <c r="H48" i="4"/>
  <c r="G44" i="4"/>
  <c r="G45" i="4"/>
  <c r="G46" i="4"/>
  <c r="G47" i="4"/>
  <c r="G48" i="4"/>
  <c r="F44" i="4"/>
  <c r="F45" i="4"/>
  <c r="F46" i="4"/>
  <c r="F47" i="4"/>
  <c r="F48" i="4"/>
  <c r="E44" i="4"/>
  <c r="E45" i="4"/>
  <c r="E46" i="4"/>
  <c r="E47" i="4"/>
  <c r="E48" i="4"/>
  <c r="D44" i="4"/>
  <c r="D45" i="4"/>
  <c r="D46" i="4"/>
  <c r="D47" i="4"/>
  <c r="D48" i="4"/>
  <c r="K43" i="4"/>
  <c r="J43" i="4"/>
  <c r="I43" i="4"/>
  <c r="H43" i="4"/>
  <c r="G43" i="4"/>
  <c r="F43" i="4"/>
  <c r="E43" i="4"/>
  <c r="D43" i="4"/>
  <c r="C44" i="4"/>
  <c r="C45" i="4"/>
  <c r="C46" i="4"/>
  <c r="C47" i="4"/>
  <c r="C48" i="4"/>
  <c r="C43" i="4"/>
  <c r="B44" i="4"/>
  <c r="B45" i="4"/>
  <c r="B46" i="4"/>
  <c r="B47" i="4"/>
  <c r="B48" i="4"/>
  <c r="B43" i="4"/>
  <c r="W268" i="20"/>
  <c r="Q268" i="20"/>
  <c r="R268" i="20" s="1"/>
  <c r="T268" i="20" s="1"/>
  <c r="Q267" i="20"/>
  <c r="R267" i="20" s="1"/>
  <c r="T267" i="20" s="1"/>
  <c r="Q266" i="20"/>
  <c r="R266" i="20" s="1"/>
  <c r="T266" i="20" s="1"/>
  <c r="W265" i="20"/>
  <c r="Q265" i="20"/>
  <c r="R265" i="20" s="1"/>
  <c r="T265" i="20" s="1"/>
  <c r="Q264" i="20"/>
  <c r="R264" i="20" s="1"/>
  <c r="T264" i="20" s="1"/>
  <c r="Q263" i="20"/>
  <c r="R263" i="20" s="1"/>
  <c r="T263" i="20" s="1"/>
  <c r="W256" i="20"/>
  <c r="Q256" i="20"/>
  <c r="R256" i="20" s="1"/>
  <c r="T256" i="20" s="1"/>
  <c r="Q255" i="20"/>
  <c r="R255" i="20" s="1"/>
  <c r="T255" i="20" s="1"/>
  <c r="Q254" i="20"/>
  <c r="R254" i="20" s="1"/>
  <c r="T254" i="20" s="1"/>
  <c r="W253" i="20"/>
  <c r="Q253" i="20"/>
  <c r="R253" i="20" s="1"/>
  <c r="T253" i="20" s="1"/>
  <c r="Q252" i="20"/>
  <c r="R252" i="20" s="1"/>
  <c r="T252" i="20" s="1"/>
  <c r="Q251" i="20"/>
  <c r="R251" i="20" s="1"/>
  <c r="T251" i="20" s="1"/>
  <c r="W244" i="20"/>
  <c r="Q244" i="20"/>
  <c r="R244" i="20" s="1"/>
  <c r="T244" i="20" s="1"/>
  <c r="Q243" i="20"/>
  <c r="R243" i="20" s="1"/>
  <c r="T243" i="20" s="1"/>
  <c r="Q242" i="20"/>
  <c r="R242" i="20" s="1"/>
  <c r="T242" i="20" s="1"/>
  <c r="W241" i="20"/>
  <c r="Q241" i="20"/>
  <c r="R241" i="20" s="1"/>
  <c r="T241" i="20" s="1"/>
  <c r="Q240" i="20"/>
  <c r="R240" i="20" s="1"/>
  <c r="T240" i="20" s="1"/>
  <c r="Q239" i="20"/>
  <c r="R239" i="20" s="1"/>
  <c r="T239" i="20" s="1"/>
  <c r="W232" i="20"/>
  <c r="Q232" i="20"/>
  <c r="R232" i="20" s="1"/>
  <c r="T232" i="20" s="1"/>
  <c r="Q231" i="20"/>
  <c r="R231" i="20" s="1"/>
  <c r="T231" i="20" s="1"/>
  <c r="Q230" i="20"/>
  <c r="R230" i="20" s="1"/>
  <c r="T230" i="20" s="1"/>
  <c r="W229" i="20"/>
  <c r="Q229" i="20"/>
  <c r="R229" i="20" s="1"/>
  <c r="T229" i="20" s="1"/>
  <c r="Q228" i="20"/>
  <c r="R228" i="20" s="1"/>
  <c r="T228" i="20" s="1"/>
  <c r="Q227" i="20"/>
  <c r="R227" i="20" s="1"/>
  <c r="T227" i="20" s="1"/>
  <c r="U229" i="20" s="1"/>
  <c r="W220" i="20"/>
  <c r="Q220" i="20"/>
  <c r="R220" i="20" s="1"/>
  <c r="T220" i="20" s="1"/>
  <c r="Q219" i="20"/>
  <c r="R219" i="20" s="1"/>
  <c r="T219" i="20" s="1"/>
  <c r="Q218" i="20"/>
  <c r="R218" i="20" s="1"/>
  <c r="T218" i="20" s="1"/>
  <c r="W217" i="20"/>
  <c r="Q217" i="20"/>
  <c r="R217" i="20" s="1"/>
  <c r="T217" i="20" s="1"/>
  <c r="Q216" i="20"/>
  <c r="R216" i="20" s="1"/>
  <c r="T216" i="20" s="1"/>
  <c r="Q215" i="20"/>
  <c r="R215" i="20" s="1"/>
  <c r="T215" i="20" s="1"/>
  <c r="W208" i="20"/>
  <c r="Q208" i="20"/>
  <c r="R208" i="20" s="1"/>
  <c r="T208" i="20" s="1"/>
  <c r="Q207" i="20"/>
  <c r="R207" i="20" s="1"/>
  <c r="T207" i="20" s="1"/>
  <c r="Q206" i="20"/>
  <c r="R206" i="20" s="1"/>
  <c r="T206" i="20" s="1"/>
  <c r="W205" i="20"/>
  <c r="Q205" i="20"/>
  <c r="R205" i="20" s="1"/>
  <c r="T205" i="20" s="1"/>
  <c r="Q204" i="20"/>
  <c r="R204" i="20" s="1"/>
  <c r="T204" i="20" s="1"/>
  <c r="Q203" i="20"/>
  <c r="R203" i="20" s="1"/>
  <c r="T203" i="20" s="1"/>
  <c r="W184" i="20"/>
  <c r="Q184" i="20"/>
  <c r="R184" i="20" s="1"/>
  <c r="T184" i="20" s="1"/>
  <c r="Q183" i="20"/>
  <c r="R183" i="20" s="1"/>
  <c r="T183" i="20" s="1"/>
  <c r="Q182" i="20"/>
  <c r="R182" i="20" s="1"/>
  <c r="T182" i="20" s="1"/>
  <c r="W181" i="20"/>
  <c r="Q181" i="20"/>
  <c r="R181" i="20" s="1"/>
  <c r="T181" i="20" s="1"/>
  <c r="Q180" i="20"/>
  <c r="R180" i="20" s="1"/>
  <c r="T180" i="20" s="1"/>
  <c r="Q179" i="20"/>
  <c r="R179" i="20" s="1"/>
  <c r="T179" i="20" s="1"/>
  <c r="U181" i="20" s="1"/>
  <c r="W178" i="20"/>
  <c r="Q178" i="20"/>
  <c r="R178" i="20" s="1"/>
  <c r="T178" i="20" s="1"/>
  <c r="Q177" i="20"/>
  <c r="R177" i="20" s="1"/>
  <c r="T177" i="20" s="1"/>
  <c r="Q176" i="20"/>
  <c r="R176" i="20" s="1"/>
  <c r="T176" i="20" s="1"/>
  <c r="U178" i="20" s="1"/>
  <c r="W175" i="20"/>
  <c r="Q175" i="20"/>
  <c r="R175" i="20" s="1"/>
  <c r="T175" i="20" s="1"/>
  <c r="Q174" i="20"/>
  <c r="R174" i="20" s="1"/>
  <c r="T174" i="20" s="1"/>
  <c r="Q173" i="20"/>
  <c r="R173" i="20" s="1"/>
  <c r="T173" i="20" s="1"/>
  <c r="W172" i="20"/>
  <c r="Q172" i="20"/>
  <c r="R172" i="20" s="1"/>
  <c r="T172" i="20" s="1"/>
  <c r="Q171" i="20"/>
  <c r="R171" i="20" s="1"/>
  <c r="T171" i="20" s="1"/>
  <c r="Q170" i="20"/>
  <c r="R170" i="20" s="1"/>
  <c r="T170" i="20" s="1"/>
  <c r="W169" i="20"/>
  <c r="Q169" i="20"/>
  <c r="R169" i="20" s="1"/>
  <c r="T169" i="20" s="1"/>
  <c r="Q168" i="20"/>
  <c r="R168" i="20" s="1"/>
  <c r="Q167" i="20"/>
  <c r="R167" i="20" s="1"/>
  <c r="T167" i="20" s="1"/>
  <c r="W166" i="20"/>
  <c r="Q166" i="20"/>
  <c r="R166" i="20" s="1"/>
  <c r="T166" i="20" s="1"/>
  <c r="Q165" i="20"/>
  <c r="R165" i="20" s="1"/>
  <c r="T165" i="20" s="1"/>
  <c r="Q164" i="20"/>
  <c r="R164" i="20" s="1"/>
  <c r="T164" i="20" s="1"/>
  <c r="W163" i="20"/>
  <c r="Q163" i="20"/>
  <c r="R163" i="20" s="1"/>
  <c r="T163" i="20" s="1"/>
  <c r="Q162" i="20"/>
  <c r="R162" i="20" s="1"/>
  <c r="T162" i="20" s="1"/>
  <c r="Q161" i="20"/>
  <c r="R161" i="20" s="1"/>
  <c r="T161" i="20" s="1"/>
  <c r="W160" i="20"/>
  <c r="Q160" i="20"/>
  <c r="R160" i="20" s="1"/>
  <c r="T160" i="20" s="1"/>
  <c r="Q159" i="20"/>
  <c r="R159" i="20" s="1"/>
  <c r="T159" i="20" s="1"/>
  <c r="Q158" i="20"/>
  <c r="R158" i="20" s="1"/>
  <c r="W157" i="20"/>
  <c r="Q157" i="20"/>
  <c r="R157" i="20" s="1"/>
  <c r="T157" i="20" s="1"/>
  <c r="Q156" i="20"/>
  <c r="R156" i="20" s="1"/>
  <c r="T156" i="20" s="1"/>
  <c r="Q155" i="20"/>
  <c r="R155" i="20" s="1"/>
  <c r="T155" i="20" s="1"/>
  <c r="W154" i="20"/>
  <c r="Q154" i="20"/>
  <c r="R154" i="20" s="1"/>
  <c r="T154" i="20" s="1"/>
  <c r="Q153" i="20"/>
  <c r="R153" i="20" s="1"/>
  <c r="T153" i="20" s="1"/>
  <c r="Q152" i="20"/>
  <c r="R152" i="20" s="1"/>
  <c r="T152" i="20" s="1"/>
  <c r="W151" i="20"/>
  <c r="Q151" i="20"/>
  <c r="R151" i="20" s="1"/>
  <c r="T151" i="20" s="1"/>
  <c r="Q150" i="20"/>
  <c r="R150" i="20" s="1"/>
  <c r="T150" i="20" s="1"/>
  <c r="Q149" i="20"/>
  <c r="R149" i="20" s="1"/>
  <c r="T149" i="20" s="1"/>
  <c r="W148" i="20"/>
  <c r="Q148" i="20"/>
  <c r="R148" i="20" s="1"/>
  <c r="Q147" i="20"/>
  <c r="R147" i="20" s="1"/>
  <c r="T147" i="20" s="1"/>
  <c r="Q146" i="20"/>
  <c r="R146" i="20" s="1"/>
  <c r="T146" i="20" s="1"/>
  <c r="W145" i="20"/>
  <c r="Q145" i="20"/>
  <c r="R145" i="20" s="1"/>
  <c r="T145" i="20" s="1"/>
  <c r="Q144" i="20"/>
  <c r="R144" i="20" s="1"/>
  <c r="T144" i="20" s="1"/>
  <c r="Q143" i="20"/>
  <c r="R143" i="20" s="1"/>
  <c r="T143" i="20" s="1"/>
  <c r="W142" i="20"/>
  <c r="Q142" i="20"/>
  <c r="R142" i="20" s="1"/>
  <c r="T142" i="20" s="1"/>
  <c r="Q141" i="20"/>
  <c r="R141" i="20" s="1"/>
  <c r="T141" i="20" s="1"/>
  <c r="Q140" i="20"/>
  <c r="R140" i="20" s="1"/>
  <c r="T140" i="20" s="1"/>
  <c r="W139" i="20"/>
  <c r="Q139" i="20"/>
  <c r="R139" i="20" s="1"/>
  <c r="T139" i="20" s="1"/>
  <c r="Q138" i="20"/>
  <c r="R138" i="20" s="1"/>
  <c r="T138" i="20" s="1"/>
  <c r="Q137" i="20"/>
  <c r="R137" i="20" s="1"/>
  <c r="T137" i="20" s="1"/>
  <c r="W136" i="20"/>
  <c r="Q136" i="20"/>
  <c r="R136" i="20" s="1"/>
  <c r="T136" i="20" s="1"/>
  <c r="Q135" i="20"/>
  <c r="R135" i="20" s="1"/>
  <c r="T135" i="20" s="1"/>
  <c r="Q134" i="20"/>
  <c r="R134" i="20" s="1"/>
  <c r="T134" i="20" s="1"/>
  <c r="W133" i="20"/>
  <c r="Q133" i="20"/>
  <c r="R133" i="20" s="1"/>
  <c r="T133" i="20" s="1"/>
  <c r="Q132" i="20"/>
  <c r="R132" i="20" s="1"/>
  <c r="T132" i="20" s="1"/>
  <c r="Q131" i="20"/>
  <c r="R131" i="20" s="1"/>
  <c r="T131" i="20" s="1"/>
  <c r="U133" i="20" s="1"/>
  <c r="W130" i="20"/>
  <c r="Q130" i="20"/>
  <c r="R130" i="20" s="1"/>
  <c r="T130" i="20" s="1"/>
  <c r="Q129" i="20"/>
  <c r="R129" i="20" s="1"/>
  <c r="T129" i="20" s="1"/>
  <c r="Q128" i="20"/>
  <c r="R128" i="20" s="1"/>
  <c r="T128" i="20" s="1"/>
  <c r="W127" i="20"/>
  <c r="Q127" i="20"/>
  <c r="R127" i="20" s="1"/>
  <c r="T127" i="20" s="1"/>
  <c r="Q126" i="20"/>
  <c r="R126" i="20" s="1"/>
  <c r="T126" i="20" s="1"/>
  <c r="Q125" i="20"/>
  <c r="R125" i="20" s="1"/>
  <c r="T125" i="20" s="1"/>
  <c r="W124" i="20"/>
  <c r="Q124" i="20"/>
  <c r="R124" i="20" s="1"/>
  <c r="T124" i="20" s="1"/>
  <c r="Q123" i="20"/>
  <c r="R123" i="20" s="1"/>
  <c r="T123" i="20" s="1"/>
  <c r="Q122" i="20"/>
  <c r="R122" i="20" s="1"/>
  <c r="T122" i="20" s="1"/>
  <c r="W121" i="20"/>
  <c r="Q121" i="20"/>
  <c r="R121" i="20" s="1"/>
  <c r="T121" i="20" s="1"/>
  <c r="Q120" i="20"/>
  <c r="R120" i="20" s="1"/>
  <c r="T120" i="20" s="1"/>
  <c r="Q119" i="20"/>
  <c r="R119" i="20" s="1"/>
  <c r="T119" i="20" s="1"/>
  <c r="W118" i="20"/>
  <c r="Q118" i="20"/>
  <c r="R118" i="20" s="1"/>
  <c r="T118" i="20" s="1"/>
  <c r="Q117" i="20"/>
  <c r="R117" i="20" s="1"/>
  <c r="T117" i="20" s="1"/>
  <c r="Q116" i="20"/>
  <c r="R116" i="20" s="1"/>
  <c r="T116" i="20" s="1"/>
  <c r="W115" i="20"/>
  <c r="Q115" i="20"/>
  <c r="R115" i="20" s="1"/>
  <c r="T115" i="20" s="1"/>
  <c r="Q114" i="20"/>
  <c r="R114" i="20" s="1"/>
  <c r="T114" i="20" s="1"/>
  <c r="Q113" i="20"/>
  <c r="R113" i="20" s="1"/>
  <c r="T113" i="20" s="1"/>
  <c r="W112" i="20"/>
  <c r="Q112" i="20"/>
  <c r="R112" i="20" s="1"/>
  <c r="T112" i="20" s="1"/>
  <c r="Q111" i="20"/>
  <c r="R111" i="20" s="1"/>
  <c r="T111" i="20" s="1"/>
  <c r="Q110" i="20"/>
  <c r="R110" i="20" s="1"/>
  <c r="T110" i="20" s="1"/>
  <c r="W109" i="20"/>
  <c r="Q109" i="20"/>
  <c r="R109" i="20" s="1"/>
  <c r="T109" i="20" s="1"/>
  <c r="Q108" i="20"/>
  <c r="R108" i="20" s="1"/>
  <c r="T108" i="20" s="1"/>
  <c r="Q107" i="20"/>
  <c r="R107" i="20" s="1"/>
  <c r="T107" i="20" s="1"/>
  <c r="W94" i="20"/>
  <c r="Q94" i="20"/>
  <c r="R94" i="20" s="1"/>
  <c r="T94" i="20" s="1"/>
  <c r="Q93" i="20"/>
  <c r="R93" i="20" s="1"/>
  <c r="T93" i="20" s="1"/>
  <c r="Q92" i="20"/>
  <c r="R92" i="20" s="1"/>
  <c r="T92" i="20" s="1"/>
  <c r="W91" i="20"/>
  <c r="Q91" i="20"/>
  <c r="R91" i="20" s="1"/>
  <c r="T91" i="20" s="1"/>
  <c r="Q90" i="20"/>
  <c r="R90" i="20" s="1"/>
  <c r="Q89" i="20"/>
  <c r="R89" i="20" s="1"/>
  <c r="T89" i="20" s="1"/>
  <c r="W88" i="20"/>
  <c r="Q88" i="20"/>
  <c r="R88" i="20" s="1"/>
  <c r="T88" i="20" s="1"/>
  <c r="Q87" i="20"/>
  <c r="R87" i="20" s="1"/>
  <c r="T87" i="20" s="1"/>
  <c r="Q86" i="20"/>
  <c r="R86" i="20" s="1"/>
  <c r="T86" i="20" s="1"/>
  <c r="W85" i="20"/>
  <c r="Q85" i="20"/>
  <c r="R85" i="20" s="1"/>
  <c r="T85" i="20" s="1"/>
  <c r="Q84" i="20"/>
  <c r="R84" i="20" s="1"/>
  <c r="T84" i="20" s="1"/>
  <c r="Q83" i="20"/>
  <c r="R83" i="20" s="1"/>
  <c r="T83" i="20" s="1"/>
  <c r="U85" i="20" s="1"/>
  <c r="W82" i="20"/>
  <c r="Q82" i="20"/>
  <c r="R82" i="20" s="1"/>
  <c r="T82" i="20" s="1"/>
  <c r="Q81" i="20"/>
  <c r="R81" i="20" s="1"/>
  <c r="T81" i="20" s="1"/>
  <c r="Q80" i="20"/>
  <c r="R80" i="20" s="1"/>
  <c r="T80" i="20" s="1"/>
  <c r="W79" i="20"/>
  <c r="Q79" i="20"/>
  <c r="R79" i="20" s="1"/>
  <c r="T79" i="20" s="1"/>
  <c r="Q78" i="20"/>
  <c r="R78" i="20" s="1"/>
  <c r="T78" i="20" s="1"/>
  <c r="Q77" i="20"/>
  <c r="R77" i="20" s="1"/>
  <c r="T77" i="20" s="1"/>
  <c r="W76" i="20"/>
  <c r="Q76" i="20"/>
  <c r="R76" i="20" s="1"/>
  <c r="T76" i="20" s="1"/>
  <c r="Q75" i="20"/>
  <c r="R75" i="20" s="1"/>
  <c r="T75" i="20" s="1"/>
  <c r="Q74" i="20"/>
  <c r="R74" i="20" s="1"/>
  <c r="T74" i="20" s="1"/>
  <c r="W73" i="20"/>
  <c r="Q73" i="20"/>
  <c r="R73" i="20" s="1"/>
  <c r="T73" i="20" s="1"/>
  <c r="Q72" i="20"/>
  <c r="R72" i="20" s="1"/>
  <c r="Q71" i="20"/>
  <c r="R71" i="20" s="1"/>
  <c r="T71" i="20" s="1"/>
  <c r="W70" i="20"/>
  <c r="Q70" i="20"/>
  <c r="R70" i="20" s="1"/>
  <c r="T70" i="20" s="1"/>
  <c r="Q69" i="20"/>
  <c r="R69" i="20" s="1"/>
  <c r="T69" i="20" s="1"/>
  <c r="Q68" i="20"/>
  <c r="R68" i="20" s="1"/>
  <c r="T68" i="20" s="1"/>
  <c r="W67" i="20"/>
  <c r="Q67" i="20"/>
  <c r="R67" i="20" s="1"/>
  <c r="T67" i="20" s="1"/>
  <c r="Q66" i="20"/>
  <c r="R66" i="20" s="1"/>
  <c r="T66" i="20" s="1"/>
  <c r="Q65" i="20"/>
  <c r="R65" i="20" s="1"/>
  <c r="T65" i="20" s="1"/>
  <c r="W64" i="20"/>
  <c r="Q64" i="20"/>
  <c r="R64" i="20" s="1"/>
  <c r="T64" i="20" s="1"/>
  <c r="Q63" i="20"/>
  <c r="R63" i="20" s="1"/>
  <c r="T63" i="20" s="1"/>
  <c r="Q62" i="20"/>
  <c r="R62" i="20" s="1"/>
  <c r="T62" i="20" s="1"/>
  <c r="W61" i="20"/>
  <c r="Q61" i="20"/>
  <c r="R61" i="20" s="1"/>
  <c r="T61" i="20" s="1"/>
  <c r="Q60" i="20"/>
  <c r="R60" i="20" s="1"/>
  <c r="T60" i="20" s="1"/>
  <c r="Q59" i="20"/>
  <c r="R59" i="20" s="1"/>
  <c r="T59" i="20" s="1"/>
  <c r="W58" i="20"/>
  <c r="Q58" i="20"/>
  <c r="R58" i="20" s="1"/>
  <c r="T58" i="20" s="1"/>
  <c r="Q57" i="20"/>
  <c r="R57" i="20" s="1"/>
  <c r="T57" i="20" s="1"/>
  <c r="Q56" i="20"/>
  <c r="R56" i="20" s="1"/>
  <c r="T56" i="20" s="1"/>
  <c r="W55" i="20"/>
  <c r="Q55" i="20"/>
  <c r="R55" i="20" s="1"/>
  <c r="T55" i="20" s="1"/>
  <c r="Q54" i="20"/>
  <c r="R54" i="20" s="1"/>
  <c r="T54" i="20" s="1"/>
  <c r="Q53" i="20"/>
  <c r="R53" i="20" s="1"/>
  <c r="T53" i="20" s="1"/>
  <c r="W52" i="20"/>
  <c r="Q52" i="20"/>
  <c r="R52" i="20" s="1"/>
  <c r="T52" i="20" s="1"/>
  <c r="Q51" i="20"/>
  <c r="R51" i="20" s="1"/>
  <c r="T51" i="20" s="1"/>
  <c r="Q50" i="20"/>
  <c r="R50" i="20" s="1"/>
  <c r="T50" i="20" s="1"/>
  <c r="W49" i="20"/>
  <c r="Q49" i="20"/>
  <c r="R49" i="20" s="1"/>
  <c r="T49" i="20" s="1"/>
  <c r="Q48" i="20"/>
  <c r="R48" i="20" s="1"/>
  <c r="T48" i="20" s="1"/>
  <c r="Q47" i="20"/>
  <c r="R47" i="20" s="1"/>
  <c r="T47" i="20" s="1"/>
  <c r="W46" i="20"/>
  <c r="Q46" i="20"/>
  <c r="R46" i="20" s="1"/>
  <c r="T46" i="20" s="1"/>
  <c r="Q45" i="20"/>
  <c r="R45" i="20" s="1"/>
  <c r="T45" i="20" s="1"/>
  <c r="Q44" i="20"/>
  <c r="R44" i="20" s="1"/>
  <c r="T44" i="20" s="1"/>
  <c r="W43" i="20"/>
  <c r="Q43" i="20"/>
  <c r="R43" i="20" s="1"/>
  <c r="T43" i="20" s="1"/>
  <c r="Q42" i="20"/>
  <c r="R42" i="20" s="1"/>
  <c r="T42" i="20" s="1"/>
  <c r="Q41" i="20"/>
  <c r="R41" i="20" s="1"/>
  <c r="T41" i="20" s="1"/>
  <c r="W40" i="20"/>
  <c r="Q40" i="20"/>
  <c r="R40" i="20" s="1"/>
  <c r="T40" i="20" s="1"/>
  <c r="Q39" i="20"/>
  <c r="R39" i="20" s="1"/>
  <c r="T39" i="20" s="1"/>
  <c r="Q38" i="20"/>
  <c r="R38" i="20" s="1"/>
  <c r="T38" i="20" s="1"/>
  <c r="W37" i="20"/>
  <c r="Q37" i="20"/>
  <c r="R37" i="20" s="1"/>
  <c r="T37" i="20" s="1"/>
  <c r="Q36" i="20"/>
  <c r="R36" i="20" s="1"/>
  <c r="T36" i="20" s="1"/>
  <c r="Q35" i="20"/>
  <c r="R35" i="20" s="1"/>
  <c r="T35" i="20" s="1"/>
  <c r="U37" i="20" s="1"/>
  <c r="W34" i="20"/>
  <c r="Q34" i="20"/>
  <c r="R34" i="20" s="1"/>
  <c r="T34" i="20" s="1"/>
  <c r="Q33" i="20"/>
  <c r="R33" i="20" s="1"/>
  <c r="T33" i="20" s="1"/>
  <c r="Q32" i="20"/>
  <c r="R32" i="20" s="1"/>
  <c r="T32" i="20" s="1"/>
  <c r="W31" i="20"/>
  <c r="Q31" i="20"/>
  <c r="R31" i="20" s="1"/>
  <c r="T31" i="20" s="1"/>
  <c r="Q30" i="20"/>
  <c r="R30" i="20" s="1"/>
  <c r="T30" i="20" s="1"/>
  <c r="Q29" i="20"/>
  <c r="R29" i="20" s="1"/>
  <c r="T29" i="20" s="1"/>
  <c r="W28" i="20"/>
  <c r="Q28" i="20"/>
  <c r="R28" i="20" s="1"/>
  <c r="T28" i="20" s="1"/>
  <c r="Q27" i="20"/>
  <c r="R27" i="20" s="1"/>
  <c r="T27" i="20" s="1"/>
  <c r="Q26" i="20"/>
  <c r="R26" i="20" s="1"/>
  <c r="T26" i="20" s="1"/>
  <c r="W25" i="20"/>
  <c r="Q25" i="20"/>
  <c r="R25" i="20" s="1"/>
  <c r="T25" i="20" s="1"/>
  <c r="Q24" i="20"/>
  <c r="R24" i="20" s="1"/>
  <c r="T24" i="20" s="1"/>
  <c r="Q23" i="20"/>
  <c r="R23" i="20" s="1"/>
  <c r="T23" i="20" s="1"/>
  <c r="W22" i="20"/>
  <c r="Q22" i="20"/>
  <c r="R22" i="20" s="1"/>
  <c r="T22" i="20" s="1"/>
  <c r="Q21" i="20"/>
  <c r="R21" i="20" s="1"/>
  <c r="T21" i="20" s="1"/>
  <c r="Q20" i="20"/>
  <c r="R20" i="20" s="1"/>
  <c r="T20" i="20" s="1"/>
  <c r="W19" i="20"/>
  <c r="Q19" i="20"/>
  <c r="R19" i="20" s="1"/>
  <c r="T19" i="20" s="1"/>
  <c r="Q18" i="20"/>
  <c r="R18" i="20" s="1"/>
  <c r="T18" i="20" s="1"/>
  <c r="Q17" i="20"/>
  <c r="R17" i="20" s="1"/>
  <c r="T17" i="20" s="1"/>
  <c r="W16" i="20"/>
  <c r="Q16" i="20"/>
  <c r="R16" i="20" s="1"/>
  <c r="T16" i="20" s="1"/>
  <c r="Q15" i="20"/>
  <c r="R15" i="20" s="1"/>
  <c r="T15" i="20" s="1"/>
  <c r="Q14" i="20"/>
  <c r="R14" i="20" s="1"/>
  <c r="T14" i="20" s="1"/>
  <c r="W13" i="20"/>
  <c r="Q13" i="20"/>
  <c r="R13" i="20" s="1"/>
  <c r="T13" i="20" s="1"/>
  <c r="Q12" i="20"/>
  <c r="R12" i="20" s="1"/>
  <c r="T12" i="20" s="1"/>
  <c r="Q11" i="20"/>
  <c r="R11" i="20" s="1"/>
  <c r="T11" i="20" s="1"/>
  <c r="W298" i="19"/>
  <c r="Q298" i="19"/>
  <c r="R298" i="19" s="1"/>
  <c r="T298" i="19" s="1"/>
  <c r="Q297" i="19"/>
  <c r="R297" i="19" s="1"/>
  <c r="T297" i="19" s="1"/>
  <c r="Q296" i="19"/>
  <c r="R296" i="19" s="1"/>
  <c r="T296" i="19" s="1"/>
  <c r="W295" i="19"/>
  <c r="Q295" i="19"/>
  <c r="R295" i="19" s="1"/>
  <c r="T295" i="19" s="1"/>
  <c r="Q294" i="19"/>
  <c r="R294" i="19" s="1"/>
  <c r="T294" i="19" s="1"/>
  <c r="Q293" i="19"/>
  <c r="R293" i="19" s="1"/>
  <c r="T293" i="19" s="1"/>
  <c r="W292" i="19"/>
  <c r="Q292" i="19"/>
  <c r="R292" i="19" s="1"/>
  <c r="T292" i="19" s="1"/>
  <c r="Q291" i="19"/>
  <c r="R291" i="19" s="1"/>
  <c r="T291" i="19" s="1"/>
  <c r="Q290" i="19"/>
  <c r="R290" i="19" s="1"/>
  <c r="T290" i="19" s="1"/>
  <c r="W289" i="19"/>
  <c r="Q289" i="19"/>
  <c r="R289" i="19" s="1"/>
  <c r="T289" i="19" s="1"/>
  <c r="Q288" i="19"/>
  <c r="R288" i="19" s="1"/>
  <c r="T288" i="19" s="1"/>
  <c r="Q287" i="19"/>
  <c r="R287" i="19" s="1"/>
  <c r="T287" i="19" s="1"/>
  <c r="V289" i="19" s="1"/>
  <c r="W286" i="19"/>
  <c r="Q286" i="19"/>
  <c r="R286" i="19" s="1"/>
  <c r="T286" i="19" s="1"/>
  <c r="Q285" i="19"/>
  <c r="R285" i="19" s="1"/>
  <c r="T285" i="19" s="1"/>
  <c r="Q284" i="19"/>
  <c r="R284" i="19" s="1"/>
  <c r="T284" i="19" s="1"/>
  <c r="W283" i="19"/>
  <c r="Q283" i="19"/>
  <c r="R283" i="19" s="1"/>
  <c r="T283" i="19" s="1"/>
  <c r="Q282" i="19"/>
  <c r="R282" i="19" s="1"/>
  <c r="T282" i="19" s="1"/>
  <c r="Q281" i="19"/>
  <c r="R281" i="19" s="1"/>
  <c r="T281" i="19" s="1"/>
  <c r="W280" i="19"/>
  <c r="Q280" i="19"/>
  <c r="R280" i="19" s="1"/>
  <c r="T280" i="19" s="1"/>
  <c r="Q279" i="19"/>
  <c r="R279" i="19" s="1"/>
  <c r="T279" i="19" s="1"/>
  <c r="Q278" i="19"/>
  <c r="R278" i="19" s="1"/>
  <c r="T278" i="19" s="1"/>
  <c r="V280" i="19" s="1"/>
  <c r="W277" i="19"/>
  <c r="Q277" i="19"/>
  <c r="R277" i="19" s="1"/>
  <c r="T277" i="19" s="1"/>
  <c r="Q276" i="19"/>
  <c r="R276" i="19" s="1"/>
  <c r="T276" i="19" s="1"/>
  <c r="Q275" i="19"/>
  <c r="R275" i="19" s="1"/>
  <c r="T275" i="19" s="1"/>
  <c r="W274" i="19"/>
  <c r="Q274" i="19"/>
  <c r="R274" i="19" s="1"/>
  <c r="T274" i="19" s="1"/>
  <c r="Q273" i="19"/>
  <c r="R273" i="19" s="1"/>
  <c r="T273" i="19" s="1"/>
  <c r="Q272" i="19"/>
  <c r="R272" i="19" s="1"/>
  <c r="T272" i="19" s="1"/>
  <c r="V274" i="19" s="1"/>
  <c r="W271" i="19"/>
  <c r="Q271" i="19"/>
  <c r="R271" i="19" s="1"/>
  <c r="T271" i="19" s="1"/>
  <c r="Q270" i="19"/>
  <c r="R270" i="19" s="1"/>
  <c r="T270" i="19" s="1"/>
  <c r="Q269" i="19"/>
  <c r="R269" i="19" s="1"/>
  <c r="T269" i="19" s="1"/>
  <c r="W268" i="19"/>
  <c r="Q268" i="19"/>
  <c r="R268" i="19" s="1"/>
  <c r="T268" i="19" s="1"/>
  <c r="Q267" i="19"/>
  <c r="R267" i="19" s="1"/>
  <c r="T267" i="19" s="1"/>
  <c r="Q266" i="19"/>
  <c r="R266" i="19" s="1"/>
  <c r="T266" i="19" s="1"/>
  <c r="W265" i="19"/>
  <c r="Q265" i="19"/>
  <c r="R265" i="19" s="1"/>
  <c r="T265" i="19" s="1"/>
  <c r="Q264" i="19"/>
  <c r="R264" i="19" s="1"/>
  <c r="T264" i="19" s="1"/>
  <c r="Q263" i="19"/>
  <c r="R263" i="19" s="1"/>
  <c r="T263" i="19" s="1"/>
  <c r="V265" i="19" s="1"/>
  <c r="W262" i="19"/>
  <c r="Q262" i="19"/>
  <c r="R262" i="19" s="1"/>
  <c r="T262" i="19" s="1"/>
  <c r="Q261" i="19"/>
  <c r="R261" i="19" s="1"/>
  <c r="T261" i="19" s="1"/>
  <c r="Q260" i="19"/>
  <c r="R260" i="19" s="1"/>
  <c r="T260" i="19" s="1"/>
  <c r="W259" i="19"/>
  <c r="Q259" i="19"/>
  <c r="R259" i="19" s="1"/>
  <c r="T259" i="19" s="1"/>
  <c r="Q258" i="19"/>
  <c r="R258" i="19" s="1"/>
  <c r="T258" i="19" s="1"/>
  <c r="Q257" i="19"/>
  <c r="R257" i="19" s="1"/>
  <c r="T257" i="19" s="1"/>
  <c r="W256" i="19"/>
  <c r="Q256" i="19"/>
  <c r="R256" i="19" s="1"/>
  <c r="T256" i="19" s="1"/>
  <c r="Q255" i="19"/>
  <c r="R255" i="19" s="1"/>
  <c r="T255" i="19" s="1"/>
  <c r="Q254" i="19"/>
  <c r="R254" i="19" s="1"/>
  <c r="T254" i="19" s="1"/>
  <c r="W253" i="19"/>
  <c r="Q253" i="19"/>
  <c r="R253" i="19" s="1"/>
  <c r="T253" i="19" s="1"/>
  <c r="Q252" i="19"/>
  <c r="R252" i="19" s="1"/>
  <c r="T252" i="19" s="1"/>
  <c r="Q251" i="19"/>
  <c r="R251" i="19" s="1"/>
  <c r="T251" i="19" s="1"/>
  <c r="U253" i="19" s="1"/>
  <c r="W250" i="19"/>
  <c r="Q250" i="19"/>
  <c r="R250" i="19" s="1"/>
  <c r="T250" i="19" s="1"/>
  <c r="Q249" i="19"/>
  <c r="R249" i="19" s="1"/>
  <c r="T249" i="19" s="1"/>
  <c r="Q248" i="19"/>
  <c r="R248" i="19" s="1"/>
  <c r="T248" i="19" s="1"/>
  <c r="V250" i="19" s="1"/>
  <c r="W247" i="19"/>
  <c r="Q247" i="19"/>
  <c r="R247" i="19" s="1"/>
  <c r="T247" i="19" s="1"/>
  <c r="Q246" i="19"/>
  <c r="R246" i="19" s="1"/>
  <c r="T246" i="19" s="1"/>
  <c r="Q245" i="19"/>
  <c r="R245" i="19" s="1"/>
  <c r="T245" i="19" s="1"/>
  <c r="W244" i="19"/>
  <c r="Q244" i="19"/>
  <c r="R244" i="19" s="1"/>
  <c r="T244" i="19" s="1"/>
  <c r="Q243" i="19"/>
  <c r="R243" i="19" s="1"/>
  <c r="T243" i="19" s="1"/>
  <c r="Q242" i="19"/>
  <c r="R242" i="19" s="1"/>
  <c r="T242" i="19" s="1"/>
  <c r="W241" i="19"/>
  <c r="Q241" i="19"/>
  <c r="R241" i="19" s="1"/>
  <c r="T241" i="19" s="1"/>
  <c r="Q240" i="19"/>
  <c r="R240" i="19" s="1"/>
  <c r="T240" i="19" s="1"/>
  <c r="Q239" i="19"/>
  <c r="R239" i="19" s="1"/>
  <c r="T239" i="19" s="1"/>
  <c r="W238" i="19"/>
  <c r="Q238" i="19"/>
  <c r="R238" i="19" s="1"/>
  <c r="T238" i="19" s="1"/>
  <c r="Q237" i="19"/>
  <c r="R237" i="19" s="1"/>
  <c r="T237" i="19" s="1"/>
  <c r="Q236" i="19"/>
  <c r="R236" i="19" s="1"/>
  <c r="T236" i="19" s="1"/>
  <c r="V238" i="19" s="1"/>
  <c r="W235" i="19"/>
  <c r="Q235" i="19"/>
  <c r="R235" i="19" s="1"/>
  <c r="T235" i="19" s="1"/>
  <c r="Q234" i="19"/>
  <c r="R234" i="19" s="1"/>
  <c r="T234" i="19" s="1"/>
  <c r="Q233" i="19"/>
  <c r="R233" i="19" s="1"/>
  <c r="T233" i="19" s="1"/>
  <c r="W232" i="19"/>
  <c r="Q232" i="19"/>
  <c r="R232" i="19" s="1"/>
  <c r="T232" i="19" s="1"/>
  <c r="Q231" i="19"/>
  <c r="R231" i="19" s="1"/>
  <c r="T231" i="19" s="1"/>
  <c r="Q230" i="19"/>
  <c r="R230" i="19" s="1"/>
  <c r="T230" i="19" s="1"/>
  <c r="W229" i="19"/>
  <c r="Q229" i="19"/>
  <c r="R229" i="19" s="1"/>
  <c r="T229" i="19" s="1"/>
  <c r="Q228" i="19"/>
  <c r="R228" i="19" s="1"/>
  <c r="T228" i="19" s="1"/>
  <c r="Q227" i="19"/>
  <c r="R227" i="19" s="1"/>
  <c r="T227" i="19" s="1"/>
  <c r="V229" i="19" s="1"/>
  <c r="W226" i="19"/>
  <c r="Q226" i="19"/>
  <c r="R226" i="19" s="1"/>
  <c r="T226" i="19" s="1"/>
  <c r="Q225" i="19"/>
  <c r="R225" i="19" s="1"/>
  <c r="T225" i="19" s="1"/>
  <c r="Q224" i="19"/>
  <c r="R224" i="19" s="1"/>
  <c r="T224" i="19" s="1"/>
  <c r="W223" i="19"/>
  <c r="Q223" i="19"/>
  <c r="R223" i="19" s="1"/>
  <c r="T223" i="19" s="1"/>
  <c r="Q222" i="19"/>
  <c r="R222" i="19" s="1"/>
  <c r="T222" i="19" s="1"/>
  <c r="Q221" i="19"/>
  <c r="R221" i="19" s="1"/>
  <c r="T221" i="19" s="1"/>
  <c r="W220" i="19"/>
  <c r="Q220" i="19"/>
  <c r="R220" i="19" s="1"/>
  <c r="T220" i="19" s="1"/>
  <c r="Q219" i="19"/>
  <c r="R219" i="19" s="1"/>
  <c r="T219" i="19" s="1"/>
  <c r="Q218" i="19"/>
  <c r="R218" i="19" s="1"/>
  <c r="T218" i="19" s="1"/>
  <c r="W217" i="19"/>
  <c r="Q217" i="19"/>
  <c r="R217" i="19" s="1"/>
  <c r="T217" i="19" s="1"/>
  <c r="Q216" i="19"/>
  <c r="R216" i="19" s="1"/>
  <c r="T216" i="19" s="1"/>
  <c r="Q215" i="19"/>
  <c r="R215" i="19" s="1"/>
  <c r="T215" i="19" s="1"/>
  <c r="W214" i="19"/>
  <c r="Q214" i="19"/>
  <c r="R214" i="19" s="1"/>
  <c r="T214" i="19" s="1"/>
  <c r="Q213" i="19"/>
  <c r="R213" i="19" s="1"/>
  <c r="T213" i="19" s="1"/>
  <c r="Q212" i="19"/>
  <c r="R212" i="19" s="1"/>
  <c r="T212" i="19" s="1"/>
  <c r="V214" i="19" s="1"/>
  <c r="W211" i="19"/>
  <c r="Q211" i="19"/>
  <c r="R211" i="19" s="1"/>
  <c r="T211" i="19" s="1"/>
  <c r="Q210" i="19"/>
  <c r="R210" i="19" s="1"/>
  <c r="T210" i="19" s="1"/>
  <c r="Q209" i="19"/>
  <c r="R209" i="19" s="1"/>
  <c r="T209" i="19" s="1"/>
  <c r="W208" i="19"/>
  <c r="Q208" i="19"/>
  <c r="R208" i="19" s="1"/>
  <c r="T208" i="19" s="1"/>
  <c r="Q207" i="19"/>
  <c r="R207" i="19" s="1"/>
  <c r="T207" i="19" s="1"/>
  <c r="Q206" i="19"/>
  <c r="R206" i="19" s="1"/>
  <c r="T206" i="19" s="1"/>
  <c r="V208" i="19" s="1"/>
  <c r="W205" i="19"/>
  <c r="Q205" i="19"/>
  <c r="R205" i="19" s="1"/>
  <c r="T205" i="19" s="1"/>
  <c r="Q204" i="19"/>
  <c r="R204" i="19" s="1"/>
  <c r="T204" i="19" s="1"/>
  <c r="Q203" i="19"/>
  <c r="R203" i="19" s="1"/>
  <c r="T203" i="19" s="1"/>
  <c r="V205" i="19" s="1"/>
  <c r="W202" i="19"/>
  <c r="Q202" i="19"/>
  <c r="R202" i="19" s="1"/>
  <c r="T202" i="19" s="1"/>
  <c r="Q201" i="19"/>
  <c r="R201" i="19" s="1"/>
  <c r="T201" i="19" s="1"/>
  <c r="Q200" i="19"/>
  <c r="R200" i="19" s="1"/>
  <c r="T200" i="19" s="1"/>
  <c r="W199" i="19"/>
  <c r="Q199" i="19"/>
  <c r="R199" i="19" s="1"/>
  <c r="T199" i="19" s="1"/>
  <c r="Q198" i="19"/>
  <c r="R198" i="19" s="1"/>
  <c r="T198" i="19" s="1"/>
  <c r="Q197" i="19"/>
  <c r="R197" i="19" s="1"/>
  <c r="T197" i="19" s="1"/>
  <c r="W196" i="19"/>
  <c r="Q196" i="19"/>
  <c r="R196" i="19" s="1"/>
  <c r="T196" i="19" s="1"/>
  <c r="Q195" i="19"/>
  <c r="R195" i="19" s="1"/>
  <c r="T195" i="19" s="1"/>
  <c r="Q194" i="19"/>
  <c r="R194" i="19" s="1"/>
  <c r="T194" i="19" s="1"/>
  <c r="W193" i="19"/>
  <c r="Q193" i="19"/>
  <c r="R193" i="19" s="1"/>
  <c r="T193" i="19" s="1"/>
  <c r="Q192" i="19"/>
  <c r="R192" i="19" s="1"/>
  <c r="T192" i="19" s="1"/>
  <c r="Q191" i="19"/>
  <c r="R191" i="19" s="1"/>
  <c r="T191" i="19" s="1"/>
  <c r="U193" i="19" s="1"/>
  <c r="W190" i="19"/>
  <c r="Q190" i="19"/>
  <c r="R190" i="19" s="1"/>
  <c r="T190" i="19" s="1"/>
  <c r="Q189" i="19"/>
  <c r="R189" i="19" s="1"/>
  <c r="T189" i="19" s="1"/>
  <c r="Q188" i="19"/>
  <c r="R188" i="19" s="1"/>
  <c r="T188" i="19" s="1"/>
  <c r="W187" i="19"/>
  <c r="Q187" i="19"/>
  <c r="R187" i="19" s="1"/>
  <c r="T187" i="19" s="1"/>
  <c r="Q186" i="19"/>
  <c r="R186" i="19" s="1"/>
  <c r="T186" i="19" s="1"/>
  <c r="Q185" i="19"/>
  <c r="R185" i="19" s="1"/>
  <c r="T185" i="19" s="1"/>
  <c r="W184" i="19"/>
  <c r="Q184" i="19"/>
  <c r="R184" i="19" s="1"/>
  <c r="T184" i="19" s="1"/>
  <c r="Q183" i="19"/>
  <c r="R183" i="19" s="1"/>
  <c r="T183" i="19" s="1"/>
  <c r="Q182" i="19"/>
  <c r="R182" i="19" s="1"/>
  <c r="T182" i="19" s="1"/>
  <c r="V184" i="19" s="1"/>
  <c r="W181" i="19"/>
  <c r="Q181" i="19"/>
  <c r="R181" i="19" s="1"/>
  <c r="T181" i="19" s="1"/>
  <c r="Q180" i="19"/>
  <c r="R180" i="19" s="1"/>
  <c r="T180" i="19" s="1"/>
  <c r="Q179" i="19"/>
  <c r="R179" i="19" s="1"/>
  <c r="T179" i="19" s="1"/>
  <c r="W178" i="19"/>
  <c r="Q178" i="19"/>
  <c r="R178" i="19" s="1"/>
  <c r="T178" i="19" s="1"/>
  <c r="Q177" i="19"/>
  <c r="R177" i="19" s="1"/>
  <c r="T177" i="19" s="1"/>
  <c r="Q176" i="19"/>
  <c r="R176" i="19" s="1"/>
  <c r="T176" i="19" s="1"/>
  <c r="W175" i="19"/>
  <c r="Q175" i="19"/>
  <c r="R175" i="19" s="1"/>
  <c r="T175" i="19" s="1"/>
  <c r="Q174" i="19"/>
  <c r="R174" i="19" s="1"/>
  <c r="T174" i="19" s="1"/>
  <c r="Q173" i="19"/>
  <c r="R173" i="19" s="1"/>
  <c r="T173" i="19" s="1"/>
  <c r="W172" i="19"/>
  <c r="Q172" i="19"/>
  <c r="R172" i="19" s="1"/>
  <c r="T172" i="19" s="1"/>
  <c r="Q171" i="19"/>
  <c r="R171" i="19" s="1"/>
  <c r="T171" i="19" s="1"/>
  <c r="Q170" i="19"/>
  <c r="R170" i="19" s="1"/>
  <c r="T170" i="19" s="1"/>
  <c r="W169" i="19"/>
  <c r="Q169" i="19"/>
  <c r="R169" i="19" s="1"/>
  <c r="T169" i="19" s="1"/>
  <c r="Q168" i="19"/>
  <c r="R168" i="19" s="1"/>
  <c r="T168" i="19" s="1"/>
  <c r="Q167" i="19"/>
  <c r="R167" i="19" s="1"/>
  <c r="T167" i="19" s="1"/>
  <c r="U169" i="19" s="1"/>
  <c r="W166" i="19"/>
  <c r="Q166" i="19"/>
  <c r="R166" i="19" s="1"/>
  <c r="T166" i="19" s="1"/>
  <c r="Q165" i="19"/>
  <c r="R165" i="19" s="1"/>
  <c r="T165" i="19" s="1"/>
  <c r="Q164" i="19"/>
  <c r="R164" i="19" s="1"/>
  <c r="T164" i="19" s="1"/>
  <c r="W163" i="19"/>
  <c r="Q163" i="19"/>
  <c r="R163" i="19" s="1"/>
  <c r="T163" i="19" s="1"/>
  <c r="Q162" i="19"/>
  <c r="R162" i="19" s="1"/>
  <c r="T162" i="19" s="1"/>
  <c r="Q161" i="19"/>
  <c r="R161" i="19" s="1"/>
  <c r="T161" i="19" s="1"/>
  <c r="W160" i="19"/>
  <c r="Q160" i="19"/>
  <c r="R160" i="19" s="1"/>
  <c r="T160" i="19" s="1"/>
  <c r="Q159" i="19"/>
  <c r="R159" i="19" s="1"/>
  <c r="T159" i="19" s="1"/>
  <c r="Q158" i="19"/>
  <c r="R158" i="19" s="1"/>
  <c r="T158" i="19" s="1"/>
  <c r="W157" i="19"/>
  <c r="Q157" i="19"/>
  <c r="R157" i="19" s="1"/>
  <c r="T157" i="19" s="1"/>
  <c r="Q156" i="19"/>
  <c r="R156" i="19" s="1"/>
  <c r="T156" i="19" s="1"/>
  <c r="Q155" i="19"/>
  <c r="R155" i="19" s="1"/>
  <c r="T155" i="19" s="1"/>
  <c r="U157" i="19" s="1"/>
  <c r="W154" i="19"/>
  <c r="Q154" i="19"/>
  <c r="R154" i="19" s="1"/>
  <c r="T154" i="19" s="1"/>
  <c r="Q153" i="19"/>
  <c r="R153" i="19" s="1"/>
  <c r="T153" i="19" s="1"/>
  <c r="Q152" i="19"/>
  <c r="R152" i="19" s="1"/>
  <c r="T152" i="19" s="1"/>
  <c r="W151" i="19"/>
  <c r="Q151" i="19"/>
  <c r="R151" i="19" s="1"/>
  <c r="T151" i="19" s="1"/>
  <c r="Q150" i="19"/>
  <c r="R150" i="19" s="1"/>
  <c r="T150" i="19" s="1"/>
  <c r="Q149" i="19"/>
  <c r="R149" i="19" s="1"/>
  <c r="T149" i="19" s="1"/>
  <c r="W148" i="19"/>
  <c r="Q148" i="19"/>
  <c r="R148" i="19" s="1"/>
  <c r="T148" i="19" s="1"/>
  <c r="Q147" i="19"/>
  <c r="R147" i="19" s="1"/>
  <c r="T147" i="19" s="1"/>
  <c r="Q146" i="19"/>
  <c r="R146" i="19" s="1"/>
  <c r="T146" i="19" s="1"/>
  <c r="V148" i="19" s="1"/>
  <c r="W145" i="19"/>
  <c r="Q145" i="19"/>
  <c r="R145" i="19" s="1"/>
  <c r="T145" i="19" s="1"/>
  <c r="Q144" i="19"/>
  <c r="R144" i="19" s="1"/>
  <c r="T144" i="19" s="1"/>
  <c r="Q143" i="19"/>
  <c r="R143" i="19" s="1"/>
  <c r="T143" i="19" s="1"/>
  <c r="W142" i="19"/>
  <c r="Q142" i="19"/>
  <c r="R142" i="19" s="1"/>
  <c r="T142" i="19" s="1"/>
  <c r="Q141" i="19"/>
  <c r="R141" i="19" s="1"/>
  <c r="T141" i="19" s="1"/>
  <c r="Q140" i="19"/>
  <c r="R140" i="19" s="1"/>
  <c r="T140" i="19" s="1"/>
  <c r="W139" i="19"/>
  <c r="Q139" i="19"/>
  <c r="R139" i="19" s="1"/>
  <c r="T139" i="19" s="1"/>
  <c r="Q138" i="19"/>
  <c r="R138" i="19" s="1"/>
  <c r="T138" i="19" s="1"/>
  <c r="Q137" i="19"/>
  <c r="R137" i="19" s="1"/>
  <c r="T137" i="19" s="1"/>
  <c r="W136" i="19"/>
  <c r="Q136" i="19"/>
  <c r="R136" i="19" s="1"/>
  <c r="T136" i="19" s="1"/>
  <c r="Q135" i="19"/>
  <c r="R135" i="19" s="1"/>
  <c r="T135" i="19" s="1"/>
  <c r="Q134" i="19"/>
  <c r="R134" i="19" s="1"/>
  <c r="T134" i="19" s="1"/>
  <c r="W133" i="19"/>
  <c r="Q133" i="19"/>
  <c r="R133" i="19" s="1"/>
  <c r="T133" i="19" s="1"/>
  <c r="Q132" i="19"/>
  <c r="R132" i="19" s="1"/>
  <c r="T132" i="19" s="1"/>
  <c r="Q131" i="19"/>
  <c r="R131" i="19" s="1"/>
  <c r="T131" i="19" s="1"/>
  <c r="V133" i="19" s="1"/>
  <c r="W130" i="19"/>
  <c r="Q130" i="19"/>
  <c r="R130" i="19" s="1"/>
  <c r="T130" i="19" s="1"/>
  <c r="Q129" i="19"/>
  <c r="R129" i="19" s="1"/>
  <c r="T129" i="19" s="1"/>
  <c r="Q128" i="19"/>
  <c r="R128" i="19" s="1"/>
  <c r="T128" i="19" s="1"/>
  <c r="W127" i="19"/>
  <c r="Q127" i="19"/>
  <c r="R127" i="19" s="1"/>
  <c r="T127" i="19" s="1"/>
  <c r="Q126" i="19"/>
  <c r="R126" i="19" s="1"/>
  <c r="T126" i="19" s="1"/>
  <c r="Q125" i="19"/>
  <c r="R125" i="19" s="1"/>
  <c r="T125" i="19" s="1"/>
  <c r="W124" i="19"/>
  <c r="Q124" i="19"/>
  <c r="R124" i="19" s="1"/>
  <c r="T124" i="19" s="1"/>
  <c r="Q123" i="19"/>
  <c r="R123" i="19" s="1"/>
  <c r="T123" i="19" s="1"/>
  <c r="Q122" i="19"/>
  <c r="R122" i="19" s="1"/>
  <c r="T122" i="19" s="1"/>
  <c r="W121" i="19"/>
  <c r="Q121" i="19"/>
  <c r="R121" i="19" s="1"/>
  <c r="T121" i="19" s="1"/>
  <c r="Q120" i="19"/>
  <c r="R120" i="19" s="1"/>
  <c r="T120" i="19" s="1"/>
  <c r="Q119" i="19"/>
  <c r="R119" i="19" s="1"/>
  <c r="T119" i="19" s="1"/>
  <c r="W118" i="19"/>
  <c r="Q118" i="19"/>
  <c r="R118" i="19" s="1"/>
  <c r="T118" i="19" s="1"/>
  <c r="Q117" i="19"/>
  <c r="R117" i="19" s="1"/>
  <c r="T117" i="19" s="1"/>
  <c r="Q116" i="19"/>
  <c r="R116" i="19" s="1"/>
  <c r="T116" i="19" s="1"/>
  <c r="W115" i="19"/>
  <c r="Q115" i="19"/>
  <c r="R115" i="19" s="1"/>
  <c r="T115" i="19" s="1"/>
  <c r="Q114" i="19"/>
  <c r="R114" i="19" s="1"/>
  <c r="T114" i="19" s="1"/>
  <c r="Q113" i="19"/>
  <c r="R113" i="19" s="1"/>
  <c r="T113" i="19" s="1"/>
  <c r="W112" i="19"/>
  <c r="Q112" i="19"/>
  <c r="R112" i="19" s="1"/>
  <c r="T112" i="19" s="1"/>
  <c r="Q111" i="19"/>
  <c r="R111" i="19" s="1"/>
  <c r="T111" i="19" s="1"/>
  <c r="Q110" i="19"/>
  <c r="R110" i="19" s="1"/>
  <c r="T110" i="19" s="1"/>
  <c r="U112" i="19" s="1"/>
  <c r="W109" i="19"/>
  <c r="Q109" i="19"/>
  <c r="R109" i="19" s="1"/>
  <c r="T109" i="19" s="1"/>
  <c r="Q108" i="19"/>
  <c r="R108" i="19" s="1"/>
  <c r="T108" i="19" s="1"/>
  <c r="Q107" i="19"/>
  <c r="R107" i="19" s="1"/>
  <c r="T107" i="19" s="1"/>
  <c r="U109" i="19" s="1"/>
  <c r="W106" i="19"/>
  <c r="Q106" i="19"/>
  <c r="R106" i="19" s="1"/>
  <c r="T106" i="19" s="1"/>
  <c r="Q105" i="19"/>
  <c r="R105" i="19" s="1"/>
  <c r="T105" i="19" s="1"/>
  <c r="Q104" i="19"/>
  <c r="R104" i="19" s="1"/>
  <c r="T104" i="19" s="1"/>
  <c r="W103" i="19"/>
  <c r="Q103" i="19"/>
  <c r="R103" i="19" s="1"/>
  <c r="T103" i="19" s="1"/>
  <c r="Q102" i="19"/>
  <c r="R102" i="19" s="1"/>
  <c r="T102" i="19" s="1"/>
  <c r="Q101" i="19"/>
  <c r="R101" i="19" s="1"/>
  <c r="T101" i="19" s="1"/>
  <c r="W100" i="19"/>
  <c r="Q100" i="19"/>
  <c r="R100" i="19" s="1"/>
  <c r="T100" i="19" s="1"/>
  <c r="Q99" i="19"/>
  <c r="R99" i="19" s="1"/>
  <c r="T99" i="19" s="1"/>
  <c r="Q98" i="19"/>
  <c r="R98" i="19" s="1"/>
  <c r="T98" i="19" s="1"/>
  <c r="W97" i="19"/>
  <c r="Q97" i="19"/>
  <c r="R97" i="19" s="1"/>
  <c r="T97" i="19" s="1"/>
  <c r="Q96" i="19"/>
  <c r="R96" i="19" s="1"/>
  <c r="T96" i="19" s="1"/>
  <c r="Q95" i="19"/>
  <c r="R95" i="19" s="1"/>
  <c r="T95" i="19" s="1"/>
  <c r="V97" i="19" s="1"/>
  <c r="W94" i="19"/>
  <c r="Q94" i="19"/>
  <c r="R94" i="19" s="1"/>
  <c r="T94" i="19" s="1"/>
  <c r="Q93" i="19"/>
  <c r="R93" i="19" s="1"/>
  <c r="T93" i="19" s="1"/>
  <c r="Q92" i="19"/>
  <c r="R92" i="19" s="1"/>
  <c r="T92" i="19" s="1"/>
  <c r="W91" i="19"/>
  <c r="Q91" i="19"/>
  <c r="R91" i="19" s="1"/>
  <c r="T91" i="19" s="1"/>
  <c r="Q90" i="19"/>
  <c r="R90" i="19" s="1"/>
  <c r="T90" i="19" s="1"/>
  <c r="Q89" i="19"/>
  <c r="R89" i="19" s="1"/>
  <c r="T89" i="19" s="1"/>
  <c r="W88" i="19"/>
  <c r="Q88" i="19"/>
  <c r="R88" i="19" s="1"/>
  <c r="T88" i="19" s="1"/>
  <c r="Q87" i="19"/>
  <c r="R87" i="19" s="1"/>
  <c r="T87" i="19" s="1"/>
  <c r="Q86" i="19"/>
  <c r="R86" i="19" s="1"/>
  <c r="T86" i="19" s="1"/>
  <c r="U88" i="19" s="1"/>
  <c r="W85" i="19"/>
  <c r="Q85" i="19"/>
  <c r="R85" i="19" s="1"/>
  <c r="T85" i="19" s="1"/>
  <c r="Q84" i="19"/>
  <c r="R84" i="19" s="1"/>
  <c r="T84" i="19" s="1"/>
  <c r="Q83" i="19"/>
  <c r="R83" i="19" s="1"/>
  <c r="T83" i="19" s="1"/>
  <c r="W82" i="19"/>
  <c r="Q82" i="19"/>
  <c r="R82" i="19" s="1"/>
  <c r="T82" i="19" s="1"/>
  <c r="Q81" i="19"/>
  <c r="R81" i="19" s="1"/>
  <c r="T81" i="19" s="1"/>
  <c r="Q80" i="19"/>
  <c r="R80" i="19" s="1"/>
  <c r="T80" i="19" s="1"/>
  <c r="W79" i="19"/>
  <c r="Q79" i="19"/>
  <c r="R79" i="19" s="1"/>
  <c r="T79" i="19" s="1"/>
  <c r="Q78" i="19"/>
  <c r="R78" i="19" s="1"/>
  <c r="T78" i="19" s="1"/>
  <c r="Q77" i="19"/>
  <c r="R77" i="19" s="1"/>
  <c r="T77" i="19" s="1"/>
  <c r="W76" i="19"/>
  <c r="Q76" i="19"/>
  <c r="R76" i="19" s="1"/>
  <c r="T76" i="19" s="1"/>
  <c r="Q75" i="19"/>
  <c r="R75" i="19" s="1"/>
  <c r="T75" i="19" s="1"/>
  <c r="Q74" i="19"/>
  <c r="R74" i="19" s="1"/>
  <c r="T74" i="19" s="1"/>
  <c r="W73" i="19"/>
  <c r="Q73" i="19"/>
  <c r="R73" i="19" s="1"/>
  <c r="T73" i="19" s="1"/>
  <c r="Q72" i="19"/>
  <c r="R72" i="19" s="1"/>
  <c r="T72" i="19" s="1"/>
  <c r="Q71" i="19"/>
  <c r="R71" i="19" s="1"/>
  <c r="T71" i="19" s="1"/>
  <c r="U73" i="19" s="1"/>
  <c r="W70" i="19"/>
  <c r="Q70" i="19"/>
  <c r="R70" i="19" s="1"/>
  <c r="T70" i="19" s="1"/>
  <c r="Q69" i="19"/>
  <c r="R69" i="19" s="1"/>
  <c r="T69" i="19" s="1"/>
  <c r="Q68" i="19"/>
  <c r="R68" i="19" s="1"/>
  <c r="T68" i="19" s="1"/>
  <c r="W67" i="19"/>
  <c r="Q67" i="19"/>
  <c r="R67" i="19" s="1"/>
  <c r="T67" i="19" s="1"/>
  <c r="Q66" i="19"/>
  <c r="R66" i="19" s="1"/>
  <c r="T66" i="19" s="1"/>
  <c r="Q65" i="19"/>
  <c r="R65" i="19" s="1"/>
  <c r="T65" i="19" s="1"/>
  <c r="W64" i="19"/>
  <c r="Q64" i="19"/>
  <c r="R64" i="19" s="1"/>
  <c r="T64" i="19" s="1"/>
  <c r="Q63" i="19"/>
  <c r="R63" i="19" s="1"/>
  <c r="T63" i="19" s="1"/>
  <c r="Q62" i="19"/>
  <c r="R62" i="19" s="1"/>
  <c r="T62" i="19" s="1"/>
  <c r="V64" i="19" s="1"/>
  <c r="W61" i="19"/>
  <c r="Q61" i="19"/>
  <c r="R61" i="19" s="1"/>
  <c r="T61" i="19" s="1"/>
  <c r="Q60" i="19"/>
  <c r="R60" i="19" s="1"/>
  <c r="T60" i="19" s="1"/>
  <c r="Q59" i="19"/>
  <c r="R59" i="19" s="1"/>
  <c r="T59" i="19" s="1"/>
  <c r="W58" i="19"/>
  <c r="Q58" i="19"/>
  <c r="R58" i="19" s="1"/>
  <c r="T58" i="19" s="1"/>
  <c r="Q57" i="19"/>
  <c r="R57" i="19" s="1"/>
  <c r="T57" i="19" s="1"/>
  <c r="Q56" i="19"/>
  <c r="R56" i="19" s="1"/>
  <c r="T56" i="19" s="1"/>
  <c r="W55" i="19"/>
  <c r="Q55" i="19"/>
  <c r="R55" i="19" s="1"/>
  <c r="T55" i="19" s="1"/>
  <c r="Q54" i="19"/>
  <c r="R54" i="19" s="1"/>
  <c r="T54" i="19" s="1"/>
  <c r="Q53" i="19"/>
  <c r="R53" i="19" s="1"/>
  <c r="T53" i="19" s="1"/>
  <c r="W52" i="19"/>
  <c r="Q52" i="19"/>
  <c r="R52" i="19" s="1"/>
  <c r="T52" i="19" s="1"/>
  <c r="Q51" i="19"/>
  <c r="R51" i="19" s="1"/>
  <c r="T51" i="19" s="1"/>
  <c r="Q50" i="19"/>
  <c r="R50" i="19" s="1"/>
  <c r="T50" i="19" s="1"/>
  <c r="W49" i="19"/>
  <c r="Q49" i="19"/>
  <c r="R49" i="19" s="1"/>
  <c r="T49" i="19" s="1"/>
  <c r="Q48" i="19"/>
  <c r="R48" i="19" s="1"/>
  <c r="T48" i="19" s="1"/>
  <c r="Q47" i="19"/>
  <c r="R47" i="19" s="1"/>
  <c r="T47" i="19" s="1"/>
  <c r="U49" i="19" s="1"/>
  <c r="W46" i="19"/>
  <c r="Q46" i="19"/>
  <c r="R46" i="19" s="1"/>
  <c r="T46" i="19" s="1"/>
  <c r="Q45" i="19"/>
  <c r="R45" i="19" s="1"/>
  <c r="T45" i="19" s="1"/>
  <c r="Q44" i="19"/>
  <c r="R44" i="19" s="1"/>
  <c r="T44" i="19" s="1"/>
  <c r="W43" i="19"/>
  <c r="Q43" i="19"/>
  <c r="R43" i="19" s="1"/>
  <c r="T43" i="19" s="1"/>
  <c r="Q42" i="19"/>
  <c r="R42" i="19" s="1"/>
  <c r="T42" i="19" s="1"/>
  <c r="Q41" i="19"/>
  <c r="R41" i="19" s="1"/>
  <c r="T41" i="19" s="1"/>
  <c r="W40" i="19"/>
  <c r="Q40" i="19"/>
  <c r="R40" i="19" s="1"/>
  <c r="T40" i="19" s="1"/>
  <c r="Q39" i="19"/>
  <c r="R39" i="19" s="1"/>
  <c r="T39" i="19" s="1"/>
  <c r="Q38" i="19"/>
  <c r="R38" i="19" s="1"/>
  <c r="T38" i="19" s="1"/>
  <c r="V40" i="19" s="1"/>
  <c r="W37" i="19"/>
  <c r="Q37" i="19"/>
  <c r="R37" i="19" s="1"/>
  <c r="T37" i="19" s="1"/>
  <c r="Q36" i="19"/>
  <c r="R36" i="19" s="1"/>
  <c r="T36" i="19" s="1"/>
  <c r="Q35" i="19"/>
  <c r="R35" i="19" s="1"/>
  <c r="T35" i="19" s="1"/>
  <c r="W34" i="19"/>
  <c r="Q34" i="19"/>
  <c r="R34" i="19" s="1"/>
  <c r="T34" i="19" s="1"/>
  <c r="Q33" i="19"/>
  <c r="R33" i="19" s="1"/>
  <c r="T33" i="19" s="1"/>
  <c r="Q32" i="19"/>
  <c r="R32" i="19" s="1"/>
  <c r="T32" i="19" s="1"/>
  <c r="W31" i="19"/>
  <c r="Q31" i="19"/>
  <c r="R31" i="19" s="1"/>
  <c r="T31" i="19" s="1"/>
  <c r="Q30" i="19"/>
  <c r="R30" i="19" s="1"/>
  <c r="T30" i="19" s="1"/>
  <c r="Q29" i="19"/>
  <c r="R29" i="19" s="1"/>
  <c r="T29" i="19" s="1"/>
  <c r="W28" i="19"/>
  <c r="Q28" i="19"/>
  <c r="R28" i="19" s="1"/>
  <c r="T28" i="19" s="1"/>
  <c r="Q27" i="19"/>
  <c r="R27" i="19" s="1"/>
  <c r="T27" i="19" s="1"/>
  <c r="Q26" i="19"/>
  <c r="R26" i="19" s="1"/>
  <c r="T26" i="19" s="1"/>
  <c r="W25" i="19"/>
  <c r="Q25" i="19"/>
  <c r="R25" i="19" s="1"/>
  <c r="T25" i="19" s="1"/>
  <c r="Q24" i="19"/>
  <c r="R24" i="19" s="1"/>
  <c r="T24" i="19" s="1"/>
  <c r="Q23" i="19"/>
  <c r="R23" i="19" s="1"/>
  <c r="T23" i="19" s="1"/>
  <c r="V25" i="19" s="1"/>
  <c r="W22" i="19"/>
  <c r="Q22" i="19"/>
  <c r="R22" i="19" s="1"/>
  <c r="T22" i="19" s="1"/>
  <c r="Q21" i="19"/>
  <c r="R21" i="19" s="1"/>
  <c r="T21" i="19" s="1"/>
  <c r="Q20" i="19"/>
  <c r="R20" i="19" s="1"/>
  <c r="T20" i="19" s="1"/>
  <c r="W19" i="19"/>
  <c r="Q19" i="19"/>
  <c r="R19" i="19" s="1"/>
  <c r="T19" i="19" s="1"/>
  <c r="Q18" i="19"/>
  <c r="R18" i="19" s="1"/>
  <c r="T18" i="19" s="1"/>
  <c r="Q17" i="19"/>
  <c r="R17" i="19" s="1"/>
  <c r="T17" i="19" s="1"/>
  <c r="W16" i="19"/>
  <c r="Q16" i="19"/>
  <c r="R16" i="19" s="1"/>
  <c r="T16" i="19" s="1"/>
  <c r="Q15" i="19"/>
  <c r="R15" i="19" s="1"/>
  <c r="T15" i="19" s="1"/>
  <c r="Q14" i="19"/>
  <c r="R14" i="19" s="1"/>
  <c r="T14" i="19" s="1"/>
  <c r="U16" i="19" s="1"/>
  <c r="W13" i="19"/>
  <c r="Q13" i="19"/>
  <c r="R13" i="19" s="1"/>
  <c r="T13" i="19" s="1"/>
  <c r="Q12" i="19"/>
  <c r="R12" i="19" s="1"/>
  <c r="T12" i="19" s="1"/>
  <c r="Q11" i="19"/>
  <c r="R11" i="19" s="1"/>
  <c r="T11" i="19" s="1"/>
  <c r="Q12" i="12"/>
  <c r="R12" i="12" s="1"/>
  <c r="Q13" i="12"/>
  <c r="R13" i="12" s="1"/>
  <c r="Q14" i="12"/>
  <c r="R14" i="12" s="1"/>
  <c r="Q15" i="12"/>
  <c r="R15" i="12" s="1"/>
  <c r="Q16" i="12"/>
  <c r="R16" i="12" s="1"/>
  <c r="Q17" i="12"/>
  <c r="R17" i="12" s="1"/>
  <c r="Q18" i="12"/>
  <c r="R18" i="12" s="1"/>
  <c r="Q19" i="12"/>
  <c r="R19" i="12" s="1"/>
  <c r="Q20" i="12"/>
  <c r="R20" i="12" s="1"/>
  <c r="Q21" i="12"/>
  <c r="R21" i="12" s="1"/>
  <c r="Q22" i="12"/>
  <c r="R22" i="12" s="1"/>
  <c r="Q23" i="12"/>
  <c r="R23" i="12" s="1"/>
  <c r="Q24" i="12"/>
  <c r="R24" i="12" s="1"/>
  <c r="Q25" i="12"/>
  <c r="R25" i="12" s="1"/>
  <c r="Q26" i="12"/>
  <c r="R26" i="12" s="1"/>
  <c r="Q27" i="12"/>
  <c r="R27" i="12" s="1"/>
  <c r="Q28" i="12"/>
  <c r="R28" i="12" s="1"/>
  <c r="Q29" i="12"/>
  <c r="R29" i="12" s="1"/>
  <c r="Q30" i="12"/>
  <c r="R30" i="12" s="1"/>
  <c r="Q31" i="12"/>
  <c r="R31" i="12" s="1"/>
  <c r="Q32" i="12"/>
  <c r="R32" i="12" s="1"/>
  <c r="Q33" i="12"/>
  <c r="R33" i="12" s="1"/>
  <c r="Q34" i="12"/>
  <c r="R34" i="12" s="1"/>
  <c r="Q35" i="12"/>
  <c r="R35" i="12" s="1"/>
  <c r="Q36" i="12"/>
  <c r="R36" i="12" s="1"/>
  <c r="Q37" i="12"/>
  <c r="R37" i="12" s="1"/>
  <c r="Q38" i="12"/>
  <c r="R38" i="12" s="1"/>
  <c r="Q39" i="12"/>
  <c r="R39" i="12" s="1"/>
  <c r="Q40" i="12"/>
  <c r="R40" i="12" s="1"/>
  <c r="Q41" i="12"/>
  <c r="R41" i="12" s="1"/>
  <c r="Q42" i="12"/>
  <c r="R42" i="12" s="1"/>
  <c r="Q43" i="12"/>
  <c r="R43" i="12" s="1"/>
  <c r="Q44" i="12"/>
  <c r="R44" i="12" s="1"/>
  <c r="Q45" i="12"/>
  <c r="R45" i="12" s="1"/>
  <c r="Q46" i="12"/>
  <c r="R46" i="12" s="1"/>
  <c r="Q47" i="12"/>
  <c r="R47" i="12" s="1"/>
  <c r="Q48" i="12"/>
  <c r="R48" i="12" s="1"/>
  <c r="Q49" i="12"/>
  <c r="R49" i="12" s="1"/>
  <c r="Q50" i="12"/>
  <c r="R50" i="12" s="1"/>
  <c r="Q51" i="12"/>
  <c r="R51" i="12" s="1"/>
  <c r="Q52" i="12"/>
  <c r="R52" i="12" s="1"/>
  <c r="Q53" i="12"/>
  <c r="R53" i="12" s="1"/>
  <c r="Q54" i="12"/>
  <c r="R54" i="12" s="1"/>
  <c r="Q55" i="12"/>
  <c r="R55" i="12" s="1"/>
  <c r="Q56" i="12"/>
  <c r="R56" i="12" s="1"/>
  <c r="Q57" i="12"/>
  <c r="R57" i="12" s="1"/>
  <c r="Q58" i="12"/>
  <c r="R58" i="12" s="1"/>
  <c r="Q59" i="12"/>
  <c r="R59" i="12" s="1"/>
  <c r="Q60" i="12"/>
  <c r="R60" i="12" s="1"/>
  <c r="Q61" i="12"/>
  <c r="R61" i="12" s="1"/>
  <c r="Q62" i="12"/>
  <c r="R62" i="12" s="1"/>
  <c r="Q63" i="12"/>
  <c r="R63" i="12" s="1"/>
  <c r="Q64" i="12"/>
  <c r="R64" i="12" s="1"/>
  <c r="Q65" i="12"/>
  <c r="R65" i="12" s="1"/>
  <c r="Q66" i="12"/>
  <c r="R66" i="12" s="1"/>
  <c r="Q67" i="12"/>
  <c r="R67" i="12" s="1"/>
  <c r="Q68" i="12"/>
  <c r="R68" i="12" s="1"/>
  <c r="Q69" i="12"/>
  <c r="R69" i="12" s="1"/>
  <c r="Q70" i="12"/>
  <c r="R70" i="12" s="1"/>
  <c r="Q71" i="12"/>
  <c r="R71" i="12" s="1"/>
  <c r="Q72" i="12"/>
  <c r="R72" i="12" s="1"/>
  <c r="Q73" i="12"/>
  <c r="R73" i="12" s="1"/>
  <c r="Q74" i="12"/>
  <c r="R74" i="12" s="1"/>
  <c r="Q75" i="12"/>
  <c r="R75" i="12" s="1"/>
  <c r="Q76" i="12"/>
  <c r="R76" i="12" s="1"/>
  <c r="Q77" i="12"/>
  <c r="R77" i="12" s="1"/>
  <c r="Q78" i="12"/>
  <c r="R78" i="12" s="1"/>
  <c r="Q79" i="12"/>
  <c r="R79" i="12" s="1"/>
  <c r="Q80" i="12"/>
  <c r="R80" i="12" s="1"/>
  <c r="Q81" i="12"/>
  <c r="R81" i="12" s="1"/>
  <c r="Q82" i="12"/>
  <c r="R82" i="12" s="1"/>
  <c r="Q83" i="12"/>
  <c r="R83" i="12" s="1"/>
  <c r="Q84" i="12"/>
  <c r="R84" i="12" s="1"/>
  <c r="Q85" i="12"/>
  <c r="R85" i="12" s="1"/>
  <c r="Q86" i="12"/>
  <c r="R86" i="12" s="1"/>
  <c r="Q87" i="12"/>
  <c r="R87" i="12" s="1"/>
  <c r="Q88" i="12"/>
  <c r="R88" i="12" s="1"/>
  <c r="Q89" i="12"/>
  <c r="R89" i="12" s="1"/>
  <c r="Q90" i="12"/>
  <c r="R90" i="12" s="1"/>
  <c r="Q91" i="12"/>
  <c r="R91" i="12" s="1"/>
  <c r="Q92" i="12"/>
  <c r="R92" i="12" s="1"/>
  <c r="Q93" i="12"/>
  <c r="R93" i="12" s="1"/>
  <c r="Q94" i="12"/>
  <c r="R94" i="12" s="1"/>
  <c r="Q95" i="12"/>
  <c r="R95" i="12" s="1"/>
  <c r="Q96" i="12"/>
  <c r="R96" i="12" s="1"/>
  <c r="Q97" i="12"/>
  <c r="R97" i="12" s="1"/>
  <c r="Q98" i="12"/>
  <c r="R98" i="12" s="1"/>
  <c r="Q99" i="12"/>
  <c r="R99" i="12" s="1"/>
  <c r="Q100" i="12"/>
  <c r="R100" i="12" s="1"/>
  <c r="Q101" i="12"/>
  <c r="R101" i="12" s="1"/>
  <c r="Q102" i="12"/>
  <c r="R102" i="12" s="1"/>
  <c r="Q103" i="12"/>
  <c r="R103" i="12" s="1"/>
  <c r="Q104" i="12"/>
  <c r="R104" i="12" s="1"/>
  <c r="Q105" i="12"/>
  <c r="R105" i="12" s="1"/>
  <c r="Q106" i="12"/>
  <c r="R106" i="12" s="1"/>
  <c r="Q107" i="12"/>
  <c r="R107" i="12" s="1"/>
  <c r="Q108" i="12"/>
  <c r="R108" i="12" s="1"/>
  <c r="T108" i="12" s="1"/>
  <c r="Q109" i="12"/>
  <c r="R109" i="12" s="1"/>
  <c r="T109" i="12" s="1"/>
  <c r="Q110" i="12"/>
  <c r="R110" i="12" s="1"/>
  <c r="T110" i="12" s="1"/>
  <c r="Q111" i="12"/>
  <c r="R111" i="12" s="1"/>
  <c r="T111" i="12" s="1"/>
  <c r="Q112" i="12"/>
  <c r="R112" i="12" s="1"/>
  <c r="T112" i="12" s="1"/>
  <c r="Q113" i="12"/>
  <c r="R113" i="12" s="1"/>
  <c r="Q114" i="12"/>
  <c r="R114" i="12" s="1"/>
  <c r="Q115" i="12"/>
  <c r="R115" i="12" s="1"/>
  <c r="Q116" i="12"/>
  <c r="R116" i="12" s="1"/>
  <c r="T116" i="12" s="1"/>
  <c r="Q117" i="12"/>
  <c r="R117" i="12" s="1"/>
  <c r="Q118" i="12"/>
  <c r="R118" i="12" s="1"/>
  <c r="T118" i="12" s="1"/>
  <c r="Q119" i="12"/>
  <c r="R119" i="12" s="1"/>
  <c r="Q120" i="12"/>
  <c r="R120" i="12" s="1"/>
  <c r="T120" i="12" s="1"/>
  <c r="Q121" i="12"/>
  <c r="R121" i="12" s="1"/>
  <c r="Q122" i="12"/>
  <c r="R122" i="12" s="1"/>
  <c r="Q123" i="12"/>
  <c r="R123" i="12" s="1"/>
  <c r="Q124" i="12"/>
  <c r="R124" i="12" s="1"/>
  <c r="T124" i="12" s="1"/>
  <c r="Q125" i="12"/>
  <c r="R125" i="12" s="1"/>
  <c r="Q126" i="12"/>
  <c r="R126" i="12" s="1"/>
  <c r="T126" i="12" s="1"/>
  <c r="Q127" i="12"/>
  <c r="R127" i="12" s="1"/>
  <c r="T127" i="12" s="1"/>
  <c r="Q128" i="12"/>
  <c r="R128" i="12" s="1"/>
  <c r="Q129" i="12"/>
  <c r="R129" i="12" s="1"/>
  <c r="T129" i="12" s="1"/>
  <c r="Q130" i="12"/>
  <c r="R130" i="12" s="1"/>
  <c r="Q131" i="12"/>
  <c r="R131" i="12" s="1"/>
  <c r="Q132" i="12"/>
  <c r="R132" i="12" s="1"/>
  <c r="T132" i="12" s="1"/>
  <c r="Q133" i="12"/>
  <c r="R133" i="12" s="1"/>
  <c r="T133" i="12" s="1"/>
  <c r="Q134" i="12"/>
  <c r="R134" i="12" s="1"/>
  <c r="T134" i="12" s="1"/>
  <c r="Q135" i="12"/>
  <c r="R135" i="12" s="1"/>
  <c r="T135" i="12" s="1"/>
  <c r="Q136" i="12"/>
  <c r="R136" i="12" s="1"/>
  <c r="T136" i="12" s="1"/>
  <c r="Q137" i="12"/>
  <c r="R137" i="12" s="1"/>
  <c r="T137" i="12" s="1"/>
  <c r="Q138" i="12"/>
  <c r="R138" i="12" s="1"/>
  <c r="T138" i="12" s="1"/>
  <c r="Q139" i="12"/>
  <c r="R139" i="12" s="1"/>
  <c r="Q140" i="12"/>
  <c r="R140" i="12" s="1"/>
  <c r="T140" i="12" s="1"/>
  <c r="Q141" i="12"/>
  <c r="R141" i="12" s="1"/>
  <c r="T141" i="12" s="1"/>
  <c r="Q142" i="12"/>
  <c r="R142" i="12" s="1"/>
  <c r="Q143" i="12"/>
  <c r="R143" i="12" s="1"/>
  <c r="Q144" i="12"/>
  <c r="R144" i="12" s="1"/>
  <c r="T144" i="12" s="1"/>
  <c r="Q145" i="12"/>
  <c r="R145" i="12" s="1"/>
  <c r="Q146" i="12"/>
  <c r="R146" i="12" s="1"/>
  <c r="Q147" i="12"/>
  <c r="R147" i="12" s="1"/>
  <c r="T147" i="12" s="1"/>
  <c r="Q148" i="12"/>
  <c r="R148" i="12" s="1"/>
  <c r="T148" i="12" s="1"/>
  <c r="Q149" i="12"/>
  <c r="R149" i="12" s="1"/>
  <c r="T149" i="12" s="1"/>
  <c r="Q150" i="12"/>
  <c r="R150" i="12" s="1"/>
  <c r="T150" i="12" s="1"/>
  <c r="Q151" i="12"/>
  <c r="R151" i="12" s="1"/>
  <c r="Q152" i="12"/>
  <c r="R152" i="12" s="1"/>
  <c r="T152" i="12" s="1"/>
  <c r="Q153" i="12"/>
  <c r="R153" i="12" s="1"/>
  <c r="T153" i="12" s="1"/>
  <c r="Q154" i="12"/>
  <c r="R154" i="12" s="1"/>
  <c r="T154" i="12" s="1"/>
  <c r="Q155" i="12"/>
  <c r="R155" i="12" s="1"/>
  <c r="Q156" i="12"/>
  <c r="R156" i="12" s="1"/>
  <c r="T156" i="12" s="1"/>
  <c r="Q157" i="12"/>
  <c r="R157" i="12" s="1"/>
  <c r="Q158" i="12"/>
  <c r="R158" i="12" s="1"/>
  <c r="Q159" i="12"/>
  <c r="R159" i="12" s="1"/>
  <c r="Q160" i="12"/>
  <c r="R160" i="12" s="1"/>
  <c r="Q161" i="12"/>
  <c r="R161" i="12" s="1"/>
  <c r="Q162" i="12"/>
  <c r="R162" i="12" s="1"/>
  <c r="Q163" i="12"/>
  <c r="R163" i="12" s="1"/>
  <c r="Q164" i="12"/>
  <c r="R164" i="12" s="1"/>
  <c r="Q165" i="12"/>
  <c r="R165" i="12" s="1"/>
  <c r="T165" i="12" s="1"/>
  <c r="Q166" i="12"/>
  <c r="R166" i="12" s="1"/>
  <c r="T166" i="12" s="1"/>
  <c r="Q167" i="12"/>
  <c r="R167" i="12" s="1"/>
  <c r="Q168" i="12"/>
  <c r="R168" i="12" s="1"/>
  <c r="T168" i="12" s="1"/>
  <c r="Q169" i="12"/>
  <c r="R169" i="12" s="1"/>
  <c r="T169" i="12" s="1"/>
  <c r="Q170" i="12"/>
  <c r="R170" i="12" s="1"/>
  <c r="T170" i="12" s="1"/>
  <c r="Q171" i="12"/>
  <c r="R171" i="12" s="1"/>
  <c r="Q172" i="12"/>
  <c r="R172" i="12" s="1"/>
  <c r="T172" i="12" s="1"/>
  <c r="Q173" i="12"/>
  <c r="R173" i="12" s="1"/>
  <c r="T173" i="12" s="1"/>
  <c r="Q174" i="12"/>
  <c r="R174" i="12" s="1"/>
  <c r="Q175" i="12"/>
  <c r="R175" i="12" s="1"/>
  <c r="Q176" i="12"/>
  <c r="R176" i="12" s="1"/>
  <c r="Q177" i="12"/>
  <c r="R177" i="12" s="1"/>
  <c r="Q178" i="12"/>
  <c r="R178" i="12" s="1"/>
  <c r="Q179" i="12"/>
  <c r="R179" i="12" s="1"/>
  <c r="T179" i="12" s="1"/>
  <c r="Q180" i="12"/>
  <c r="R180" i="12" s="1"/>
  <c r="T180" i="12" s="1"/>
  <c r="Q181" i="12"/>
  <c r="R181" i="12" s="1"/>
  <c r="T181" i="12" s="1"/>
  <c r="Q182" i="12"/>
  <c r="R182" i="12" s="1"/>
  <c r="T182" i="12" s="1"/>
  <c r="Q183" i="12"/>
  <c r="R183" i="12" s="1"/>
  <c r="T183" i="12" s="1"/>
  <c r="Q184" i="12"/>
  <c r="R184" i="12" s="1"/>
  <c r="T184" i="12" s="1"/>
  <c r="Q185" i="12"/>
  <c r="R185" i="12" s="1"/>
  <c r="T185" i="12" s="1"/>
  <c r="Q186" i="12"/>
  <c r="R186" i="12" s="1"/>
  <c r="Q187" i="12"/>
  <c r="R187" i="12" s="1"/>
  <c r="Q188" i="12"/>
  <c r="R188" i="12" s="1"/>
  <c r="Q189" i="12"/>
  <c r="R189" i="12" s="1"/>
  <c r="Q190" i="12"/>
  <c r="R190" i="12" s="1"/>
  <c r="Q191" i="12"/>
  <c r="R191" i="12" s="1"/>
  <c r="Q192" i="12"/>
  <c r="R192" i="12" s="1"/>
  <c r="Q193" i="12"/>
  <c r="R193" i="12" s="1"/>
  <c r="Q194" i="12"/>
  <c r="R194" i="12" s="1"/>
  <c r="T194" i="12" s="1"/>
  <c r="Q195" i="12"/>
  <c r="R195" i="12" s="1"/>
  <c r="Q196" i="12"/>
  <c r="R196" i="12" s="1"/>
  <c r="T196" i="12" s="1"/>
  <c r="Q197" i="12"/>
  <c r="R197" i="12" s="1"/>
  <c r="Q198" i="12"/>
  <c r="R198" i="12" s="1"/>
  <c r="T198" i="12" s="1"/>
  <c r="Q199" i="12"/>
  <c r="R199" i="12" s="1"/>
  <c r="T199" i="12" s="1"/>
  <c r="Q200" i="12"/>
  <c r="R200" i="12" s="1"/>
  <c r="T200" i="12" s="1"/>
  <c r="Q201" i="12"/>
  <c r="R201" i="12" s="1"/>
  <c r="Q202" i="12"/>
  <c r="R202" i="12" s="1"/>
  <c r="Q203" i="12"/>
  <c r="R203" i="12" s="1"/>
  <c r="Q204" i="12"/>
  <c r="R204" i="12" s="1"/>
  <c r="T204" i="12" s="1"/>
  <c r="Q205" i="12"/>
  <c r="R205" i="12" s="1"/>
  <c r="Q206" i="12"/>
  <c r="R206" i="12" s="1"/>
  <c r="T206" i="12" s="1"/>
  <c r="Q207" i="12"/>
  <c r="R207" i="12" s="1"/>
  <c r="T207" i="12" s="1"/>
  <c r="Q208" i="12"/>
  <c r="R208" i="12" s="1"/>
  <c r="T208" i="12" s="1"/>
  <c r="Q209" i="12"/>
  <c r="R209" i="12" s="1"/>
  <c r="Q210" i="12"/>
  <c r="R210" i="12" s="1"/>
  <c r="T210" i="12" s="1"/>
  <c r="Q211" i="12"/>
  <c r="R211" i="12" s="1"/>
  <c r="Q212" i="12"/>
  <c r="R212" i="12" s="1"/>
  <c r="T212" i="12" s="1"/>
  <c r="Q213" i="12"/>
  <c r="R213" i="12" s="1"/>
  <c r="T213" i="12" s="1"/>
  <c r="Q214" i="12"/>
  <c r="R214" i="12" s="1"/>
  <c r="T214" i="12" s="1"/>
  <c r="Q215" i="12"/>
  <c r="R215" i="12" s="1"/>
  <c r="T215" i="12" s="1"/>
  <c r="Q216" i="12"/>
  <c r="R216" i="12" s="1"/>
  <c r="T216" i="12" s="1"/>
  <c r="Q217" i="12"/>
  <c r="R217" i="12" s="1"/>
  <c r="Q218" i="12"/>
  <c r="R218" i="12" s="1"/>
  <c r="Q219" i="12"/>
  <c r="R219" i="12" s="1"/>
  <c r="Q220" i="12"/>
  <c r="R220" i="12" s="1"/>
  <c r="T220" i="12" s="1"/>
  <c r="Q221" i="12"/>
  <c r="R221" i="12" s="1"/>
  <c r="T221" i="12" s="1"/>
  <c r="Q222" i="12"/>
  <c r="R222" i="12" s="1"/>
  <c r="T222" i="12" s="1"/>
  <c r="Q223" i="12"/>
  <c r="R223" i="12" s="1"/>
  <c r="Q224" i="12"/>
  <c r="R224" i="12" s="1"/>
  <c r="T224" i="12" s="1"/>
  <c r="Q225" i="12"/>
  <c r="R225" i="12" s="1"/>
  <c r="Q226" i="12"/>
  <c r="R226" i="12" s="1"/>
  <c r="Q227" i="12"/>
  <c r="R227" i="12" s="1"/>
  <c r="Q228" i="12"/>
  <c r="R228" i="12" s="1"/>
  <c r="T228" i="12" s="1"/>
  <c r="Q229" i="12"/>
  <c r="R229" i="12" s="1"/>
  <c r="Q230" i="12"/>
  <c r="R230" i="12" s="1"/>
  <c r="T230" i="12" s="1"/>
  <c r="Q231" i="12"/>
  <c r="R231" i="12" s="1"/>
  <c r="T231" i="12" s="1"/>
  <c r="Q232" i="12"/>
  <c r="R232" i="12" s="1"/>
  <c r="T232" i="12" s="1"/>
  <c r="Q233" i="12"/>
  <c r="R233" i="12" s="1"/>
  <c r="Q234" i="12"/>
  <c r="R234" i="12" s="1"/>
  <c r="Q235" i="12"/>
  <c r="R235" i="12" s="1"/>
  <c r="Q236" i="12"/>
  <c r="R236" i="12" s="1"/>
  <c r="T236" i="12" s="1"/>
  <c r="Q237" i="12"/>
  <c r="R237" i="12" s="1"/>
  <c r="T237" i="12" s="1"/>
  <c r="Q238" i="12"/>
  <c r="R238" i="12" s="1"/>
  <c r="Q239" i="12"/>
  <c r="R239" i="12" s="1"/>
  <c r="Q240" i="12"/>
  <c r="R240" i="12" s="1"/>
  <c r="Q241" i="12"/>
  <c r="R241" i="12" s="1"/>
  <c r="Q242" i="12"/>
  <c r="R242" i="12" s="1"/>
  <c r="T242" i="12" s="1"/>
  <c r="Q243" i="12"/>
  <c r="R243" i="12" s="1"/>
  <c r="T243" i="12" s="1"/>
  <c r="Q244" i="12"/>
  <c r="R244" i="12" s="1"/>
  <c r="T244" i="12" s="1"/>
  <c r="Q245" i="12"/>
  <c r="R245" i="12" s="1"/>
  <c r="T245" i="12" s="1"/>
  <c r="Q246" i="12"/>
  <c r="R246" i="12" s="1"/>
  <c r="T246" i="12" s="1"/>
  <c r="Q247" i="12"/>
  <c r="R247" i="12" s="1"/>
  <c r="Q248" i="12"/>
  <c r="R248" i="12" s="1"/>
  <c r="T248" i="12" s="1"/>
  <c r="Q249" i="12"/>
  <c r="R249" i="12" s="1"/>
  <c r="T249" i="12" s="1"/>
  <c r="Q250" i="12"/>
  <c r="R250" i="12" s="1"/>
  <c r="Q251" i="12"/>
  <c r="R251" i="12" s="1"/>
  <c r="Q252" i="12"/>
  <c r="R252" i="12" s="1"/>
  <c r="T252" i="12" s="1"/>
  <c r="Q253" i="12"/>
  <c r="R253" i="12" s="1"/>
  <c r="Q254" i="12"/>
  <c r="R254" i="12" s="1"/>
  <c r="T254" i="12" s="1"/>
  <c r="Q255" i="12"/>
  <c r="R255" i="12" s="1"/>
  <c r="T255" i="12" s="1"/>
  <c r="Q256" i="12"/>
  <c r="R256" i="12" s="1"/>
  <c r="T256" i="12" s="1"/>
  <c r="Q257" i="12"/>
  <c r="R257" i="12" s="1"/>
  <c r="Q258" i="12"/>
  <c r="R258" i="12" s="1"/>
  <c r="T258" i="12" s="1"/>
  <c r="Q259" i="12"/>
  <c r="R259" i="12" s="1"/>
  <c r="Q260" i="12"/>
  <c r="R260" i="12" s="1"/>
  <c r="T260" i="12" s="1"/>
  <c r="Q261" i="12"/>
  <c r="R261" i="12" s="1"/>
  <c r="T261" i="12" s="1"/>
  <c r="Q262" i="12"/>
  <c r="R262" i="12" s="1"/>
  <c r="T262" i="12" s="1"/>
  <c r="Q263" i="12"/>
  <c r="R263" i="12" s="1"/>
  <c r="T263" i="12" s="1"/>
  <c r="Q264" i="12"/>
  <c r="R264" i="12" s="1"/>
  <c r="T264" i="12" s="1"/>
  <c r="Q265" i="12"/>
  <c r="R265" i="12" s="1"/>
  <c r="T265" i="12" s="1"/>
  <c r="Q266" i="12"/>
  <c r="R266" i="12" s="1"/>
  <c r="Q267" i="12"/>
  <c r="R267" i="12" s="1"/>
  <c r="Q268" i="12"/>
  <c r="R268" i="12" s="1"/>
  <c r="T268" i="12" s="1"/>
  <c r="Q269" i="12"/>
  <c r="R269" i="12" s="1"/>
  <c r="T269" i="12" s="1"/>
  <c r="Q270" i="12"/>
  <c r="R270" i="12" s="1"/>
  <c r="T270" i="12" s="1"/>
  <c r="Q271" i="12"/>
  <c r="R271" i="12" s="1"/>
  <c r="Q272" i="12"/>
  <c r="R272" i="12" s="1"/>
  <c r="Q273" i="12"/>
  <c r="R273" i="12" s="1"/>
  <c r="Q274" i="12"/>
  <c r="R274" i="12" s="1"/>
  <c r="T274" i="12" s="1"/>
  <c r="Q275" i="12"/>
  <c r="R275" i="12" s="1"/>
  <c r="Q276" i="12"/>
  <c r="R276" i="12" s="1"/>
  <c r="T276" i="12" s="1"/>
  <c r="Q277" i="12"/>
  <c r="R277" i="12" s="1"/>
  <c r="T277" i="12" s="1"/>
  <c r="Q278" i="12"/>
  <c r="R278" i="12" s="1"/>
  <c r="T278" i="12" s="1"/>
  <c r="Q279" i="12"/>
  <c r="R279" i="12" s="1"/>
  <c r="T279" i="12" s="1"/>
  <c r="Q280" i="12"/>
  <c r="R280" i="12" s="1"/>
  <c r="T280" i="12" s="1"/>
  <c r="Q281" i="12"/>
  <c r="R281" i="12" s="1"/>
  <c r="Q282" i="12"/>
  <c r="R282" i="12" s="1"/>
  <c r="Q283" i="12"/>
  <c r="R283" i="12" s="1"/>
  <c r="Q284" i="12"/>
  <c r="R284" i="12" s="1"/>
  <c r="T284" i="12" s="1"/>
  <c r="V286" i="12" s="1"/>
  <c r="Q285" i="12"/>
  <c r="R285" i="12" s="1"/>
  <c r="Q286" i="12"/>
  <c r="R286" i="12" s="1"/>
  <c r="T286" i="12" s="1"/>
  <c r="Q287" i="12"/>
  <c r="R287" i="12" s="1"/>
  <c r="T287" i="12" s="1"/>
  <c r="Q288" i="12"/>
  <c r="R288" i="12" s="1"/>
  <c r="T288" i="12" s="1"/>
  <c r="Q289" i="12"/>
  <c r="R289" i="12" s="1"/>
  <c r="Q290" i="12"/>
  <c r="R290" i="12" s="1"/>
  <c r="Q291" i="12"/>
  <c r="R291" i="12" s="1"/>
  <c r="Q292" i="12"/>
  <c r="R292" i="12" s="1"/>
  <c r="T292" i="12" s="1"/>
  <c r="Q293" i="12"/>
  <c r="R293" i="12" s="1"/>
  <c r="T293" i="12" s="1"/>
  <c r="Q294" i="12"/>
  <c r="R294" i="12" s="1"/>
  <c r="T294" i="12" s="1"/>
  <c r="Q295" i="12"/>
  <c r="R295" i="12" s="1"/>
  <c r="T295" i="12" s="1"/>
  <c r="Q296" i="12"/>
  <c r="R296" i="12" s="1"/>
  <c r="T296" i="12" s="1"/>
  <c r="Q297" i="12"/>
  <c r="R297" i="12" s="1"/>
  <c r="Q298" i="12"/>
  <c r="R298" i="12" s="1"/>
  <c r="W298" i="12"/>
  <c r="W295" i="12"/>
  <c r="W292" i="12"/>
  <c r="W289" i="12"/>
  <c r="W286" i="12"/>
  <c r="W283" i="12"/>
  <c r="W280" i="12"/>
  <c r="W277" i="12"/>
  <c r="W274" i="12"/>
  <c r="W271" i="12"/>
  <c r="W268" i="12"/>
  <c r="W265" i="12"/>
  <c r="W262" i="12"/>
  <c r="W259" i="12"/>
  <c r="W256" i="12"/>
  <c r="W253" i="12"/>
  <c r="W250" i="12"/>
  <c r="W247" i="12"/>
  <c r="W244" i="12"/>
  <c r="W241" i="12"/>
  <c r="W238" i="12"/>
  <c r="W235" i="12"/>
  <c r="W232" i="12"/>
  <c r="W229" i="12"/>
  <c r="W226" i="12"/>
  <c r="W223" i="12"/>
  <c r="W220" i="12"/>
  <c r="W217" i="12"/>
  <c r="W214" i="12"/>
  <c r="W211" i="12"/>
  <c r="W208" i="12"/>
  <c r="W205" i="12"/>
  <c r="W202" i="12"/>
  <c r="W199" i="12"/>
  <c r="W196" i="12"/>
  <c r="W193" i="12"/>
  <c r="W190" i="12"/>
  <c r="W187" i="12"/>
  <c r="W184" i="12"/>
  <c r="W181" i="12"/>
  <c r="W178" i="12"/>
  <c r="W175" i="12"/>
  <c r="W172" i="12"/>
  <c r="W169" i="12"/>
  <c r="W166" i="12"/>
  <c r="W163" i="12"/>
  <c r="W160" i="12"/>
  <c r="W157" i="12"/>
  <c r="W154" i="12"/>
  <c r="W151" i="12"/>
  <c r="W148" i="12"/>
  <c r="W145" i="12"/>
  <c r="W142" i="12"/>
  <c r="W139" i="12"/>
  <c r="W136" i="12"/>
  <c r="W133" i="12"/>
  <c r="W130" i="12"/>
  <c r="W127" i="12"/>
  <c r="W124" i="12"/>
  <c r="W121" i="12"/>
  <c r="W118" i="12"/>
  <c r="W115" i="12"/>
  <c r="W112" i="12"/>
  <c r="W109" i="12"/>
  <c r="V112" i="20" l="1"/>
  <c r="U112" i="20"/>
  <c r="V13" i="22"/>
  <c r="V202" i="20"/>
  <c r="U202" i="20"/>
  <c r="V109" i="22"/>
  <c r="V49" i="22"/>
  <c r="U88" i="22"/>
  <c r="V205" i="22"/>
  <c r="V208" i="20"/>
  <c r="U208" i="20"/>
  <c r="V256" i="20"/>
  <c r="U256" i="20"/>
  <c r="V133" i="22"/>
  <c r="V145" i="22"/>
  <c r="U244" i="19"/>
  <c r="V118" i="19"/>
  <c r="V142" i="19"/>
  <c r="V154" i="19"/>
  <c r="V178" i="19"/>
  <c r="U160" i="20"/>
  <c r="V76" i="22"/>
  <c r="V85" i="22"/>
  <c r="V172" i="22"/>
  <c r="V181" i="22"/>
  <c r="V268" i="22"/>
  <c r="V277" i="22"/>
  <c r="U16" i="22"/>
  <c r="V25" i="22"/>
  <c r="V112" i="22"/>
  <c r="V121" i="22"/>
  <c r="V208" i="22"/>
  <c r="V217" i="22"/>
  <c r="V64" i="22"/>
  <c r="V73" i="22"/>
  <c r="V160" i="22"/>
  <c r="V169" i="22"/>
  <c r="V256" i="22"/>
  <c r="V265" i="22"/>
  <c r="V196" i="22"/>
  <c r="U196" i="22"/>
  <c r="U22" i="22"/>
  <c r="V22" i="22"/>
  <c r="U46" i="22"/>
  <c r="V46" i="22"/>
  <c r="U70" i="22"/>
  <c r="V70" i="22"/>
  <c r="U94" i="22"/>
  <c r="V94" i="22"/>
  <c r="U118" i="22"/>
  <c r="V118" i="22"/>
  <c r="U142" i="22"/>
  <c r="V142" i="22"/>
  <c r="U166" i="22"/>
  <c r="V166" i="22"/>
  <c r="U190" i="22"/>
  <c r="V190" i="22"/>
  <c r="U106" i="22"/>
  <c r="V106" i="22"/>
  <c r="U214" i="22"/>
  <c r="V214" i="22"/>
  <c r="U238" i="22"/>
  <c r="V238" i="22"/>
  <c r="U262" i="22"/>
  <c r="V262" i="22"/>
  <c r="U286" i="22"/>
  <c r="V286" i="22"/>
  <c r="U178" i="22"/>
  <c r="V178" i="22"/>
  <c r="U34" i="22"/>
  <c r="V34" i="22"/>
  <c r="U130" i="22"/>
  <c r="V130" i="22"/>
  <c r="V31" i="22"/>
  <c r="U31" i="22"/>
  <c r="V55" i="22"/>
  <c r="U55" i="22"/>
  <c r="V79" i="22"/>
  <c r="U79" i="22"/>
  <c r="V103" i="22"/>
  <c r="U103" i="22"/>
  <c r="V127" i="22"/>
  <c r="U127" i="22"/>
  <c r="V151" i="22"/>
  <c r="U151" i="22"/>
  <c r="V175" i="22"/>
  <c r="U175" i="22"/>
  <c r="V199" i="22"/>
  <c r="U199" i="22"/>
  <c r="V223" i="22"/>
  <c r="U223" i="22"/>
  <c r="V247" i="22"/>
  <c r="U247" i="22"/>
  <c r="V271" i="22"/>
  <c r="U271" i="22"/>
  <c r="V295" i="22"/>
  <c r="U295" i="22"/>
  <c r="U82" i="22"/>
  <c r="V82" i="22"/>
  <c r="U154" i="22"/>
  <c r="V154" i="22"/>
  <c r="U58" i="22"/>
  <c r="V58" i="22"/>
  <c r="U274" i="22"/>
  <c r="V274" i="22"/>
  <c r="U202" i="22"/>
  <c r="V202" i="22"/>
  <c r="U226" i="22"/>
  <c r="V226" i="22"/>
  <c r="U250" i="22"/>
  <c r="V250" i="22"/>
  <c r="U298" i="22"/>
  <c r="V298" i="22"/>
  <c r="V19" i="22"/>
  <c r="U19" i="22"/>
  <c r="V43" i="22"/>
  <c r="U43" i="22"/>
  <c r="V67" i="22"/>
  <c r="U67" i="22"/>
  <c r="V91" i="22"/>
  <c r="U91" i="22"/>
  <c r="V115" i="22"/>
  <c r="U115" i="22"/>
  <c r="V139" i="22"/>
  <c r="U139" i="22"/>
  <c r="V163" i="22"/>
  <c r="U163" i="22"/>
  <c r="V187" i="22"/>
  <c r="U187" i="22"/>
  <c r="V211" i="22"/>
  <c r="U211" i="22"/>
  <c r="V235" i="22"/>
  <c r="U235" i="22"/>
  <c r="V259" i="22"/>
  <c r="U259" i="22"/>
  <c r="V283" i="22"/>
  <c r="U283" i="22"/>
  <c r="U28" i="22"/>
  <c r="U100" i="22"/>
  <c r="U124" i="22"/>
  <c r="U148" i="22"/>
  <c r="U160" i="22"/>
  <c r="U184" i="22"/>
  <c r="U208" i="22"/>
  <c r="U232" i="22"/>
  <c r="U244" i="22"/>
  <c r="U256" i="22"/>
  <c r="U268" i="22"/>
  <c r="U280" i="22"/>
  <c r="U52" i="22"/>
  <c r="U64" i="22"/>
  <c r="U76" i="22"/>
  <c r="U112" i="22"/>
  <c r="U136" i="22"/>
  <c r="U172" i="22"/>
  <c r="U220" i="22"/>
  <c r="U292" i="22"/>
  <c r="V16" i="22"/>
  <c r="V40" i="22"/>
  <c r="V88" i="22"/>
  <c r="U13" i="22"/>
  <c r="U25" i="22"/>
  <c r="U37" i="22"/>
  <c r="U49" i="22"/>
  <c r="U61" i="22"/>
  <c r="U73" i="22"/>
  <c r="U85" i="22"/>
  <c r="U97" i="22"/>
  <c r="U109" i="22"/>
  <c r="U121" i="22"/>
  <c r="U133" i="22"/>
  <c r="U145" i="22"/>
  <c r="U157" i="22"/>
  <c r="U169" i="22"/>
  <c r="U181" i="22"/>
  <c r="U193" i="22"/>
  <c r="U205" i="22"/>
  <c r="U217" i="22"/>
  <c r="U229" i="22"/>
  <c r="U241" i="22"/>
  <c r="U253" i="22"/>
  <c r="U265" i="22"/>
  <c r="U277" i="22"/>
  <c r="U289" i="22"/>
  <c r="U298" i="20"/>
  <c r="V298" i="20"/>
  <c r="U295" i="20"/>
  <c r="V295" i="20"/>
  <c r="U283" i="20"/>
  <c r="V283" i="20"/>
  <c r="U271" i="20"/>
  <c r="V271" i="20"/>
  <c r="U247" i="20"/>
  <c r="V247" i="20"/>
  <c r="U223" i="20"/>
  <c r="V223" i="20"/>
  <c r="U199" i="20"/>
  <c r="V199" i="20"/>
  <c r="U22" i="20"/>
  <c r="V22" i="20"/>
  <c r="U34" i="20"/>
  <c r="V34" i="20"/>
  <c r="U46" i="20"/>
  <c r="V46" i="20"/>
  <c r="U58" i="20"/>
  <c r="V58" i="20"/>
  <c r="U70" i="20"/>
  <c r="V70" i="20"/>
  <c r="U82" i="20"/>
  <c r="V82" i="20"/>
  <c r="U94" i="20"/>
  <c r="V94" i="20"/>
  <c r="U118" i="20"/>
  <c r="V118" i="20"/>
  <c r="U130" i="20"/>
  <c r="V130" i="20"/>
  <c r="U142" i="20"/>
  <c r="V142" i="20"/>
  <c r="U154" i="20"/>
  <c r="V154" i="20"/>
  <c r="U166" i="20"/>
  <c r="V166" i="20"/>
  <c r="U232" i="20"/>
  <c r="V232" i="20"/>
  <c r="U187" i="20"/>
  <c r="V187" i="20"/>
  <c r="V97" i="20"/>
  <c r="U97" i="20"/>
  <c r="U292" i="20"/>
  <c r="V292" i="20"/>
  <c r="U280" i="20"/>
  <c r="V280" i="20"/>
  <c r="U262" i="20"/>
  <c r="V262" i="20"/>
  <c r="U238" i="20"/>
  <c r="V238" i="20"/>
  <c r="U214" i="20"/>
  <c r="V214" i="20"/>
  <c r="U13" i="20"/>
  <c r="V13" i="20"/>
  <c r="U25" i="20"/>
  <c r="V25" i="20"/>
  <c r="V49" i="20"/>
  <c r="U49" i="20"/>
  <c r="U61" i="20"/>
  <c r="V61" i="20"/>
  <c r="U73" i="20"/>
  <c r="V73" i="20"/>
  <c r="U109" i="20"/>
  <c r="V109" i="20"/>
  <c r="U121" i="20"/>
  <c r="V121" i="20"/>
  <c r="V145" i="20"/>
  <c r="U145" i="20"/>
  <c r="U157" i="20"/>
  <c r="V157" i="20"/>
  <c r="V169" i="20"/>
  <c r="U169" i="20"/>
  <c r="V217" i="20"/>
  <c r="U217" i="20"/>
  <c r="V241" i="20"/>
  <c r="U241" i="20"/>
  <c r="V265" i="20"/>
  <c r="U265" i="20"/>
  <c r="U196" i="20"/>
  <c r="V196" i="20"/>
  <c r="U106" i="20"/>
  <c r="V106" i="20"/>
  <c r="V289" i="20"/>
  <c r="U289" i="20"/>
  <c r="U259" i="20"/>
  <c r="V259" i="20"/>
  <c r="U235" i="20"/>
  <c r="V235" i="20"/>
  <c r="U211" i="20"/>
  <c r="V211" i="20"/>
  <c r="U16" i="20"/>
  <c r="V16" i="20"/>
  <c r="U40" i="20"/>
  <c r="V40" i="20"/>
  <c r="U64" i="20"/>
  <c r="V64" i="20"/>
  <c r="U88" i="20"/>
  <c r="V88" i="20"/>
  <c r="U136" i="20"/>
  <c r="V136" i="20"/>
  <c r="U172" i="20"/>
  <c r="V172" i="20"/>
  <c r="U220" i="20"/>
  <c r="V220" i="20"/>
  <c r="U268" i="20"/>
  <c r="V268" i="20"/>
  <c r="U103" i="20"/>
  <c r="V103" i="20"/>
  <c r="U28" i="20"/>
  <c r="V28" i="20"/>
  <c r="U52" i="20"/>
  <c r="V52" i="20"/>
  <c r="U76" i="20"/>
  <c r="V76" i="20"/>
  <c r="U124" i="20"/>
  <c r="V124" i="20"/>
  <c r="U148" i="20"/>
  <c r="V148" i="20"/>
  <c r="U184" i="20"/>
  <c r="V184" i="20"/>
  <c r="U244" i="20"/>
  <c r="V244" i="20"/>
  <c r="V193" i="20"/>
  <c r="U193" i="20"/>
  <c r="U250" i="20"/>
  <c r="V250" i="20"/>
  <c r="U19" i="20"/>
  <c r="V19" i="20"/>
  <c r="U31" i="20"/>
  <c r="V31" i="20"/>
  <c r="U43" i="20"/>
  <c r="V43" i="20"/>
  <c r="U55" i="20"/>
  <c r="V55" i="20"/>
  <c r="U67" i="20"/>
  <c r="V67" i="20"/>
  <c r="U79" i="20"/>
  <c r="V79" i="20"/>
  <c r="U91" i="20"/>
  <c r="V91" i="20"/>
  <c r="U115" i="20"/>
  <c r="V115" i="20"/>
  <c r="U127" i="20"/>
  <c r="V127" i="20"/>
  <c r="U139" i="20"/>
  <c r="V139" i="20"/>
  <c r="U151" i="20"/>
  <c r="V151" i="20"/>
  <c r="U163" i="20"/>
  <c r="V163" i="20"/>
  <c r="U175" i="20"/>
  <c r="V175" i="20"/>
  <c r="U205" i="20"/>
  <c r="V205" i="20"/>
  <c r="U253" i="20"/>
  <c r="V253" i="20"/>
  <c r="U190" i="20"/>
  <c r="V190" i="20"/>
  <c r="U100" i="20"/>
  <c r="V100" i="20"/>
  <c r="V277" i="20"/>
  <c r="V229" i="20"/>
  <c r="V181" i="20"/>
  <c r="V133" i="20"/>
  <c r="V85" i="20"/>
  <c r="V37" i="20"/>
  <c r="V286" i="20"/>
  <c r="V274" i="20"/>
  <c r="V226" i="20"/>
  <c r="V178" i="20"/>
  <c r="V49" i="19"/>
  <c r="V109" i="19"/>
  <c r="V169" i="19"/>
  <c r="V193" i="19"/>
  <c r="V73" i="19"/>
  <c r="U214" i="19"/>
  <c r="U154" i="19"/>
  <c r="V253" i="19"/>
  <c r="V16" i="19"/>
  <c r="U25" i="19"/>
  <c r="U148" i="19"/>
  <c r="V157" i="19"/>
  <c r="U280" i="19"/>
  <c r="U97" i="19"/>
  <c r="U133" i="19"/>
  <c r="U184" i="19"/>
  <c r="U289" i="19"/>
  <c r="U229" i="19"/>
  <c r="U265" i="19"/>
  <c r="V292" i="19"/>
  <c r="U292" i="19"/>
  <c r="U76" i="19"/>
  <c r="V76" i="19"/>
  <c r="V196" i="19"/>
  <c r="U196" i="19"/>
  <c r="U52" i="19"/>
  <c r="V52" i="19"/>
  <c r="V79" i="19"/>
  <c r="U79" i="19"/>
  <c r="V106" i="19"/>
  <c r="U106" i="19"/>
  <c r="V175" i="19"/>
  <c r="U175" i="19"/>
  <c r="U124" i="19"/>
  <c r="V124" i="19"/>
  <c r="U256" i="19"/>
  <c r="V256" i="19"/>
  <c r="V298" i="19"/>
  <c r="U298" i="19"/>
  <c r="V55" i="19"/>
  <c r="U55" i="19"/>
  <c r="V67" i="19"/>
  <c r="U67" i="19"/>
  <c r="V58" i="19"/>
  <c r="U58" i="19"/>
  <c r="V31" i="19"/>
  <c r="U31" i="19"/>
  <c r="V130" i="19"/>
  <c r="U130" i="19"/>
  <c r="V226" i="19"/>
  <c r="U226" i="19"/>
  <c r="V43" i="19"/>
  <c r="U43" i="19"/>
  <c r="V70" i="19"/>
  <c r="U70" i="19"/>
  <c r="V166" i="19"/>
  <c r="U166" i="19"/>
  <c r="V211" i="19"/>
  <c r="U211" i="19"/>
  <c r="U220" i="19"/>
  <c r="V220" i="19"/>
  <c r="V151" i="19"/>
  <c r="U151" i="19"/>
  <c r="V202" i="19"/>
  <c r="U202" i="19"/>
  <c r="V247" i="19"/>
  <c r="U247" i="19"/>
  <c r="U100" i="19"/>
  <c r="V100" i="19"/>
  <c r="V22" i="19"/>
  <c r="U22" i="19"/>
  <c r="U136" i="19"/>
  <c r="V136" i="19"/>
  <c r="U232" i="19"/>
  <c r="V232" i="19"/>
  <c r="V94" i="19"/>
  <c r="U94" i="19"/>
  <c r="V286" i="19"/>
  <c r="U286" i="19"/>
  <c r="V190" i="19"/>
  <c r="U190" i="19"/>
  <c r="V262" i="19"/>
  <c r="U262" i="19"/>
  <c r="U34" i="19"/>
  <c r="V34" i="19"/>
  <c r="V139" i="19"/>
  <c r="U139" i="19"/>
  <c r="V271" i="19"/>
  <c r="U271" i="19"/>
  <c r="V235" i="19"/>
  <c r="U235" i="19"/>
  <c r="V19" i="19"/>
  <c r="U19" i="19"/>
  <c r="V46" i="19"/>
  <c r="U46" i="19"/>
  <c r="V115" i="19"/>
  <c r="U115" i="19"/>
  <c r="V160" i="19"/>
  <c r="U160" i="19"/>
  <c r="V28" i="19"/>
  <c r="U28" i="19"/>
  <c r="V82" i="19"/>
  <c r="U82" i="19"/>
  <c r="V91" i="19"/>
  <c r="U91" i="19"/>
  <c r="V61" i="19"/>
  <c r="U61" i="19"/>
  <c r="V163" i="19"/>
  <c r="U163" i="19"/>
  <c r="V13" i="19"/>
  <c r="U13" i="19"/>
  <c r="V295" i="19"/>
  <c r="U295" i="19"/>
  <c r="U208" i="19"/>
  <c r="V223" i="19"/>
  <c r="U223" i="19"/>
  <c r="V283" i="19"/>
  <c r="U283" i="19"/>
  <c r="V277" i="19"/>
  <c r="U277" i="19"/>
  <c r="U178" i="19"/>
  <c r="U64" i="19"/>
  <c r="V88" i="19"/>
  <c r="V187" i="19"/>
  <c r="U187" i="19"/>
  <c r="V244" i="19"/>
  <c r="V85" i="19"/>
  <c r="U85" i="19"/>
  <c r="V241" i="19"/>
  <c r="U241" i="19"/>
  <c r="V37" i="19"/>
  <c r="U37" i="19"/>
  <c r="V145" i="19"/>
  <c r="U145" i="19"/>
  <c r="V217" i="19"/>
  <c r="U217" i="19"/>
  <c r="V172" i="19"/>
  <c r="U172" i="19"/>
  <c r="V112" i="19"/>
  <c r="V199" i="19"/>
  <c r="U199" i="19"/>
  <c r="V259" i="19"/>
  <c r="U259" i="19"/>
  <c r="V127" i="19"/>
  <c r="U127" i="19"/>
  <c r="U250" i="19"/>
  <c r="U40" i="19"/>
  <c r="U121" i="19"/>
  <c r="V121" i="19"/>
  <c r="V181" i="19"/>
  <c r="U181" i="19"/>
  <c r="U205" i="19"/>
  <c r="U238" i="19"/>
  <c r="V268" i="19"/>
  <c r="U268" i="19"/>
  <c r="U142" i="19"/>
  <c r="U274" i="19"/>
  <c r="U118" i="19"/>
  <c r="V103" i="19"/>
  <c r="U103" i="19"/>
  <c r="T298" i="12"/>
  <c r="T282" i="12"/>
  <c r="T266" i="12"/>
  <c r="V268" i="12" s="1"/>
  <c r="T250" i="12"/>
  <c r="T234" i="12"/>
  <c r="T218" i="12"/>
  <c r="V220" i="12" s="1"/>
  <c r="T122" i="12"/>
  <c r="V124" i="12" s="1"/>
  <c r="T297" i="12"/>
  <c r="T281" i="12"/>
  <c r="U283" i="12" s="1"/>
  <c r="T233" i="12"/>
  <c r="V235" i="12" s="1"/>
  <c r="T217" i="12"/>
  <c r="T121" i="12"/>
  <c r="T247" i="12"/>
  <c r="T151" i="12"/>
  <c r="T291" i="12"/>
  <c r="T275" i="12"/>
  <c r="U277" i="12" s="1"/>
  <c r="T259" i="12"/>
  <c r="T227" i="12"/>
  <c r="V229" i="12" s="1"/>
  <c r="T211" i="12"/>
  <c r="T195" i="12"/>
  <c r="T163" i="12"/>
  <c r="T131" i="12"/>
  <c r="V133" i="12" s="1"/>
  <c r="T115" i="12"/>
  <c r="T289" i="12"/>
  <c r="T273" i="12"/>
  <c r="T257" i="12"/>
  <c r="V259" i="12" s="1"/>
  <c r="T241" i="12"/>
  <c r="T225" i="12"/>
  <c r="T209" i="12"/>
  <c r="V211" i="12" s="1"/>
  <c r="T161" i="12"/>
  <c r="V163" i="12" s="1"/>
  <c r="T145" i="12"/>
  <c r="T160" i="12"/>
  <c r="T175" i="12"/>
  <c r="T158" i="12"/>
  <c r="U160" i="12" s="1"/>
  <c r="T253" i="12"/>
  <c r="T205" i="12"/>
  <c r="T189" i="12"/>
  <c r="T157" i="12"/>
  <c r="T125" i="12"/>
  <c r="V127" i="12" s="1"/>
  <c r="T283" i="12"/>
  <c r="T267" i="12"/>
  <c r="T251" i="12"/>
  <c r="U253" i="12" s="1"/>
  <c r="T235" i="12"/>
  <c r="T219" i="12"/>
  <c r="T203" i="12"/>
  <c r="U205" i="12" s="1"/>
  <c r="T187" i="12"/>
  <c r="T171" i="12"/>
  <c r="T139" i="12"/>
  <c r="T123" i="12"/>
  <c r="T107" i="12"/>
  <c r="V109" i="12" s="1"/>
  <c r="T192" i="12"/>
  <c r="T223" i="12"/>
  <c r="T159" i="12"/>
  <c r="T229" i="12"/>
  <c r="T117" i="12"/>
  <c r="T240" i="12"/>
  <c r="T239" i="12"/>
  <c r="U241" i="12" s="1"/>
  <c r="T191" i="12"/>
  <c r="V193" i="12" s="1"/>
  <c r="T190" i="12"/>
  <c r="T290" i="12"/>
  <c r="V292" i="12" s="1"/>
  <c r="T226" i="12"/>
  <c r="T146" i="12"/>
  <c r="U148" i="12" s="1"/>
  <c r="T272" i="12"/>
  <c r="V274" i="12" s="1"/>
  <c r="T271" i="12"/>
  <c r="T238" i="12"/>
  <c r="T285" i="12"/>
  <c r="V262" i="12"/>
  <c r="U262" i="12"/>
  <c r="U286" i="12"/>
  <c r="V214" i="12"/>
  <c r="U214" i="12"/>
  <c r="V244" i="12"/>
  <c r="U244" i="12"/>
  <c r="U223" i="12"/>
  <c r="V223" i="12"/>
  <c r="V271" i="12"/>
  <c r="U271" i="12"/>
  <c r="V217" i="12"/>
  <c r="U217" i="12"/>
  <c r="V226" i="12"/>
  <c r="U226" i="12"/>
  <c r="V208" i="12"/>
  <c r="U208" i="12"/>
  <c r="V256" i="12"/>
  <c r="U256" i="12"/>
  <c r="V295" i="12"/>
  <c r="U295" i="12"/>
  <c r="V280" i="12"/>
  <c r="U280" i="12"/>
  <c r="U247" i="12"/>
  <c r="V247" i="12"/>
  <c r="V265" i="12"/>
  <c r="U265" i="12"/>
  <c r="V238" i="12"/>
  <c r="U238" i="12"/>
  <c r="U289" i="12"/>
  <c r="V289" i="12"/>
  <c r="V250" i="12"/>
  <c r="U250" i="12"/>
  <c r="V298" i="12"/>
  <c r="U298" i="12"/>
  <c r="V232" i="12"/>
  <c r="U232" i="12"/>
  <c r="T130" i="12"/>
  <c r="T167" i="12"/>
  <c r="U169" i="12" s="1"/>
  <c r="T176" i="12"/>
  <c r="U178" i="12" s="1"/>
  <c r="T177" i="12"/>
  <c r="T186" i="12"/>
  <c r="T113" i="12"/>
  <c r="V115" i="12" s="1"/>
  <c r="T178" i="12"/>
  <c r="T114" i="12"/>
  <c r="T142" i="12"/>
  <c r="T143" i="12"/>
  <c r="V145" i="12" s="1"/>
  <c r="T188" i="12"/>
  <c r="V190" i="12" s="1"/>
  <c r="T197" i="12"/>
  <c r="V199" i="12" s="1"/>
  <c r="T162" i="12"/>
  <c r="T119" i="12"/>
  <c r="V121" i="12" s="1"/>
  <c r="T164" i="12"/>
  <c r="V166" i="12" s="1"/>
  <c r="T201" i="12"/>
  <c r="T155" i="12"/>
  <c r="U157" i="12" s="1"/>
  <c r="T128" i="12"/>
  <c r="V130" i="12" s="1"/>
  <c r="T174" i="12"/>
  <c r="T193" i="12"/>
  <c r="T202" i="12"/>
  <c r="V154" i="12"/>
  <c r="U154" i="12"/>
  <c r="V181" i="12"/>
  <c r="U181" i="12"/>
  <c r="V172" i="12"/>
  <c r="U172" i="12"/>
  <c r="V139" i="12"/>
  <c r="U139" i="12"/>
  <c r="V175" i="12"/>
  <c r="U175" i="12"/>
  <c r="U184" i="12"/>
  <c r="V184" i="12"/>
  <c r="V142" i="12"/>
  <c r="U142" i="12"/>
  <c r="V151" i="12"/>
  <c r="U151" i="12"/>
  <c r="V118" i="12"/>
  <c r="U118" i="12"/>
  <c r="U136" i="12"/>
  <c r="V136" i="12"/>
  <c r="V202" i="12"/>
  <c r="U202" i="12"/>
  <c r="V112" i="12"/>
  <c r="U112" i="12"/>
  <c r="V187" i="12"/>
  <c r="U187" i="12"/>
  <c r="V196" i="12"/>
  <c r="U196" i="12"/>
  <c r="W106" i="12"/>
  <c r="T106" i="12"/>
  <c r="T105" i="12"/>
  <c r="T104" i="12"/>
  <c r="W103" i="12"/>
  <c r="T103" i="12"/>
  <c r="T102" i="12"/>
  <c r="T101" i="12"/>
  <c r="U103" i="12" s="1"/>
  <c r="W100" i="12"/>
  <c r="T100" i="12"/>
  <c r="T99" i="12"/>
  <c r="T98" i="12"/>
  <c r="V100" i="12" s="1"/>
  <c r="W97" i="12"/>
  <c r="T97" i="12"/>
  <c r="T96" i="12"/>
  <c r="T95" i="12"/>
  <c r="V97" i="12" s="1"/>
  <c r="W94" i="12"/>
  <c r="T94" i="12"/>
  <c r="T93" i="12"/>
  <c r="T92" i="12"/>
  <c r="W91" i="12"/>
  <c r="T91" i="12"/>
  <c r="T90" i="12"/>
  <c r="T89" i="12"/>
  <c r="W88" i="12"/>
  <c r="T88" i="12"/>
  <c r="T87" i="12"/>
  <c r="T86" i="12"/>
  <c r="W85" i="12"/>
  <c r="T85" i="12"/>
  <c r="T84" i="12"/>
  <c r="T83" i="12"/>
  <c r="V85" i="12" s="1"/>
  <c r="W82" i="12"/>
  <c r="T82" i="12"/>
  <c r="T81" i="12"/>
  <c r="T80" i="12"/>
  <c r="W79" i="12"/>
  <c r="T79" i="12"/>
  <c r="T78" i="12"/>
  <c r="T77" i="12"/>
  <c r="W76" i="12"/>
  <c r="T76" i="12"/>
  <c r="T75" i="12"/>
  <c r="T74" i="12"/>
  <c r="V76" i="12" s="1"/>
  <c r="W73" i="12"/>
  <c r="T73" i="12"/>
  <c r="T72" i="12"/>
  <c r="T71" i="12"/>
  <c r="V73" i="12" s="1"/>
  <c r="W70" i="12"/>
  <c r="T70" i="12"/>
  <c r="T69" i="12"/>
  <c r="T68" i="12"/>
  <c r="W67" i="12"/>
  <c r="T67" i="12"/>
  <c r="T66" i="12"/>
  <c r="T65" i="12"/>
  <c r="W64" i="12"/>
  <c r="T64" i="12"/>
  <c r="T63" i="12"/>
  <c r="T62" i="12"/>
  <c r="V64" i="12" s="1"/>
  <c r="W61" i="12"/>
  <c r="T61" i="12"/>
  <c r="T60" i="12"/>
  <c r="T59" i="12"/>
  <c r="V61" i="12" s="1"/>
  <c r="W58" i="12"/>
  <c r="T58" i="12"/>
  <c r="T57" i="12"/>
  <c r="T56" i="12"/>
  <c r="W55" i="12"/>
  <c r="T55" i="12"/>
  <c r="T54" i="12"/>
  <c r="T53" i="12"/>
  <c r="W52" i="12"/>
  <c r="T52" i="12"/>
  <c r="T51" i="12"/>
  <c r="T50" i="12"/>
  <c r="W49" i="12"/>
  <c r="T49" i="12"/>
  <c r="T48" i="12"/>
  <c r="T47" i="12"/>
  <c r="V49" i="12" s="1"/>
  <c r="W46" i="12"/>
  <c r="T46" i="12"/>
  <c r="T45" i="12"/>
  <c r="T44" i="12"/>
  <c r="W43" i="12"/>
  <c r="T43" i="12"/>
  <c r="T42" i="12"/>
  <c r="T41" i="12"/>
  <c r="V43" i="12" s="1"/>
  <c r="W40" i="12"/>
  <c r="T40" i="12"/>
  <c r="T39" i="12"/>
  <c r="T38" i="12"/>
  <c r="V40" i="12" s="1"/>
  <c r="W37" i="12"/>
  <c r="T37" i="12"/>
  <c r="T36" i="12"/>
  <c r="T35" i="12"/>
  <c r="V37" i="12" s="1"/>
  <c r="W34" i="12"/>
  <c r="T34" i="12"/>
  <c r="T33" i="12"/>
  <c r="T32" i="12"/>
  <c r="W31" i="12"/>
  <c r="T31" i="12"/>
  <c r="T30" i="12"/>
  <c r="T29" i="12"/>
  <c r="W28" i="12"/>
  <c r="T28" i="12"/>
  <c r="T27" i="12"/>
  <c r="T26" i="12"/>
  <c r="W25" i="12"/>
  <c r="T25" i="12"/>
  <c r="T24" i="12"/>
  <c r="T23" i="12"/>
  <c r="W22" i="12"/>
  <c r="T22" i="12"/>
  <c r="T21" i="12"/>
  <c r="T20" i="12"/>
  <c r="W19" i="12"/>
  <c r="T19" i="12"/>
  <c r="T18" i="12"/>
  <c r="T17" i="12"/>
  <c r="V19" i="12" s="1"/>
  <c r="W16" i="12"/>
  <c r="T16" i="12"/>
  <c r="T15" i="12"/>
  <c r="T14" i="12"/>
  <c r="W13" i="12"/>
  <c r="T13" i="12"/>
  <c r="T12" i="12"/>
  <c r="Q11" i="12"/>
  <c r="R11" i="12" s="1"/>
  <c r="T11" i="12" s="1"/>
  <c r="U220" i="12" l="1"/>
  <c r="U229" i="12"/>
  <c r="U109" i="12"/>
  <c r="V277" i="12"/>
  <c r="V148" i="12"/>
  <c r="U268" i="12"/>
  <c r="V178" i="12"/>
  <c r="U259" i="12"/>
  <c r="V253" i="12"/>
  <c r="U190" i="12"/>
  <c r="U124" i="12"/>
  <c r="U145" i="12"/>
  <c r="V283" i="12"/>
  <c r="U211" i="12"/>
  <c r="U193" i="12"/>
  <c r="U127" i="12"/>
  <c r="U163" i="12"/>
  <c r="U235" i="12"/>
  <c r="U133" i="12"/>
  <c r="V241" i="12"/>
  <c r="U292" i="12"/>
  <c r="V160" i="12"/>
  <c r="V205" i="12"/>
  <c r="U130" i="12"/>
  <c r="U274" i="12"/>
  <c r="V169" i="12"/>
  <c r="U121" i="12"/>
  <c r="U166" i="12"/>
  <c r="V157" i="12"/>
  <c r="U199" i="12"/>
  <c r="U115" i="12"/>
  <c r="V13" i="12"/>
  <c r="U13" i="12"/>
  <c r="U91" i="12"/>
  <c r="V91" i="12"/>
  <c r="V67" i="12"/>
  <c r="U67" i="12"/>
  <c r="V94" i="12"/>
  <c r="U94" i="12"/>
  <c r="V79" i="12"/>
  <c r="U79" i="12"/>
  <c r="V82" i="12"/>
  <c r="U82" i="12"/>
  <c r="V46" i="12"/>
  <c r="U46" i="12"/>
  <c r="V58" i="12"/>
  <c r="U58" i="12"/>
  <c r="V31" i="12"/>
  <c r="U31" i="12"/>
  <c r="V16" i="12"/>
  <c r="U16" i="12"/>
  <c r="V34" i="12"/>
  <c r="U34" i="12"/>
  <c r="V88" i="12"/>
  <c r="U88" i="12"/>
  <c r="V106" i="12"/>
  <c r="U106" i="12"/>
  <c r="V28" i="12"/>
  <c r="U28" i="12"/>
  <c r="V25" i="12"/>
  <c r="U25" i="12"/>
  <c r="V22" i="12"/>
  <c r="U22" i="12"/>
  <c r="V70" i="12"/>
  <c r="U70" i="12"/>
  <c r="V52" i="12"/>
  <c r="U52" i="12"/>
  <c r="V55" i="12"/>
  <c r="U55" i="12"/>
  <c r="U43" i="12"/>
  <c r="U64" i="12"/>
  <c r="U76" i="12"/>
  <c r="U19" i="12"/>
  <c r="U85" i="12"/>
  <c r="U61" i="12"/>
  <c r="U40" i="12"/>
  <c r="U73" i="12"/>
  <c r="U49" i="12"/>
  <c r="U37" i="12"/>
  <c r="U100" i="12"/>
  <c r="U97" i="12"/>
  <c r="V103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labuser</author>
  </authors>
  <commentList>
    <comment ref="X5" authorId="0" shapeId="0" xr:uid="{D40EBACC-F27D-4FD1-B364-DB67C0A5875F}">
      <text>
        <r>
          <rPr>
            <b/>
            <sz val="9"/>
            <color rgb="FF000000"/>
            <rFont val="Tahoma"/>
            <family val="2"/>
          </rPr>
          <t>Tecan.At.Common, 3.9.1.0</t>
        </r>
        <r>
          <rPr>
            <b/>
            <sz val="9"/>
            <color rgb="FF000000"/>
            <rFont val="Tahoma"/>
            <family val="2"/>
          </rPr>
          <t xml:space="preserve">
Tecan.At.Common.DocumentManagement, 3.9.1.0</t>
        </r>
        <r>
          <rPr>
            <b/>
            <sz val="9"/>
            <color rgb="FF000000"/>
            <rFont val="Tahoma"/>
            <family val="2"/>
          </rPr>
          <t xml:space="preserve">
Tecan.At.Common.DocumentManagement.Reader, 3.6.1.0</t>
        </r>
        <r>
          <rPr>
            <b/>
            <sz val="9"/>
            <color rgb="FF000000"/>
            <rFont val="Tahoma"/>
            <family val="2"/>
          </rPr>
          <t xml:space="preserve">
Tecan.At.Common.MCS, 3.9.1.0</t>
        </r>
        <r>
          <rPr>
            <b/>
            <sz val="9"/>
            <color rgb="FF000000"/>
            <rFont val="Tahoma"/>
            <family val="2"/>
          </rPr>
          <t xml:space="preserve">
Tecan.At.Common.Results, 3.9.1.0</t>
        </r>
        <r>
          <rPr>
            <b/>
            <sz val="9"/>
            <color rgb="FF000000"/>
            <rFont val="Tahoma"/>
            <family val="2"/>
          </rPr>
          <t xml:space="preserve">
Tecan.At.Common.UI, 3.9.1.0</t>
        </r>
        <r>
          <rPr>
            <b/>
            <sz val="9"/>
            <color rgb="FF000000"/>
            <rFont val="Tahoma"/>
            <family val="2"/>
          </rPr>
          <t xml:space="preserve">
Tecan.At.Communication.Common, 3.9.1.0</t>
        </r>
        <r>
          <rPr>
            <b/>
            <sz val="9"/>
            <color rgb="FF000000"/>
            <rFont val="Tahoma"/>
            <family val="2"/>
          </rPr>
          <t xml:space="preserve">
Tecan.At.Communication.Port.IP, 3.9.1.0</t>
        </r>
        <r>
          <rPr>
            <b/>
            <sz val="9"/>
            <color rgb="FF000000"/>
            <rFont val="Tahoma"/>
            <family val="2"/>
          </rPr>
          <t xml:space="preserve">
Tecan.At.Communication.Port.RS232, 3.9.1.0</t>
        </r>
        <r>
          <rPr>
            <b/>
            <sz val="9"/>
            <color rgb="FF000000"/>
            <rFont val="Tahoma"/>
            <family val="2"/>
          </rPr>
          <t xml:space="preserve">
Tecan.At.Communication.Port.SIM.Common, 3.9.1.0</t>
        </r>
        <r>
          <rPr>
            <b/>
            <sz val="9"/>
            <color rgb="FF000000"/>
            <rFont val="Tahoma"/>
            <family val="2"/>
          </rPr>
          <t xml:space="preserve">
Tecan.At.Communication.Port.USB, 3.9.1.0</t>
        </r>
        <r>
          <rPr>
            <b/>
            <sz val="9"/>
            <color rgb="FF000000"/>
            <rFont val="Tahoma"/>
            <family val="2"/>
          </rPr>
          <t xml:space="preserve">
Tecan.At.Communication.Server, 3.9.1.0</t>
        </r>
        <r>
          <rPr>
            <b/>
            <sz val="9"/>
            <color rgb="FF000000"/>
            <rFont val="Tahoma"/>
            <family val="2"/>
          </rPr>
          <t xml:space="preserve">
Tecan.At.Communication.SIM.AMR, 3.6.1.0</t>
        </r>
        <r>
          <rPr>
            <b/>
            <sz val="9"/>
            <color rgb="FF000000"/>
            <rFont val="Tahoma"/>
            <family val="2"/>
          </rPr>
          <t xml:space="preserve">
Tecan.At.Communication.SIM.AMRPlus, 3.6.1.0</t>
        </r>
        <r>
          <rPr>
            <b/>
            <sz val="9"/>
            <color rgb="FF000000"/>
            <rFont val="Tahoma"/>
            <family val="2"/>
          </rPr>
          <t xml:space="preserve">
Tecan.At.Communication.SIM.Connect, 3.9.1.0</t>
        </r>
        <r>
          <rPr>
            <b/>
            <sz val="9"/>
            <color rgb="FF000000"/>
            <rFont val="Tahoma"/>
            <family val="2"/>
          </rPr>
          <t xml:space="preserve">
Tecan.At.Communication.SIM.GeniosUltra, 3.6.1.0</t>
        </r>
        <r>
          <rPr>
            <b/>
            <sz val="9"/>
            <color rgb="FF000000"/>
            <rFont val="Tahoma"/>
            <family val="2"/>
          </rPr>
          <t xml:space="preserve">
Tecan.At.Communication.SIM.Safire3, 3.6.1.0</t>
        </r>
        <r>
          <rPr>
            <b/>
            <sz val="9"/>
            <color rgb="FF000000"/>
            <rFont val="Tahoma"/>
            <family val="2"/>
          </rPr>
          <t xml:space="preserve">
Tecan.At.Communication.SIM.Safire3Pro, 3.6.1.0</t>
        </r>
        <r>
          <rPr>
            <b/>
            <sz val="9"/>
            <color rgb="FF000000"/>
            <rFont val="Tahoma"/>
            <family val="2"/>
          </rPr>
          <t xml:space="preserve">
Tecan.At.Communication.SIM.SunriseMini, 3.6.1.0</t>
        </r>
        <r>
          <rPr>
            <b/>
            <sz val="9"/>
            <color rgb="FF000000"/>
            <rFont val="Tahoma"/>
            <family val="2"/>
          </rPr>
          <t xml:space="preserve">
Tecan.At.Instrument.Common, 3.9.1.0</t>
        </r>
        <r>
          <rPr>
            <b/>
            <sz val="9"/>
            <color rgb="FF000000"/>
            <rFont val="Tahoma"/>
            <family val="2"/>
          </rPr>
          <t xml:space="preserve">
Tecan.At.Instrument.Common.GCM, 3.9.1.0</t>
        </r>
        <r>
          <rPr>
            <b/>
            <sz val="9"/>
            <color rgb="FF000000"/>
            <rFont val="Tahoma"/>
            <family val="2"/>
          </rPr>
          <t xml:space="preserve">
Tecan.At.Instrument.Common.Reader, 3.6.1.0</t>
        </r>
        <r>
          <rPr>
            <b/>
            <sz val="9"/>
            <color rgb="FF000000"/>
            <rFont val="Tahoma"/>
            <family val="2"/>
          </rPr>
          <t xml:space="preserve">
Tecan.At.Instrument.Common.Stacker, 3.9.1.0</t>
        </r>
        <r>
          <rPr>
            <b/>
            <sz val="9"/>
            <color rgb="FF000000"/>
            <rFont val="Tahoma"/>
            <family val="2"/>
          </rPr>
          <t xml:space="preserve">
Tecan.At.Instrument.Gas.GCM, 3.9.1.0</t>
        </r>
        <r>
          <rPr>
            <b/>
            <sz val="9"/>
            <color rgb="FF000000"/>
            <rFont val="Tahoma"/>
            <family val="2"/>
          </rPr>
          <t xml:space="preserve">
Tecan.At.Instrument.GCM.Server, 3.9.1.0</t>
        </r>
        <r>
          <rPr>
            <b/>
            <sz val="9"/>
            <color rgb="FF000000"/>
            <rFont val="Tahoma"/>
            <family val="2"/>
          </rPr>
          <t xml:space="preserve">
Tecan.At.Instrument.Reader.AMR, 3.6.1.0</t>
        </r>
        <r>
          <rPr>
            <b/>
            <sz val="9"/>
            <color rgb="FF000000"/>
            <rFont val="Tahoma"/>
            <family val="2"/>
          </rPr>
          <t xml:space="preserve">
Tecan.At.Instrument.Reader.AMRPlus, 3.6.1.0</t>
        </r>
        <r>
          <rPr>
            <b/>
            <sz val="9"/>
            <color rgb="FF000000"/>
            <rFont val="Tahoma"/>
            <family val="2"/>
          </rPr>
          <t xml:space="preserve">
Tecan.At.Instrument.Reader.GeniosUltra, 3.6.1.0</t>
        </r>
        <r>
          <rPr>
            <b/>
            <sz val="9"/>
            <color rgb="FF000000"/>
            <rFont val="Tahoma"/>
            <family val="2"/>
          </rPr>
          <t xml:space="preserve">
Tecan.At.Instrument.Reader.Safire3, 3.6.1.0</t>
        </r>
        <r>
          <rPr>
            <b/>
            <sz val="9"/>
            <color rgb="FF000000"/>
            <rFont val="Tahoma"/>
            <family val="2"/>
          </rPr>
          <t xml:space="preserve">
Tecan.At.Instrument.Reader.Safire3Pro, 3.6.1.0</t>
        </r>
        <r>
          <rPr>
            <b/>
            <sz val="9"/>
            <color rgb="FF000000"/>
            <rFont val="Tahoma"/>
            <family val="2"/>
          </rPr>
          <t xml:space="preserve">
Tecan.At.Instrument.Reader.SunriseMini, 3.6.1.0</t>
        </r>
        <r>
          <rPr>
            <b/>
            <sz val="9"/>
            <color rgb="FF000000"/>
            <rFont val="Tahoma"/>
            <family val="2"/>
          </rPr>
          <t xml:space="preserve">
Tecan.At.Instrument.Server, 3.9.1.0</t>
        </r>
        <r>
          <rPr>
            <b/>
            <sz val="9"/>
            <color rgb="FF000000"/>
            <rFont val="Tahoma"/>
            <family val="2"/>
          </rPr>
          <t xml:space="preserve">
Tecan.At.Instrument.Stacker.Connect, 3.9.1.0</t>
        </r>
        <r>
          <rPr>
            <b/>
            <sz val="9"/>
            <color rgb="FF000000"/>
            <rFont val="Tahoma"/>
            <family val="2"/>
          </rPr>
          <t xml:space="preserve">
Tecan.At.Instrument.Stacker.Server, 3.9.1.0</t>
        </r>
        <r>
          <rPr>
            <b/>
            <sz val="9"/>
            <color rgb="FF000000"/>
            <rFont val="Tahoma"/>
            <family val="2"/>
          </rPr>
          <t xml:space="preserve">
Tecan.At.Measurement.BuiltInTest.Common, 3.6.1.0</t>
        </r>
        <r>
          <rPr>
            <b/>
            <sz val="9"/>
            <color rgb="FF000000"/>
            <rFont val="Tahoma"/>
            <family val="2"/>
          </rPr>
          <t xml:space="preserve">
Tecan.At.Measurement.Common, 3.6.1.0</t>
        </r>
        <r>
          <rPr>
            <b/>
            <sz val="9"/>
            <color rgb="FF000000"/>
            <rFont val="Tahoma"/>
            <family val="2"/>
          </rPr>
          <t xml:space="preserve">
Tecan.At.Measurement.Server, 3.6.1.0</t>
        </r>
        <r>
          <rPr>
            <b/>
            <sz val="9"/>
            <color rgb="FF000000"/>
            <rFont val="Tahoma"/>
            <family val="2"/>
          </rPr>
          <t xml:space="preserve">
Tecan.At.XFluor, 2.0.10.0</t>
        </r>
        <r>
          <rPr>
            <b/>
            <sz val="9"/>
            <color rgb="FF000000"/>
            <rFont val="Tahoma"/>
            <family val="2"/>
          </rPr>
          <t xml:space="preserve">
Tecan.At.XFluor.Connect.Reader, 2.0.10.0</t>
        </r>
        <r>
          <rPr>
            <b/>
            <sz val="9"/>
            <color rgb="FF000000"/>
            <rFont val="Tahoma"/>
            <family val="2"/>
          </rPr>
          <t xml:space="preserve">
Tecan.At.XFluor.Core, 2.0.10.0</t>
        </r>
        <r>
          <rPr>
            <b/>
            <sz val="9"/>
            <color rgb="FF000000"/>
            <rFont val="Tahoma"/>
            <family val="2"/>
          </rPr>
          <t xml:space="preserve">
Tecan.At.XFluor.Device, 2.0.10.0</t>
        </r>
        <r>
          <rPr>
            <b/>
            <sz val="9"/>
            <color rgb="FF000000"/>
            <rFont val="Tahoma"/>
            <family val="2"/>
          </rPr>
          <t xml:space="preserve">
Tecan.At.XFluor.Device.AMR, 2.0.10.0</t>
        </r>
        <r>
          <rPr>
            <b/>
            <sz val="9"/>
            <color rgb="FF000000"/>
            <rFont val="Tahoma"/>
            <family val="2"/>
          </rPr>
          <t xml:space="preserve">
Tecan.At.XFluor.Device.AMRPlus, 2.0.10.0</t>
        </r>
        <r>
          <rPr>
            <b/>
            <sz val="9"/>
            <color rgb="FF000000"/>
            <rFont val="Tahoma"/>
            <family val="2"/>
          </rPr>
          <t xml:space="preserve">
Tecan.At.XFluor.Device.GeniosUltra, 2.0.10.0</t>
        </r>
        <r>
          <rPr>
            <b/>
            <sz val="9"/>
            <color rgb="FF000000"/>
            <rFont val="Tahoma"/>
            <family val="2"/>
          </rPr>
          <t xml:space="preserve">
Tecan.At.XFluor.Device.Reader, 2.0.10.0</t>
        </r>
        <r>
          <rPr>
            <b/>
            <sz val="9"/>
            <color rgb="FF000000"/>
            <rFont val="Tahoma"/>
            <family val="2"/>
          </rPr>
          <t xml:space="preserve">
Tecan.At.XFluor.Device.Safire3, 2.0.10.0</t>
        </r>
        <r>
          <rPr>
            <b/>
            <sz val="9"/>
            <color rgb="FF000000"/>
            <rFont val="Tahoma"/>
            <family val="2"/>
          </rPr>
          <t xml:space="preserve">
Tecan.At.XFluor.Device.Safire3Pro, 2.0.10.0</t>
        </r>
        <r>
          <rPr>
            <b/>
            <sz val="9"/>
            <color rgb="FF000000"/>
            <rFont val="Tahoma"/>
            <family val="2"/>
          </rPr>
          <t xml:space="preserve">
Tecan.At.XFluor.Device.SunriseMini, 2.0.10.0</t>
        </r>
        <r>
          <rPr>
            <b/>
            <sz val="9"/>
            <color rgb="FF000000"/>
            <rFont val="Tahoma"/>
            <family val="2"/>
          </rPr>
          <t xml:space="preserve">
Tecan.At.XFluor.ExcelOutput, 2.0.10.0</t>
        </r>
        <r>
          <rPr>
            <b/>
            <sz val="9"/>
            <color rgb="FF000000"/>
            <rFont val="Tahoma"/>
            <family val="2"/>
          </rPr>
          <t xml:space="preserve">
Tecan.At.XFluor.NanoQuant, 2.0.10.0</t>
        </r>
        <r>
          <rPr>
            <b/>
            <sz val="9"/>
            <color rgb="FF000000"/>
            <rFont val="Tahoma"/>
            <family val="2"/>
          </rPr>
          <t xml:space="preserve">
Tecan.At.XFluor.ReaderEditor, 2.0.10.0</t>
        </r>
        <r>
          <rPr>
            <b/>
            <sz val="9"/>
            <color rgb="FF000000"/>
            <rFont val="Tahoma"/>
            <family val="2"/>
          </rPr>
          <t xml:space="preserve">
</t>
        </r>
      </text>
    </comment>
    <comment ref="X7" authorId="0" shapeId="0" xr:uid="{DCA2D3DA-7A42-4202-856B-ADF3B4A9D9D7}">
      <text>
        <r>
          <rPr>
            <b/>
            <sz val="9"/>
            <color rgb="FF000000"/>
            <rFont val="Tahoma"/>
            <family val="2"/>
          </rPr>
          <t>MTP, V_5.31_04/18_InfiniteRX (Mar 28 2018/16.41.26)</t>
        </r>
        <r>
          <rPr>
            <b/>
            <sz val="9"/>
            <color rgb="FF000000"/>
            <rFont val="Tahoma"/>
            <family val="2"/>
          </rPr>
          <t xml:space="preserve">
HCP, V_5.31_04/18_InfiniteRX (Mar 28 2018/16.41.26)</t>
        </r>
        <r>
          <rPr>
            <b/>
            <sz val="9"/>
            <color rgb="FF000000"/>
            <rFont val="Tahoma"/>
            <family val="2"/>
          </rPr>
          <t xml:space="preserve">
MEX, V_3.00_09/11_MCR (Sep 27 2011/15.05.10)</t>
        </r>
        <r>
          <rPr>
            <b/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<sst xmlns="http://schemas.openxmlformats.org/spreadsheetml/2006/main" count="8468" uniqueCount="669">
  <si>
    <t>H2O</t>
  </si>
  <si>
    <t>HMOs</t>
  </si>
  <si>
    <t>GOS</t>
  </si>
  <si>
    <t>HMOs+GOS</t>
  </si>
  <si>
    <t>HMOs+GOS+muc</t>
  </si>
  <si>
    <t>HMOs+fuc+lac+muc</t>
  </si>
  <si>
    <t>HMOs+fuc+lac+muc+GOS</t>
  </si>
  <si>
    <t>HMOs+fuc+lac+muc+GOS+6c</t>
  </si>
  <si>
    <t>muc+6c</t>
  </si>
  <si>
    <t>HMOs+muc+6c</t>
  </si>
  <si>
    <t>2 (#1)</t>
  </si>
  <si>
    <t>3 (#2)</t>
  </si>
  <si>
    <t>4 (#3)</t>
  </si>
  <si>
    <t>5 (#4)</t>
  </si>
  <si>
    <t>6 (#5)</t>
  </si>
  <si>
    <t>7 (#6)</t>
  </si>
  <si>
    <t>8 (#7)</t>
  </si>
  <si>
    <t>9 (#8)</t>
  </si>
  <si>
    <t>10 (#9)</t>
  </si>
  <si>
    <t>11 (#10)</t>
  </si>
  <si>
    <t>A</t>
  </si>
  <si>
    <t>B</t>
  </si>
  <si>
    <t>C</t>
  </si>
  <si>
    <t>D</t>
  </si>
  <si>
    <t>E</t>
  </si>
  <si>
    <t>F</t>
  </si>
  <si>
    <t>G</t>
  </si>
  <si>
    <t>H</t>
  </si>
  <si>
    <t>Donor 6 - OD</t>
  </si>
  <si>
    <t>Settings for all plates:</t>
  </si>
  <si>
    <t>Temperature: 27.3 °C</t>
  </si>
  <si>
    <t>Application: Tecan i-control</t>
  </si>
  <si>
    <t>Tecan i-control , 2.0.10.0</t>
  </si>
  <si>
    <t>&lt;&gt;</t>
  </si>
  <si>
    <t>Device: infinite 200Pro</t>
  </si>
  <si>
    <t>Serial number: 2011001182</t>
  </si>
  <si>
    <t>Firmware: V_5.31_04/18_InfiniteRX (Mar 28 2018/16.41.26)</t>
  </si>
  <si>
    <t>MAI, V_5.31_04/18_InfiniteRX (Mar 28 2018/16.41.26)</t>
  </si>
  <si>
    <t>Date:</t>
  </si>
  <si>
    <t>30.09.2025</t>
  </si>
  <si>
    <t>Discrepancies (&gt;=0,1 difference)</t>
  </si>
  <si>
    <t>Plate</t>
  </si>
  <si>
    <t>Greiner 96 Flat Bottom Transparent Polystyrene Cat. No.: 655101/655161/655192 [GRE96ft.pdfx]</t>
  </si>
  <si>
    <t>Replicate that has the most variation</t>
  </si>
  <si>
    <t>Shaking (Linear) Duration:</t>
  </si>
  <si>
    <t>s</t>
  </si>
  <si>
    <t>Shaking (Linear) Amplitude:</t>
  </si>
  <si>
    <t>mm</t>
  </si>
  <si>
    <t>Donor 7 - OD</t>
  </si>
  <si>
    <t>Mode</t>
  </si>
  <si>
    <t>Absorbance</t>
  </si>
  <si>
    <t>Measurement Wavelength</t>
  </si>
  <si>
    <t>nm</t>
  </si>
  <si>
    <t>Temperature: 29 °C</t>
  </si>
  <si>
    <t>Bandwidth</t>
  </si>
  <si>
    <t>Number of Flashes</t>
  </si>
  <si>
    <t>Settle Time</t>
  </si>
  <si>
    <t>ms</t>
  </si>
  <si>
    <t>Donor 8 - OD</t>
  </si>
  <si>
    <t>Temperature: 29.6 °C</t>
  </si>
  <si>
    <t>Corrected OD600 (substracting the blank)</t>
  </si>
  <si>
    <t>Donor 6 - pH</t>
  </si>
  <si>
    <t>Discrepancies pH (&gt;=0,1 difference)</t>
  </si>
  <si>
    <t>Overlap of pH and OD discrepancy</t>
  </si>
  <si>
    <t>Replicate with the most variation</t>
  </si>
  <si>
    <t>Donor 7 - pH</t>
  </si>
  <si>
    <t>Donor</t>
  </si>
  <si>
    <t>Donor 8 - pH</t>
  </si>
  <si>
    <t>*</t>
  </si>
  <si>
    <t>* pH meter broke in this well</t>
  </si>
  <si>
    <t>pH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</si>
  <si>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</si>
  <si>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</si>
  <si>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</si>
  <si>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</si>
  <si>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</si>
  <si>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</si>
  <si>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</si>
  <si>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</si>
  <si>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</si>
  <si>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</si>
  <si>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D6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</si>
  <si>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</si>
  <si>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</si>
  <si>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</si>
  <si>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</si>
  <si>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</si>
  <si>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</si>
  <si>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</si>
  <si>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</si>
  <si>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</si>
  <si>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</si>
  <si>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</si>
  <si>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</si>
  <si>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</si>
  <si>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</si>
  <si>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</si>
  <si>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</si>
  <si>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</si>
  <si>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</si>
  <si>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</si>
  <si>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</si>
  <si>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</si>
  <si>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</si>
  <si>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</si>
  <si>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</si>
  <si>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</si>
  <si>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</si>
  <si>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</si>
  <si>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</si>
  <si>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</si>
  <si>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</si>
  <si>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</si>
  <si>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</si>
  <si>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</si>
  <si>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</si>
  <si>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</si>
  <si>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</si>
  <si>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</si>
  <si>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</si>
  <si>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</si>
  <si>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</si>
  <si>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</si>
  <si>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</si>
  <si>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</si>
  <si>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</si>
  <si>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</si>
  <si>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</si>
  <si>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</si>
  <si>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</si>
  <si>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</si>
  <si>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</si>
  <si>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D7</t>
  </si>
  <si>
    <t>D8</t>
  </si>
  <si>
    <t>S61</t>
  </si>
  <si>
    <t>S62</t>
  </si>
  <si>
    <t>S63</t>
  </si>
  <si>
    <t>NEG1</t>
  </si>
  <si>
    <t>POS1</t>
  </si>
  <si>
    <t>POS2</t>
  </si>
  <si>
    <t>Elution plate 1</t>
  </si>
  <si>
    <t>Elution plate 2</t>
  </si>
  <si>
    <t>Results of the first QUBIT (BR):</t>
  </si>
  <si>
    <t>Result of the second QUBIT (BR, after removing the beads):</t>
  </si>
  <si>
    <t>Result of the third QUBIT (HS, only the wells that didn't work well with BR)</t>
  </si>
  <si>
    <t>NEG2</t>
  </si>
  <si>
    <t>ST3</t>
  </si>
  <si>
    <t>ST1</t>
  </si>
  <si>
    <t>ST2</t>
  </si>
  <si>
    <t>ST4</t>
  </si>
  <si>
    <t>ST5</t>
  </si>
  <si>
    <t>ST6</t>
  </si>
  <si>
    <t>ST7</t>
  </si>
  <si>
    <t>ST8</t>
  </si>
  <si>
    <t>Guide:</t>
  </si>
  <si>
    <t xml:space="preserve">raw data from Lightcycler </t>
  </si>
  <si>
    <t>sample metadata</t>
  </si>
  <si>
    <t>DNA extraction and normalisation</t>
  </si>
  <si>
    <t>Final calculations and stats</t>
  </si>
  <si>
    <t>Position (qPCR plate)</t>
  </si>
  <si>
    <t>Sample name</t>
  </si>
  <si>
    <t>Cp</t>
  </si>
  <si>
    <t>Concentration(raw LightCycler)</t>
  </si>
  <si>
    <t>Sample size taken for DNA extraction (mL)</t>
  </si>
  <si>
    <t>DNA elution volume (ul)</t>
  </si>
  <si>
    <t>Conc.original DNA (ng/ul)</t>
  </si>
  <si>
    <t>Conc. normalised DNA (ng/ul)</t>
  </si>
  <si>
    <t>dilution factor</t>
  </si>
  <si>
    <t xml:space="preserve">Copies/mL </t>
  </si>
  <si>
    <t>Copy number gene</t>
  </si>
  <si>
    <t>Bacteria/mL</t>
  </si>
  <si>
    <t>Bacteria/mL average</t>
  </si>
  <si>
    <t>Bacteria/ml StDev</t>
  </si>
  <si>
    <t>Cp max-min</t>
  </si>
  <si>
    <t>Empty</t>
  </si>
  <si>
    <t>Std 1x dil</t>
  </si>
  <si>
    <t>Std 2x dil</t>
  </si>
  <si>
    <t>Std 3x dil</t>
  </si>
  <si>
    <t>Std 4x dil</t>
  </si>
  <si>
    <t>Std 5x dil</t>
  </si>
  <si>
    <t>Std 6x dil</t>
  </si>
  <si>
    <t>Zymo general</t>
  </si>
  <si>
    <t>Neg std DNA ext</t>
  </si>
  <si>
    <t>Zymo gut</t>
  </si>
  <si>
    <t>Std 7x dil</t>
  </si>
  <si>
    <t>Neg std qPCR</t>
  </si>
  <si>
    <t>Std 8x dil</t>
  </si>
  <si>
    <t>Result of the fourht QUBIT (HS, DNA concentrations after normalisation)</t>
  </si>
  <si>
    <t>DNA normalised</t>
  </si>
  <si>
    <t>P1-A1</t>
  </si>
  <si>
    <t>P1-A2</t>
  </si>
  <si>
    <t>P1-A3</t>
  </si>
  <si>
    <t>P1-A4</t>
  </si>
  <si>
    <t>P1-A5</t>
  </si>
  <si>
    <t>P1-A6</t>
  </si>
  <si>
    <t>P1-A7</t>
  </si>
  <si>
    <t>P1-A8</t>
  </si>
  <si>
    <t>P1-A9</t>
  </si>
  <si>
    <t>P1-A10</t>
  </si>
  <si>
    <t>P1-A11</t>
  </si>
  <si>
    <t>P1-A12</t>
  </si>
  <si>
    <t>P1-B1</t>
  </si>
  <si>
    <t>P1-B2</t>
  </si>
  <si>
    <t>P1-B3</t>
  </si>
  <si>
    <t>P1-B4</t>
  </si>
  <si>
    <t>P1-B5</t>
  </si>
  <si>
    <t>P1-B6</t>
  </si>
  <si>
    <t>P1-B7</t>
  </si>
  <si>
    <t>P1-B8</t>
  </si>
  <si>
    <t>P1-B9</t>
  </si>
  <si>
    <t>P1-B10</t>
  </si>
  <si>
    <t>P1-B11</t>
  </si>
  <si>
    <t>P1-B12</t>
  </si>
  <si>
    <t>P1-C1</t>
  </si>
  <si>
    <t>P1-C2</t>
  </si>
  <si>
    <t>P1-C3</t>
  </si>
  <si>
    <t>P1-C4</t>
  </si>
  <si>
    <t>P1-C5</t>
  </si>
  <si>
    <t>P1-C6</t>
  </si>
  <si>
    <t>P1-C7</t>
  </si>
  <si>
    <t>P1-C8</t>
  </si>
  <si>
    <t>P1-C9</t>
  </si>
  <si>
    <t>P1-C10</t>
  </si>
  <si>
    <t>P1-C11</t>
  </si>
  <si>
    <t>P1-C12</t>
  </si>
  <si>
    <t>P1-D1</t>
  </si>
  <si>
    <t>P1-D2</t>
  </si>
  <si>
    <t>P1-D3</t>
  </si>
  <si>
    <t>P1-D4</t>
  </si>
  <si>
    <t>P1-D5</t>
  </si>
  <si>
    <t>P1-D6</t>
  </si>
  <si>
    <t>P1-D7</t>
  </si>
  <si>
    <t>P1-D8</t>
  </si>
  <si>
    <t>P1-D9</t>
  </si>
  <si>
    <t>P1-D10</t>
  </si>
  <si>
    <t>P1-D11</t>
  </si>
  <si>
    <t>P1-D12</t>
  </si>
  <si>
    <t>P1-E1</t>
  </si>
  <si>
    <t>P1-E2</t>
  </si>
  <si>
    <t>P1-E3</t>
  </si>
  <si>
    <t>P1-E4</t>
  </si>
  <si>
    <t>P1-E5</t>
  </si>
  <si>
    <t>P1-E6</t>
  </si>
  <si>
    <t>P1-E7</t>
  </si>
  <si>
    <t>P1-E8</t>
  </si>
  <si>
    <t>P1-E9</t>
  </si>
  <si>
    <t>P1-E10</t>
  </si>
  <si>
    <t>P1-E11</t>
  </si>
  <si>
    <t>P1-E12</t>
  </si>
  <si>
    <t>P1-F1</t>
  </si>
  <si>
    <t>P1-F2</t>
  </si>
  <si>
    <t>P1-F3</t>
  </si>
  <si>
    <t>P1-F4</t>
  </si>
  <si>
    <t>P1-F5</t>
  </si>
  <si>
    <t>P1-F6</t>
  </si>
  <si>
    <t>P1-F7</t>
  </si>
  <si>
    <t>P1-F8</t>
  </si>
  <si>
    <t>P1-F9</t>
  </si>
  <si>
    <t>P1-F10</t>
  </si>
  <si>
    <t>P1-F11</t>
  </si>
  <si>
    <t>P1-F12</t>
  </si>
  <si>
    <t>P1-G1</t>
  </si>
  <si>
    <t>P1-G2</t>
  </si>
  <si>
    <t>P1-G3</t>
  </si>
  <si>
    <t>P1-G4</t>
  </si>
  <si>
    <t>P1-G5</t>
  </si>
  <si>
    <t>P1-G6</t>
  </si>
  <si>
    <t>P1-G7</t>
  </si>
  <si>
    <t>P1-G8</t>
  </si>
  <si>
    <t>P1-G9</t>
  </si>
  <si>
    <t>P1-G10</t>
  </si>
  <si>
    <t>P1-G11</t>
  </si>
  <si>
    <t>P1-G12</t>
  </si>
  <si>
    <t>P1-H1</t>
  </si>
  <si>
    <t>P1-H2</t>
  </si>
  <si>
    <t>P1-H3</t>
  </si>
  <si>
    <t>P1-H4</t>
  </si>
  <si>
    <t>P1-H5</t>
  </si>
  <si>
    <t>P1-H6</t>
  </si>
  <si>
    <t>P1-H7</t>
  </si>
  <si>
    <t>P1-H8</t>
  </si>
  <si>
    <t>P1-H9</t>
  </si>
  <si>
    <t>P1-H10</t>
  </si>
  <si>
    <t>P1-H11</t>
  </si>
  <si>
    <t>P1-H12</t>
  </si>
  <si>
    <t>P2-A1</t>
  </si>
  <si>
    <t>P2-A2</t>
  </si>
  <si>
    <t>P2-A3</t>
  </si>
  <si>
    <t>P2-A4</t>
  </si>
  <si>
    <t>P2-A5</t>
  </si>
  <si>
    <t>P2-A6</t>
  </si>
  <si>
    <t>P2-A7</t>
  </si>
  <si>
    <t>P2-A8</t>
  </si>
  <si>
    <t>P2-A9</t>
  </si>
  <si>
    <t>P2-A10</t>
  </si>
  <si>
    <t>P2-A11</t>
  </si>
  <si>
    <t>P2-A12</t>
  </si>
  <si>
    <t>P2-B1</t>
  </si>
  <si>
    <t>P2-B2</t>
  </si>
  <si>
    <t>P2-B3</t>
  </si>
  <si>
    <t>P2-B4</t>
  </si>
  <si>
    <t>P2-B5</t>
  </si>
  <si>
    <t>P2-B6</t>
  </si>
  <si>
    <t>P2-B7</t>
  </si>
  <si>
    <t>P2-B8</t>
  </si>
  <si>
    <t>P2-B9</t>
  </si>
  <si>
    <t>P2-B10</t>
  </si>
  <si>
    <t>P2-B11</t>
  </si>
  <si>
    <t>P2-B12</t>
  </si>
  <si>
    <t>P2-C1</t>
  </si>
  <si>
    <t>P2-C2</t>
  </si>
  <si>
    <t>P2-C3</t>
  </si>
  <si>
    <t>P2-C4</t>
  </si>
  <si>
    <t>P2-C5</t>
  </si>
  <si>
    <t>P2-C6</t>
  </si>
  <si>
    <t>P2-C7</t>
  </si>
  <si>
    <t>P2-C8</t>
  </si>
  <si>
    <t>P2-C9</t>
  </si>
  <si>
    <t>P2-C10</t>
  </si>
  <si>
    <t>P2-C11</t>
  </si>
  <si>
    <t>P2-C12</t>
  </si>
  <si>
    <t>P2-D1</t>
  </si>
  <si>
    <t>P2-D2</t>
  </si>
  <si>
    <t>P2-D3</t>
  </si>
  <si>
    <t>P2-D4</t>
  </si>
  <si>
    <t>P2-D5</t>
  </si>
  <si>
    <t>P2-D6</t>
  </si>
  <si>
    <t>P2-D7</t>
  </si>
  <si>
    <t>P2-D8</t>
  </si>
  <si>
    <t>P2-D9</t>
  </si>
  <si>
    <t>P2-D10</t>
  </si>
  <si>
    <t>P2-D11</t>
  </si>
  <si>
    <t>P2-D12</t>
  </si>
  <si>
    <t>P2-E1</t>
  </si>
  <si>
    <t>P2-E2</t>
  </si>
  <si>
    <t>P2-E3</t>
  </si>
  <si>
    <t>P2-E4</t>
  </si>
  <si>
    <t>P2-E5</t>
  </si>
  <si>
    <t>P2-E6</t>
  </si>
  <si>
    <t>P2-E7</t>
  </si>
  <si>
    <t>P2-E8</t>
  </si>
  <si>
    <t>P2-E9</t>
  </si>
  <si>
    <t>P2-E10</t>
  </si>
  <si>
    <t>P2-E11</t>
  </si>
  <si>
    <t>P2-E12</t>
  </si>
  <si>
    <t>P2-F1</t>
  </si>
  <si>
    <t>P2-F2</t>
  </si>
  <si>
    <t>P2-F3</t>
  </si>
  <si>
    <t>P2-F4</t>
  </si>
  <si>
    <t>P2-F5</t>
  </si>
  <si>
    <t>P2-F6</t>
  </si>
  <si>
    <t>P2-F7</t>
  </si>
  <si>
    <t>P2-F8</t>
  </si>
  <si>
    <t>P2-F9</t>
  </si>
  <si>
    <t>P2-F10</t>
  </si>
  <si>
    <t>P2-F11</t>
  </si>
  <si>
    <t>P2-F12</t>
  </si>
  <si>
    <t>P2-G1</t>
  </si>
  <si>
    <t>P2-G2</t>
  </si>
  <si>
    <t>P2-G3</t>
  </si>
  <si>
    <t>P2-G4</t>
  </si>
  <si>
    <t>P2-G5</t>
  </si>
  <si>
    <t>P2-G6</t>
  </si>
  <si>
    <t>P2-G7</t>
  </si>
  <si>
    <t>P2-G8</t>
  </si>
  <si>
    <t>P2-G9</t>
  </si>
  <si>
    <t>P2-G10</t>
  </si>
  <si>
    <t>P2-G11</t>
  </si>
  <si>
    <t>P2-G12</t>
  </si>
  <si>
    <t>P2-H1</t>
  </si>
  <si>
    <t>P2-H2</t>
  </si>
  <si>
    <t>P2-H3</t>
  </si>
  <si>
    <t>P2-H4</t>
  </si>
  <si>
    <t>P2-H5</t>
  </si>
  <si>
    <t>P2-H6</t>
  </si>
  <si>
    <t>P2-H7</t>
  </si>
  <si>
    <t>P2-H8</t>
  </si>
  <si>
    <t>P2-H9</t>
  </si>
  <si>
    <t>P2-H10</t>
  </si>
  <si>
    <t>P2-H11</t>
  </si>
  <si>
    <t>P2-H12</t>
  </si>
  <si>
    <t>P3-A1</t>
  </si>
  <si>
    <t>P3-A2</t>
  </si>
  <si>
    <t>P3-A3</t>
  </si>
  <si>
    <t>P3-A4</t>
  </si>
  <si>
    <t>P3-A5</t>
  </si>
  <si>
    <t>P3-A6</t>
  </si>
  <si>
    <t>P3-A7</t>
  </si>
  <si>
    <t>P3-A8</t>
  </si>
  <si>
    <t>P3-A9</t>
  </si>
  <si>
    <t>P3-A10</t>
  </si>
  <si>
    <t>P3-A11</t>
  </si>
  <si>
    <t>P3-A12</t>
  </si>
  <si>
    <t>P3-B1</t>
  </si>
  <si>
    <t>P3-B2</t>
  </si>
  <si>
    <t>P3-B3</t>
  </si>
  <si>
    <t>P3-B4</t>
  </si>
  <si>
    <t>P3-B5</t>
  </si>
  <si>
    <t>P3-B6</t>
  </si>
  <si>
    <t>P3-B7</t>
  </si>
  <si>
    <t>P3-B8</t>
  </si>
  <si>
    <t>P3-B9</t>
  </si>
  <si>
    <t>P3-B10</t>
  </si>
  <si>
    <t>P3-B11</t>
  </si>
  <si>
    <t>P3-B12</t>
  </si>
  <si>
    <t>P3-C1</t>
  </si>
  <si>
    <t>P3-C2</t>
  </si>
  <si>
    <t>P3-C3</t>
  </si>
  <si>
    <t>P3-C4</t>
  </si>
  <si>
    <t>P3-C5</t>
  </si>
  <si>
    <t>P3-C6</t>
  </si>
  <si>
    <t>P3-C7</t>
  </si>
  <si>
    <t>P3-C8</t>
  </si>
  <si>
    <t>P3-C9</t>
  </si>
  <si>
    <t>P3-C10</t>
  </si>
  <si>
    <t>P3-C11</t>
  </si>
  <si>
    <t>P3-C12</t>
  </si>
  <si>
    <t>P3-D1</t>
  </si>
  <si>
    <t>P3-D2</t>
  </si>
  <si>
    <t>P3-D3</t>
  </si>
  <si>
    <t>P3-D4</t>
  </si>
  <si>
    <t>P3-D5</t>
  </si>
  <si>
    <t>P3-D6</t>
  </si>
  <si>
    <t>P3-D7</t>
  </si>
  <si>
    <t>P3-D8</t>
  </si>
  <si>
    <t>P3-D9</t>
  </si>
  <si>
    <t>P3-D10</t>
  </si>
  <si>
    <t>P3-D11</t>
  </si>
  <si>
    <t>P3-D12</t>
  </si>
  <si>
    <t>P3-E1</t>
  </si>
  <si>
    <t>P3-E2</t>
  </si>
  <si>
    <t>P3-E3</t>
  </si>
  <si>
    <t>P3-E4</t>
  </si>
  <si>
    <t>P3-E5</t>
  </si>
  <si>
    <t>P3-E6</t>
  </si>
  <si>
    <t>P3-E7</t>
  </si>
  <si>
    <t>P3-E8</t>
  </si>
  <si>
    <t>P3-E9</t>
  </si>
  <si>
    <t>P3-E10</t>
  </si>
  <si>
    <t>P3-E11</t>
  </si>
  <si>
    <t>P3-E12</t>
  </si>
  <si>
    <t>P3-F1</t>
  </si>
  <si>
    <t>P3-F2</t>
  </si>
  <si>
    <t>P3-F3</t>
  </si>
  <si>
    <t>P3-F4</t>
  </si>
  <si>
    <t>P3-F5</t>
  </si>
  <si>
    <t>P3-F6</t>
  </si>
  <si>
    <t>P3-F7</t>
  </si>
  <si>
    <t>P3-F8</t>
  </si>
  <si>
    <t>P3-F9</t>
  </si>
  <si>
    <t>P3-F10</t>
  </si>
  <si>
    <t>P3-F11</t>
  </si>
  <si>
    <t>P3-F12</t>
  </si>
  <si>
    <t>P3-G1</t>
  </si>
  <si>
    <t>P3-G2</t>
  </si>
  <si>
    <t>P3-G3</t>
  </si>
  <si>
    <t>P3-G4</t>
  </si>
  <si>
    <t>P3-G5</t>
  </si>
  <si>
    <t>P3-G6</t>
  </si>
  <si>
    <t>P3-G7</t>
  </si>
  <si>
    <t>P3-G8</t>
  </si>
  <si>
    <t>P3-G9</t>
  </si>
  <si>
    <t>P3-G10</t>
  </si>
  <si>
    <t>P3-G11</t>
  </si>
  <si>
    <t>P3-G12</t>
  </si>
  <si>
    <t>P3-H1</t>
  </si>
  <si>
    <t>P3-H2</t>
  </si>
  <si>
    <t>P3-H3</t>
  </si>
  <si>
    <t>P3-H4</t>
  </si>
  <si>
    <t>P3-H5</t>
  </si>
  <si>
    <t>P3-H6</t>
  </si>
  <si>
    <t>P3-H7</t>
  </si>
  <si>
    <t>P3-H8</t>
  </si>
  <si>
    <t>P3-H9</t>
  </si>
  <si>
    <t>P3-H10</t>
  </si>
  <si>
    <t>P3-H11</t>
  </si>
  <si>
    <t>P3-H12</t>
  </si>
  <si>
    <t>Donor 6</t>
  </si>
  <si>
    <t>Donor 7</t>
  </si>
  <si>
    <t>Donor 8</t>
  </si>
  <si>
    <t>Raw feces</t>
  </si>
  <si>
    <t>Mucin</t>
  </si>
  <si>
    <t>6c</t>
  </si>
  <si>
    <t>Fuc Lac</t>
  </si>
  <si>
    <t>0</t>
  </si>
  <si>
    <t>1</t>
  </si>
  <si>
    <t>Supplement mix</t>
  </si>
  <si>
    <t>Target organism</t>
  </si>
  <si>
    <t>Raw feces</t>
  </si>
  <si>
    <t>16S</t>
  </si>
  <si>
    <t>Bifido</t>
  </si>
  <si>
    <t>4.302273e-03</t>
  </si>
  <si>
    <t>1.706912e-06</t>
  </si>
  <si>
    <t>4.267281e-07</t>
  </si>
  <si>
    <t>3.456362e-05</t>
  </si>
  <si>
    <t>2.207340e-03</t>
  </si>
  <si>
    <t>1.762780e-01</t>
  </si>
  <si>
    <t>6.016866e-04</t>
  </si>
  <si>
    <t>NA</t>
  </si>
  <si>
    <t>*Wilcoxon test, in comparison to the raw feces</t>
  </si>
  <si>
    <t>0.035400511</t>
  </si>
  <si>
    <t>0.328369313</t>
  </si>
  <si>
    <t>0.001912595</t>
  </si>
  <si>
    <t>0.015615163</t>
  </si>
  <si>
    <t>0.631433006</t>
  </si>
  <si>
    <t>0.403309703</t>
  </si>
  <si>
    <t>0.014610317</t>
  </si>
  <si>
    <t>0.012434431</t>
  </si>
  <si>
    <t>0.059497421</t>
  </si>
  <si>
    <t>7.16e+06</t>
  </si>
  <si>
    <t>ITS</t>
  </si>
  <si>
    <t>0.095073744</t>
  </si>
  <si>
    <t>0.019196266</t>
  </si>
  <si>
    <t>0.016753782</t>
  </si>
  <si>
    <t>0.009381322</t>
  </si>
  <si>
    <t>0.052510602</t>
  </si>
  <si>
    <t>0.661923115</t>
  </si>
  <si>
    <t>0.172812870</t>
  </si>
  <si>
    <t>0.017093875</t>
  </si>
  <si>
    <t>0.014530159</t>
  </si>
  <si>
    <t>Entero</t>
  </si>
  <si>
    <t>6.678649e-01</t>
  </si>
  <si>
    <t>1.992394e-02</t>
  </si>
  <si>
    <t>4.326554e-01</t>
  </si>
  <si>
    <t>Mean.16S.mL</t>
  </si>
  <si>
    <t>1.00000000</t>
  </si>
  <si>
    <t>1.110223e-15</t>
  </si>
  <si>
    <t>****</t>
  </si>
  <si>
    <t>Mean.Bifido.mL</t>
  </si>
  <si>
    <t>0.34252874</t>
  </si>
  <si>
    <t>7.481827e-03</t>
  </si>
  <si>
    <t>**</t>
  </si>
  <si>
    <t>Mean.Entero.mL</t>
  </si>
  <si>
    <t>0.31954023</t>
  </si>
  <si>
    <t>1.290351e-02</t>
  </si>
  <si>
    <t>-0.08965517</t>
  </si>
  <si>
    <t>5.010862e-01</t>
  </si>
  <si>
    <t>Mean.ITS.mL</t>
  </si>
  <si>
    <t>0.49885057</t>
  </si>
  <si>
    <t>5.960545e-05</t>
  </si>
  <si>
    <t>0.43908046</t>
  </si>
  <si>
    <t>4.874952e-04</t>
  </si>
  <si>
    <t>***</t>
  </si>
  <si>
    <t>0.12183908</t>
  </si>
  <si>
    <t>3.566551e-01</t>
  </si>
  <si>
    <t>Variable 1</t>
  </si>
  <si>
    <t>Variable 2</t>
  </si>
  <si>
    <t>Significance</t>
  </si>
  <si>
    <t>*Calculated with Kendall's correlation test</t>
  </si>
  <si>
    <r>
      <rPr>
        <b/>
        <i/>
        <sz val="11"/>
        <color rgb="FF000000"/>
        <rFont val="Aptos Narrow"/>
        <family val="2"/>
      </rPr>
      <t>p-</t>
    </r>
    <r>
      <rPr>
        <b/>
        <sz val="11"/>
        <color rgb="FF000000"/>
        <rFont val="Aptos Narrow"/>
        <family val="2"/>
      </rPr>
      <t>value*</t>
    </r>
  </si>
  <si>
    <t>DNA.conc.</t>
  </si>
  <si>
    <t>0.737931034</t>
  </si>
  <si>
    <t>1.063838e-10</t>
  </si>
  <si>
    <t>0.383908046</t>
  </si>
  <si>
    <t>2.543464e-03</t>
  </si>
  <si>
    <t>0.351724138</t>
  </si>
  <si>
    <t>5.952598e-03</t>
  </si>
  <si>
    <t>0.531034483</t>
  </si>
  <si>
    <t>1.649326e-05</t>
  </si>
  <si>
    <t>Fuc.Lac</t>
  </si>
  <si>
    <t>-0.170891534</t>
  </si>
  <si>
    <t>2.675256e-01</t>
  </si>
  <si>
    <t>0.073239229</t>
  </si>
  <si>
    <t>6.346509e-01</t>
  </si>
  <si>
    <t>-0.066264064</t>
  </si>
  <si>
    <t>6.672432e-01</t>
  </si>
  <si>
    <t>0.003487582</t>
  </si>
  <si>
    <t>9.819469e-01</t>
  </si>
  <si>
    <t>0.105481926</t>
  </si>
  <si>
    <t>4.937301e-01</t>
  </si>
  <si>
    <t>0.482659723</t>
  </si>
  <si>
    <t>1.738600e-03</t>
  </si>
  <si>
    <t>-0.290874403</t>
  </si>
  <si>
    <t>5.912643e-02</t>
  </si>
  <si>
    <t>0.310052935</t>
  </si>
  <si>
    <t>4.425302e-02</t>
  </si>
  <si>
    <t>-0.087189558</t>
  </si>
  <si>
    <t>5.715953e-01</t>
  </si>
  <si>
    <t>0.261568675</t>
  </si>
  <si>
    <t>8.967576e-02</t>
  </si>
  <si>
    <t>-0.261568675</t>
  </si>
  <si>
    <t>0.101139888</t>
  </si>
  <si>
    <t>5.116851e-01</t>
  </si>
  <si>
    <t>Mean.Corrected.OD</t>
  </si>
  <si>
    <t>0.131034483</t>
  </si>
  <si>
    <t>3.206742e-01</t>
  </si>
  <si>
    <t>0.485057471</t>
  </si>
  <si>
    <t>9.989384e-05</t>
  </si>
  <si>
    <t>-0.209195402</t>
  </si>
  <si>
    <t>1.087738e-01</t>
  </si>
  <si>
    <t>0.227586207</t>
  </si>
  <si>
    <t>8.031212e-02</t>
  </si>
  <si>
    <t>-0.052197353</t>
  </si>
  <si>
    <t>7.348606e-01</t>
  </si>
  <si>
    <t>0.065246691</t>
  </si>
  <si>
    <t>6.720518e-01</t>
  </si>
  <si>
    <t>-0.163116728</t>
  </si>
  <si>
    <t>2.899030e-01</t>
  </si>
  <si>
    <t>-0.267511433</t>
  </si>
  <si>
    <t>8.262248e-02</t>
  </si>
  <si>
    <t>X6c</t>
  </si>
  <si>
    <t>0.031388241</t>
  </si>
  <si>
    <t>8.386245e-01</t>
  </si>
  <si>
    <t>-0.184841864</t>
  </si>
  <si>
    <t>2.304146e-01</t>
  </si>
  <si>
    <t>0.024413076</t>
  </si>
  <si>
    <t>8.741440e-01</t>
  </si>
  <si>
    <t>-0.442922957</t>
  </si>
  <si>
    <t>4.055992e-03</t>
  </si>
  <si>
    <r>
      <t>p</t>
    </r>
    <r>
      <rPr>
        <b/>
        <sz val="11"/>
        <color rgb="FF000000"/>
        <rFont val="Aptos Narrow"/>
        <family val="2"/>
      </rPr>
      <t>-value</t>
    </r>
    <r>
      <rPr>
        <b/>
        <i/>
        <sz val="11"/>
        <color rgb="FF000000"/>
        <rFont val="Aptos Narrow"/>
        <family val="2"/>
      </rPr>
      <t>*</t>
    </r>
  </si>
  <si>
    <r>
      <rPr>
        <b/>
        <i/>
        <sz val="12"/>
        <color rgb="FF000000"/>
        <rFont val="Aptos Narrow"/>
        <family val="2"/>
      </rPr>
      <t>p</t>
    </r>
    <r>
      <rPr>
        <b/>
        <sz val="12"/>
        <color rgb="FF000000"/>
        <rFont val="Aptos Narrow"/>
        <family val="2"/>
      </rPr>
      <t>-value*</t>
    </r>
  </si>
  <si>
    <t>Correlation (tau)*</t>
  </si>
  <si>
    <t>1.69e+11</t>
  </si>
  <si>
    <t>2.74e+11</t>
  </si>
  <si>
    <t>3.89e+11</t>
  </si>
  <si>
    <t>4.54e+11</t>
  </si>
  <si>
    <t>4.35e+10</t>
  </si>
  <si>
    <t>3.44e+11</t>
  </si>
  <si>
    <t>1.83e+11</t>
  </si>
  <si>
    <t>2.48e+11</t>
  </si>
  <si>
    <t>1.10e+11</t>
  </si>
  <si>
    <t>4.30e+11</t>
  </si>
  <si>
    <t>2.61e+11</t>
  </si>
  <si>
    <t>Median concentration</t>
  </si>
  <si>
    <t>7.94e+06</t>
  </si>
  <si>
    <t>1.24e+07</t>
  </si>
  <si>
    <t>8.52e+06</t>
  </si>
  <si>
    <t>3.29e+06</t>
  </si>
  <si>
    <t>9.15e+06</t>
  </si>
  <si>
    <t>6.88e+06</t>
  </si>
  <si>
    <t>6.39e+06</t>
  </si>
  <si>
    <t>5.88e+05</t>
  </si>
  <si>
    <t>7.86e+05</t>
  </si>
  <si>
    <t>9.48e+06</t>
  </si>
  <si>
    <t>2.43e+08</t>
  </si>
  <si>
    <t>1.08e+09</t>
  </si>
  <si>
    <t>9.28e+08</t>
  </si>
  <si>
    <t>7.66e+07</t>
  </si>
  <si>
    <t>2.10e+09</t>
  </si>
  <si>
    <t>9.91e+08</t>
  </si>
  <si>
    <t>8.26e+08</t>
  </si>
  <si>
    <t>6.25e+08</t>
  </si>
  <si>
    <t>2.02e+08</t>
  </si>
  <si>
    <t>5.83e+08</t>
  </si>
  <si>
    <t>6.07e+09</t>
  </si>
  <si>
    <t>7.84e+08</t>
  </si>
  <si>
    <t>2.05e+07</t>
  </si>
  <si>
    <t>4.15e+07</t>
  </si>
  <si>
    <t>1.93e+08</t>
  </si>
  <si>
    <t>9.26e+06</t>
  </si>
  <si>
    <t>4.87e+07</t>
  </si>
  <si>
    <t>9.58e+07</t>
  </si>
  <si>
    <t>9.08e+07</t>
  </si>
  <si>
    <t>2.24e+08</t>
  </si>
  <si>
    <t>3.69e+07</t>
  </si>
  <si>
    <t>→ blanks composed of each media mix without fecal sample</t>
  </si>
  <si>
    <t>OD measurements of the cultures after 48 hours</t>
  </si>
  <si>
    <t>pH values for each well of the 96-well plates</t>
  </si>
  <si>
    <t>Qubit assay</t>
  </si>
  <si>
    <t>qPCR ITS</t>
  </si>
  <si>
    <t>qPCR 16S</t>
  </si>
  <si>
    <r>
      <t xml:space="preserve">qPCR </t>
    </r>
    <r>
      <rPr>
        <b/>
        <i/>
        <sz val="12"/>
        <color rgb="FF000000"/>
        <rFont val="Aptos Narrow"/>
        <family val="2"/>
      </rPr>
      <t>Bifidobacterium</t>
    </r>
  </si>
  <si>
    <r>
      <t xml:space="preserve">qPCR </t>
    </r>
    <r>
      <rPr>
        <b/>
        <i/>
        <sz val="12"/>
        <color rgb="FF000000"/>
        <rFont val="Aptos Narrow"/>
        <family val="2"/>
      </rPr>
      <t>Enterobacterium</t>
    </r>
  </si>
  <si>
    <t>qPCR statistics</t>
  </si>
  <si>
    <t>Correlations between the targets</t>
  </si>
  <si>
    <t>Correlations between the targets and the supplements, OD values and DNA concentration</t>
  </si>
  <si>
    <t>Initial pH = 4,8</t>
  </si>
  <si>
    <t>Initial pH = 5,8</t>
  </si>
  <si>
    <t>Discrepancies OD (&gt;=0,1 difference, see Sheet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</si>
</sst>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m&quot;.&quot;yy"/>
    <numFmt numFmtId="166" formatCode="dd&quot;.&quot;mmm"/>
  </numFmts>
  <fonts count="21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9"/>
      <color rgb="FF000000"/>
      <name val="Tahoma"/>
      <family val="2"/>
    </font>
    <font>
      <sz val="11"/>
      <color rgb="FFFFFFFF"/>
      <name val="Aptos Narrow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11"/>
      <color rgb="FF000000"/>
      <name val="Aptos Narrow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8"/>
      <name val="Aptos Narrow"/>
      <family val="2"/>
    </font>
    <font>
      <b/>
      <sz val="11"/>
      <name val="Aptos Narrow"/>
      <family val="2"/>
    </font>
    <font>
      <sz val="6"/>
      <color rgb="FF000000"/>
      <name val="Segoe UI"/>
      <family val="2"/>
    </font>
    <font>
      <b/>
      <sz val="6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b/>
      <i/>
      <sz val="12"/>
      <color rgb="FF000000"/>
      <name val="Aptos Narrow"/>
      <family val="2"/>
    </font>
    <font>
      <sz val="11"/>
      <color theme="5" tint="-0.249977111117893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D0D0D0"/>
        <bgColor rgb="FFD0D0D0"/>
      </patternFill>
    </fill>
    <fill>
      <patternFill patternType="solid">
        <fgColor rgb="FFDAE9F8"/>
        <bgColor rgb="FFDAE9F8"/>
      </patternFill>
    </fill>
    <fill>
      <patternFill patternType="solid">
        <fgColor rgb="FFF2CEEF"/>
        <bgColor rgb="FFF2CEEF"/>
      </patternFill>
    </fill>
    <fill>
      <patternFill patternType="solid">
        <fgColor rgb="FFFBE2D5"/>
        <bgColor rgb="FFFBE2D5"/>
      </patternFill>
    </fill>
    <fill>
      <patternFill patternType="solid">
        <fgColor rgb="FFF7C7AC"/>
        <bgColor rgb="FFF7C7AC"/>
      </patternFill>
    </fill>
    <fill>
      <patternFill patternType="solid">
        <fgColor rgb="FFF1A983"/>
        <bgColor rgb="FFF1A983"/>
      </patternFill>
    </fill>
    <fill>
      <patternFill patternType="solid">
        <fgColor rgb="FF808080"/>
        <bgColor rgb="FF808080"/>
      </patternFill>
    </fill>
    <fill>
      <patternFill patternType="solid">
        <fgColor rgb="FFDAF2D0"/>
        <bgColor rgb="FFDAF2D0"/>
      </patternFill>
    </fill>
    <fill>
      <patternFill patternType="solid">
        <fgColor rgb="FFADFF2F"/>
        <bgColor rgb="FFADFF2F"/>
      </patternFill>
    </fill>
    <fill>
      <patternFill patternType="solid">
        <fgColor rgb="FFCBD3C3"/>
        <bgColor rgb="FFCBD3C3"/>
      </patternFill>
    </fill>
    <fill>
      <patternFill patternType="solid">
        <fgColor rgb="FFB5E6A2"/>
        <bgColor rgb="FFB5E6A2"/>
      </patternFill>
    </fill>
    <fill>
      <patternFill patternType="solid">
        <fgColor rgb="FF94DCF8"/>
        <bgColor rgb="FF94DCF8"/>
      </patternFill>
    </fill>
    <fill>
      <patternFill patternType="solid">
        <fgColor rgb="FFCAEDFB"/>
        <bgColor rgb="FFCAEDFB"/>
      </patternFill>
    </fill>
    <fill>
      <patternFill patternType="solid">
        <fgColor rgb="FF8ED973"/>
        <bgColor rgb="FF8ED973"/>
      </patternFill>
    </fill>
    <fill>
      <patternFill patternType="solid">
        <fgColor rgb="FF61CBF3"/>
        <bgColor rgb="FF61CBF3"/>
      </patternFill>
    </fill>
    <fill>
      <patternFill patternType="solid">
        <fgColor rgb="FFAEAAAA"/>
        <bgColor rgb="FFAEAAAA"/>
      </patternFill>
    </fill>
    <fill>
      <patternFill patternType="solid">
        <fgColor rgb="FFF4B084"/>
        <bgColor rgb="FFF4B084"/>
      </patternFill>
    </fill>
    <fill>
      <patternFill patternType="solid">
        <fgColor rgb="FFD0CECE"/>
        <bgColor rgb="FFD0CECE"/>
      </patternFill>
    </fill>
    <fill>
      <patternFill patternType="solid">
        <fgColor rgb="FF8FCC4F"/>
        <bgColor rgb="FF8FCC4F"/>
      </patternFill>
    </fill>
    <fill>
      <patternFill patternType="solid">
        <fgColor rgb="FF92D050"/>
        <bgColor rgb="FF92D050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BE2D5"/>
      </patternFill>
    </fill>
    <fill>
      <patternFill patternType="solid">
        <fgColor theme="9" tint="0.79998168889431442"/>
        <bgColor rgb="FFDAF2D0"/>
      </patternFill>
    </fill>
    <fill>
      <patternFill patternType="solid">
        <fgColor theme="9" tint="0.79998168889431442"/>
        <bgColor indexed="64"/>
      </patternFill>
    </fill>
  </fills>
  <borders count="7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5" tint="0.39997558519241921"/>
      </left>
      <right/>
      <top style="thick">
        <color theme="5" tint="0.39997558519241921"/>
      </top>
      <bottom/>
      <diagonal/>
    </border>
    <border>
      <left/>
      <right/>
      <top style="thick">
        <color theme="5" tint="0.39997558519241921"/>
      </top>
      <bottom/>
      <diagonal/>
    </border>
    <border>
      <left/>
      <right style="thick">
        <color theme="5" tint="0.39997558519241921"/>
      </right>
      <top style="thick">
        <color theme="5" tint="0.39997558519241921"/>
      </top>
      <bottom/>
      <diagonal/>
    </border>
    <border>
      <left style="thick">
        <color theme="5" tint="0.39997558519241921"/>
      </left>
      <right/>
      <top/>
      <bottom/>
      <diagonal/>
    </border>
    <border>
      <left/>
      <right style="thick">
        <color theme="5" tint="0.39997558519241921"/>
      </right>
      <top/>
      <bottom/>
      <diagonal/>
    </border>
    <border>
      <left style="medium">
        <color rgb="FF000000"/>
      </left>
      <right style="medium">
        <color rgb="FF000000"/>
      </right>
      <top style="thick">
        <color theme="5" tint="0.39997558519241921"/>
      </top>
      <bottom style="medium">
        <color rgb="FF000000"/>
      </bottom>
      <diagonal/>
    </border>
    <border>
      <left style="thick">
        <color theme="5" tint="-0.249977111117893"/>
      </left>
      <right/>
      <top style="thick">
        <color theme="5" tint="-0.249977111117893"/>
      </top>
      <bottom/>
      <diagonal/>
    </border>
    <border>
      <left/>
      <right/>
      <top style="thick">
        <color theme="5" tint="-0.249977111117893"/>
      </top>
      <bottom/>
      <diagonal/>
    </border>
    <border>
      <left/>
      <right style="thick">
        <color theme="5" tint="-0.249977111117893"/>
      </right>
      <top style="thick">
        <color theme="5" tint="-0.249977111117893"/>
      </top>
      <bottom/>
      <diagonal/>
    </border>
    <border>
      <left style="thick">
        <color theme="5" tint="-0.249977111117893"/>
      </left>
      <right/>
      <top/>
      <bottom/>
      <diagonal/>
    </border>
    <border>
      <left style="medium">
        <color rgb="FF000000"/>
      </left>
      <right style="thick">
        <color theme="5" tint="-0.249977111117893"/>
      </right>
      <top style="medium">
        <color rgb="FF000000"/>
      </top>
      <bottom style="medium">
        <color rgb="FF000000"/>
      </bottom>
      <diagonal/>
    </border>
    <border>
      <left style="thick">
        <color theme="5" tint="-0.249977111117893"/>
      </left>
      <right/>
      <top/>
      <bottom style="thick">
        <color theme="5" tint="-0.249977111117893"/>
      </bottom>
      <diagonal/>
    </border>
    <border>
      <left/>
      <right/>
      <top/>
      <bottom style="thick">
        <color theme="5" tint="-0.24997711111789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theme="5" tint="-0.249977111117893"/>
      </bottom>
      <diagonal/>
    </border>
    <border>
      <left/>
      <right style="thick">
        <color theme="5" tint="-0.249977111117893"/>
      </right>
      <top/>
      <bottom style="thick">
        <color theme="5" tint="-0.249977111117893"/>
      </bottom>
      <diagonal/>
    </border>
    <border>
      <left style="medium">
        <color rgb="FF000000"/>
      </left>
      <right style="medium">
        <color rgb="FF000000"/>
      </right>
      <top style="thick">
        <color theme="5" tint="-0.249977111117893"/>
      </top>
      <bottom style="medium">
        <color rgb="FF000000"/>
      </bottom>
      <diagonal/>
    </border>
    <border>
      <left/>
      <right style="thick">
        <color theme="5" tint="-0.249977111117893"/>
      </right>
      <top/>
      <bottom/>
      <diagonal/>
    </border>
    <border>
      <left style="thick">
        <color theme="5" tint="-0.249977111117893"/>
      </left>
      <right/>
      <top style="thick">
        <color theme="5" tint="-0.249977111117893"/>
      </top>
      <bottom style="thick">
        <color theme="5" tint="-0.249977111117893"/>
      </bottom>
      <diagonal/>
    </border>
    <border>
      <left/>
      <right style="thick">
        <color theme="5" tint="-0.249977111117893"/>
      </right>
      <top style="thick">
        <color theme="5" tint="-0.249977111117893"/>
      </top>
      <bottom style="thick">
        <color theme="5" tint="-0.249977111117893"/>
      </bottom>
      <diagonal/>
    </border>
    <border>
      <left style="thick">
        <color rgb="FF000000"/>
      </left>
      <right/>
      <top style="thick">
        <color rgb="FF000000"/>
      </top>
      <bottom style="thick">
        <color theme="5" tint="0.39997558519241921"/>
      </bottom>
      <diagonal/>
    </border>
    <border>
      <left/>
      <right/>
      <top style="thick">
        <color rgb="FF000000"/>
      </top>
      <bottom style="thick">
        <color theme="5" tint="0.39997558519241921"/>
      </bottom>
      <diagonal/>
    </border>
    <border>
      <left/>
      <right style="thick">
        <color rgb="FF000000"/>
      </right>
      <top style="thick">
        <color rgb="FF000000"/>
      </top>
      <bottom style="thick">
        <color theme="5" tint="0.39997558519241921"/>
      </bottom>
      <diagonal/>
    </border>
    <border>
      <left style="thick">
        <color theme="5" tint="0.39997558519241921"/>
      </left>
      <right style="thin">
        <color rgb="FF000000"/>
      </right>
      <top style="thick">
        <color theme="5" tint="0.3999755851924192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theme="5" tint="0.39997558519241921"/>
      </top>
      <bottom/>
      <diagonal/>
    </border>
    <border>
      <left style="thin">
        <color rgb="FF000000"/>
      </left>
      <right style="thin">
        <color rgb="FF000000"/>
      </right>
      <top style="thick">
        <color theme="5" tint="0.39997558519241921"/>
      </top>
      <bottom style="thin">
        <color rgb="FF000000"/>
      </bottom>
      <diagonal/>
    </border>
    <border>
      <left style="thin">
        <color rgb="FF000000"/>
      </left>
      <right style="thick">
        <color theme="5" tint="0.39997558519241921"/>
      </right>
      <top style="thick">
        <color theme="5" tint="0.39997558519241921"/>
      </top>
      <bottom style="thin">
        <color rgb="FF000000"/>
      </bottom>
      <diagonal/>
    </border>
    <border>
      <left style="thick">
        <color theme="5" tint="0.3999755851924192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theme="5" tint="0.3999755851924192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theme="5" tint="0.39997558519241921"/>
      </top>
      <bottom style="thin">
        <color rgb="FF000000"/>
      </bottom>
      <diagonal/>
    </border>
    <border>
      <left/>
      <right style="thin">
        <color rgb="FF000000"/>
      </right>
      <top style="thick">
        <color theme="5" tint="0.39997558519241921"/>
      </top>
      <bottom style="thin">
        <color rgb="FF000000"/>
      </bottom>
      <diagonal/>
    </border>
    <border>
      <left style="thick">
        <color theme="5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5" tint="0.39997558519241921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theme="5" tint="0.39997558519241921"/>
      </right>
      <top style="thin">
        <color rgb="FF000000"/>
      </top>
      <bottom/>
      <diagonal/>
    </border>
    <border>
      <left style="thick">
        <color theme="5" tint="-0.249977111117893"/>
      </left>
      <right style="thin">
        <color rgb="FF000000"/>
      </right>
      <top style="thick">
        <color theme="5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theme="5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theme="5" tint="-0.249977111117893"/>
      </top>
      <bottom/>
      <diagonal/>
    </border>
    <border>
      <left style="thin">
        <color rgb="FF000000"/>
      </left>
      <right style="thick">
        <color theme="5" tint="-0.249977111117893"/>
      </right>
      <top style="thick">
        <color theme="5" tint="-0.249977111117893"/>
      </top>
      <bottom/>
      <diagonal/>
    </border>
    <border>
      <left style="thick">
        <color theme="5" tint="-0.24997711111789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5" tint="-0.249977111117893"/>
      </left>
      <right style="thin">
        <color rgb="FF000000"/>
      </right>
      <top style="thin">
        <color rgb="FF000000"/>
      </top>
      <bottom style="thick">
        <color theme="5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5" tint="-0.249977111117893"/>
      </bottom>
      <diagonal/>
    </border>
    <border>
      <left style="thin">
        <color rgb="FF000000"/>
      </left>
      <right/>
      <top/>
      <bottom style="thick">
        <color theme="5" tint="-0.249977111117893"/>
      </bottom>
      <diagonal/>
    </border>
    <border>
      <left/>
      <right style="thin">
        <color rgb="FF000000"/>
      </right>
      <top/>
      <bottom style="thick">
        <color theme="5" tint="-0.249977111117893"/>
      </bottom>
      <diagonal/>
    </border>
    <border>
      <left style="thin">
        <color rgb="FF000000"/>
      </left>
      <right/>
      <top style="thin">
        <color rgb="FF000000"/>
      </top>
      <bottom style="thick">
        <color theme="5" tint="-0.249977111117893"/>
      </bottom>
      <diagonal/>
    </border>
    <border>
      <left style="thin">
        <color rgb="FF000000"/>
      </left>
      <right style="thick">
        <color theme="5" tint="-0.249977111117893"/>
      </right>
      <top/>
      <bottom style="thick">
        <color theme="5" tint="-0.249977111117893"/>
      </bottom>
      <diagonal/>
    </border>
    <border>
      <left style="thick">
        <color theme="5" tint="-0.249977111117893"/>
      </left>
      <right/>
      <top style="thick">
        <color theme="5" tint="-0.249977111117893"/>
      </top>
      <bottom style="thin">
        <color rgb="FF000000"/>
      </bottom>
      <diagonal/>
    </border>
    <border>
      <left/>
      <right style="thin">
        <color rgb="FF000000"/>
      </right>
      <top style="thick">
        <color theme="5" tint="-0.249977111117893"/>
      </top>
      <bottom style="thin">
        <color rgb="FF000000"/>
      </bottom>
      <diagonal/>
    </border>
    <border>
      <left style="thin">
        <color rgb="FF000000"/>
      </left>
      <right/>
      <top style="thick">
        <color theme="5" tint="-0.249977111117893"/>
      </top>
      <bottom style="thin">
        <color rgb="FF000000"/>
      </bottom>
      <diagonal/>
    </border>
    <border>
      <left style="thin">
        <color rgb="FF000000"/>
      </left>
      <right style="thick">
        <color theme="5" tint="-0.249977111117893"/>
      </right>
      <top style="thick">
        <color theme="5" tint="-0.249977111117893"/>
      </top>
      <bottom style="thin">
        <color rgb="FF000000"/>
      </bottom>
      <diagonal/>
    </border>
    <border>
      <left style="thin">
        <color rgb="FF000000"/>
      </left>
      <right style="thick">
        <color theme="5" tint="-0.24997711111789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theme="5" tint="-0.249977111117893"/>
      </bottom>
      <diagonal/>
    </border>
    <border>
      <left style="thin">
        <color rgb="FF000000"/>
      </left>
      <right style="thick">
        <color theme="5" tint="-0.249977111117893"/>
      </right>
      <top style="thin">
        <color rgb="FF000000"/>
      </top>
      <bottom style="thick">
        <color theme="5" tint="-0.249977111117893"/>
      </bottom>
      <diagonal/>
    </border>
    <border>
      <left/>
      <right style="thin">
        <color rgb="FF000000"/>
      </right>
      <top style="thick">
        <color theme="5" tint="-0.249977111117893"/>
      </top>
      <bottom/>
      <diagonal/>
    </border>
    <border>
      <left style="thick">
        <color theme="5" tint="-0.249977111117893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theme="5" tint="-0.249977111117893"/>
      </right>
      <top style="thin">
        <color rgb="FF000000"/>
      </top>
      <bottom/>
      <diagonal/>
    </border>
    <border>
      <left style="thick">
        <color theme="5" tint="-0.249977111117893"/>
      </left>
      <right style="medium">
        <color rgb="FF000000"/>
      </right>
      <top style="medium">
        <color rgb="FF000000"/>
      </top>
      <bottom style="thick">
        <color theme="5" tint="-0.249977111117893"/>
      </bottom>
      <diagonal/>
    </border>
    <border>
      <left/>
      <right style="thin">
        <color rgb="FF000000"/>
      </right>
      <top style="thin">
        <color rgb="FF000000"/>
      </top>
      <bottom style="thick">
        <color theme="5" tint="-0.249977111117893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8">
    <xf numFmtId="0" fontId="0" fillId="0" borderId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3" borderId="0" applyNumberFormat="0" applyBorder="0" applyAlignment="0" applyProtection="0"/>
    <xf numFmtId="0" fontId="2" fillId="0" borderId="0" applyNumberFormat="0" applyBorder="0" applyProtection="0"/>
  </cellStyleXfs>
  <cellXfs count="24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9" borderId="0" xfId="0" applyFont="1" applyFill="1"/>
    <xf numFmtId="0" fontId="0" fillId="10" borderId="8" xfId="0" applyFill="1" applyBorder="1"/>
    <xf numFmtId="0" fontId="0" fillId="11" borderId="0" xfId="0" applyFill="1"/>
    <xf numFmtId="0" fontId="6" fillId="0" borderId="0" xfId="0" applyFont="1"/>
    <xf numFmtId="2" fontId="0" fillId="0" borderId="0" xfId="0" applyNumberFormat="1"/>
    <xf numFmtId="0" fontId="0" fillId="6" borderId="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49" fontId="0" fillId="0" borderId="0" xfId="0" applyNumberFormat="1"/>
    <xf numFmtId="0" fontId="3" fillId="0" borderId="5" xfId="0" applyFont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2" fontId="8" fillId="6" borderId="2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7" borderId="1" xfId="0" applyNumberFormat="1" applyFont="1" applyFill="1" applyBorder="1" applyAlignment="1">
      <alignment horizontal="center" vertical="center"/>
    </xf>
    <xf numFmtId="2" fontId="8" fillId="7" borderId="2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2" fontId="8" fillId="10" borderId="2" xfId="0" applyNumberFormat="1" applyFont="1" applyFill="1" applyBorder="1" applyAlignment="1">
      <alignment horizontal="center" vertical="center"/>
    </xf>
    <xf numFmtId="2" fontId="8" fillId="13" borderId="1" xfId="0" applyNumberFormat="1" applyFont="1" applyFill="1" applyBorder="1" applyAlignment="1">
      <alignment horizontal="center" vertical="center"/>
    </xf>
    <xf numFmtId="2" fontId="8" fillId="13" borderId="2" xfId="0" applyNumberFormat="1" applyFont="1" applyFill="1" applyBorder="1" applyAlignment="1">
      <alignment horizontal="center" vertical="center"/>
    </xf>
    <xf numFmtId="2" fontId="8" fillId="15" borderId="1" xfId="0" applyNumberFormat="1" applyFont="1" applyFill="1" applyBorder="1" applyAlignment="1">
      <alignment horizontal="center" vertical="center"/>
    </xf>
    <xf numFmtId="2" fontId="8" fillId="15" borderId="2" xfId="0" applyNumberFormat="1" applyFont="1" applyFill="1" applyBorder="1" applyAlignment="1">
      <alignment horizontal="center" vertical="center"/>
    </xf>
    <xf numFmtId="2" fontId="8" fillId="14" borderId="1" xfId="0" applyNumberFormat="1" applyFont="1" applyFill="1" applyBorder="1" applyAlignment="1">
      <alignment horizontal="center" vertical="center"/>
    </xf>
    <xf numFmtId="2" fontId="8" fillId="14" borderId="2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2" fontId="8" fillId="16" borderId="1" xfId="0" applyNumberFormat="1" applyFont="1" applyFill="1" applyBorder="1" applyAlignment="1">
      <alignment horizontal="center" vertical="center"/>
    </xf>
    <xf numFmtId="2" fontId="8" fillId="17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2" fontId="8" fillId="18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2" fontId="8" fillId="6" borderId="1" xfId="7" applyNumberFormat="1" applyFont="1" applyFill="1" applyBorder="1" applyAlignment="1">
      <alignment horizontal="center"/>
    </xf>
    <xf numFmtId="2" fontId="8" fillId="0" borderId="1" xfId="7" applyNumberFormat="1" applyFont="1" applyBorder="1" applyAlignment="1">
      <alignment horizontal="center"/>
    </xf>
    <xf numFmtId="2" fontId="8" fillId="7" borderId="1" xfId="7" applyNumberFormat="1" applyFont="1" applyFill="1" applyBorder="1" applyAlignment="1">
      <alignment horizontal="center"/>
    </xf>
    <xf numFmtId="2" fontId="8" fillId="10" borderId="1" xfId="7" applyNumberFormat="1" applyFont="1" applyFill="1" applyBorder="1" applyAlignment="1">
      <alignment horizontal="center"/>
    </xf>
    <xf numFmtId="2" fontId="8" fillId="13" borderId="1" xfId="7" applyNumberFormat="1" applyFont="1" applyFill="1" applyBorder="1" applyAlignment="1">
      <alignment horizontal="center"/>
    </xf>
    <xf numFmtId="2" fontId="8" fillId="15" borderId="1" xfId="7" applyNumberFormat="1" applyFont="1" applyFill="1" applyBorder="1" applyAlignment="1">
      <alignment horizontal="center"/>
    </xf>
    <xf numFmtId="2" fontId="8" fillId="14" borderId="1" xfId="7" applyNumberFormat="1" applyFont="1" applyFill="1" applyBorder="1" applyAlignment="1">
      <alignment horizontal="center"/>
    </xf>
    <xf numFmtId="2" fontId="8" fillId="19" borderId="1" xfId="7" applyNumberFormat="1" applyFont="1" applyFill="1" applyBorder="1" applyAlignment="1">
      <alignment horizontal="center"/>
    </xf>
    <xf numFmtId="2" fontId="8" fillId="16" borderId="1" xfId="7" applyNumberFormat="1" applyFont="1" applyFill="1" applyBorder="1" applyAlignment="1">
      <alignment horizontal="center"/>
    </xf>
    <xf numFmtId="2" fontId="8" fillId="17" borderId="1" xfId="7" applyNumberFormat="1" applyFont="1" applyFill="1" applyBorder="1" applyAlignment="1">
      <alignment horizontal="center"/>
    </xf>
    <xf numFmtId="2" fontId="8" fillId="20" borderId="1" xfId="7" applyNumberFormat="1" applyFont="1" applyFill="1" applyBorder="1" applyAlignment="1">
      <alignment horizontal="center"/>
    </xf>
    <xf numFmtId="2" fontId="8" fillId="18" borderId="1" xfId="7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1" fillId="0" borderId="0" xfId="0" applyFont="1"/>
    <xf numFmtId="0" fontId="11" fillId="21" borderId="0" xfId="0" applyFont="1" applyFill="1"/>
    <xf numFmtId="0" fontId="11" fillId="6" borderId="0" xfId="0" applyFont="1" applyFill="1"/>
    <xf numFmtId="0" fontId="11" fillId="5" borderId="0" xfId="0" applyFont="1" applyFill="1"/>
    <xf numFmtId="0" fontId="11" fillId="3" borderId="0" xfId="0" applyFont="1" applyFill="1"/>
    <xf numFmtId="0" fontId="12" fillId="0" borderId="0" xfId="0" applyFont="1"/>
    <xf numFmtId="0" fontId="11" fillId="0" borderId="0" xfId="0" applyFont="1" applyAlignment="1">
      <alignment horizontal="center"/>
    </xf>
    <xf numFmtId="0" fontId="11" fillId="23" borderId="10" xfId="0" applyFont="1" applyFill="1" applyBorder="1" applyAlignment="1">
      <alignment horizontal="center"/>
    </xf>
    <xf numFmtId="164" fontId="11" fillId="23" borderId="13" xfId="0" applyNumberFormat="1" applyFont="1" applyFill="1" applyBorder="1" applyAlignment="1">
      <alignment horizontal="center"/>
    </xf>
    <xf numFmtId="0" fontId="0" fillId="0" borderId="5" xfId="0" applyBorder="1"/>
    <xf numFmtId="11" fontId="0" fillId="0" borderId="5" xfId="0" applyNumberFormat="1" applyBorder="1"/>
    <xf numFmtId="2" fontId="11" fillId="23" borderId="14" xfId="0" applyNumberFormat="1" applyFont="1" applyFill="1" applyBorder="1"/>
    <xf numFmtId="0" fontId="11" fillId="23" borderId="10" xfId="0" applyFont="1" applyFill="1" applyBorder="1"/>
    <xf numFmtId="164" fontId="11" fillId="23" borderId="10" xfId="0" applyNumberFormat="1" applyFont="1" applyFill="1" applyBorder="1" applyAlignment="1">
      <alignment horizontal="center"/>
    </xf>
    <xf numFmtId="2" fontId="11" fillId="23" borderId="10" xfId="0" applyNumberFormat="1" applyFont="1" applyFill="1" applyBorder="1"/>
    <xf numFmtId="0" fontId="0" fillId="0" borderId="10" xfId="0" applyBorder="1"/>
    <xf numFmtId="0" fontId="11" fillId="24" borderId="10" xfId="0" applyFont="1" applyFill="1" applyBorder="1" applyAlignment="1">
      <alignment horizontal="center"/>
    </xf>
    <xf numFmtId="11" fontId="0" fillId="0" borderId="10" xfId="0" applyNumberFormat="1" applyBorder="1"/>
    <xf numFmtId="0" fontId="11" fillId="24" borderId="10" xfId="0" applyFont="1" applyFill="1" applyBorder="1"/>
    <xf numFmtId="11" fontId="0" fillId="0" borderId="0" xfId="0" applyNumberFormat="1"/>
    <xf numFmtId="165" fontId="0" fillId="0" borderId="0" xfId="0" applyNumberFormat="1"/>
    <xf numFmtId="0" fontId="11" fillId="0" borderId="10" xfId="0" applyFont="1" applyBorder="1" applyAlignment="1">
      <alignment horizontal="center"/>
    </xf>
    <xf numFmtId="0" fontId="11" fillId="0" borderId="10" xfId="0" applyFont="1" applyBorder="1"/>
    <xf numFmtId="0" fontId="0" fillId="0" borderId="10" xfId="0" applyBorder="1" applyAlignment="1">
      <alignment horizontal="center"/>
    </xf>
    <xf numFmtId="166" fontId="0" fillId="0" borderId="0" xfId="0" applyNumberFormat="1"/>
    <xf numFmtId="2" fontId="0" fillId="0" borderId="10" xfId="0" applyNumberFormat="1" applyBorder="1"/>
    <xf numFmtId="2" fontId="0" fillId="0" borderId="5" xfId="0" applyNumberFormat="1" applyBorder="1"/>
    <xf numFmtId="2" fontId="0" fillId="0" borderId="13" xfId="0" applyNumberFormat="1" applyBorder="1"/>
    <xf numFmtId="0" fontId="0" fillId="0" borderId="13" xfId="0" applyBorder="1"/>
    <xf numFmtId="164" fontId="11" fillId="0" borderId="0" xfId="0" applyNumberFormat="1" applyFont="1" applyAlignment="1">
      <alignment horizontal="center"/>
    </xf>
    <xf numFmtId="2" fontId="11" fillId="0" borderId="0" xfId="0" applyNumberFormat="1" applyFont="1"/>
    <xf numFmtId="49" fontId="11" fillId="0" borderId="0" xfId="0" applyNumberFormat="1" applyFont="1"/>
    <xf numFmtId="49" fontId="11" fillId="0" borderId="0" xfId="0" applyNumberFormat="1" applyFont="1" applyAlignment="1">
      <alignment horizontal="center"/>
    </xf>
    <xf numFmtId="0" fontId="14" fillId="0" borderId="0" xfId="0" applyFont="1"/>
    <xf numFmtId="0" fontId="9" fillId="0" borderId="2" xfId="0" applyFont="1" applyBorder="1" applyAlignment="1">
      <alignment horizontal="center" vertical="center"/>
    </xf>
    <xf numFmtId="2" fontId="8" fillId="0" borderId="2" xfId="7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0" fontId="11" fillId="23" borderId="13" xfId="0" applyFont="1" applyFill="1" applyBorder="1" applyAlignment="1">
      <alignment horizontal="center"/>
    </xf>
    <xf numFmtId="0" fontId="11" fillId="24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1" fillId="0" borderId="13" xfId="0" applyFont="1" applyBorder="1" applyAlignment="1">
      <alignment horizontal="center"/>
    </xf>
    <xf numFmtId="49" fontId="11" fillId="23" borderId="0" xfId="0" applyNumberFormat="1" applyFont="1" applyFill="1" applyAlignment="1">
      <alignment horizontal="center"/>
    </xf>
    <xf numFmtId="49" fontId="11" fillId="23" borderId="14" xfId="0" applyNumberFormat="1" applyFont="1" applyFill="1" applyBorder="1" applyAlignment="1">
      <alignment horizontal="center"/>
    </xf>
    <xf numFmtId="0" fontId="12" fillId="22" borderId="15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49" fontId="12" fillId="6" borderId="6" xfId="0" applyNumberFormat="1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22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9" fontId="12" fillId="6" borderId="15" xfId="0" applyNumberFormat="1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0" fillId="0" borderId="16" xfId="0" applyBorder="1"/>
    <xf numFmtId="49" fontId="11" fillId="0" borderId="0" xfId="0" applyNumberFormat="1" applyFont="1" applyAlignment="1">
      <alignment horizontal="left"/>
    </xf>
    <xf numFmtId="49" fontId="12" fillId="6" borderId="1" xfId="0" applyNumberFormat="1" applyFont="1" applyFill="1" applyBorder="1" applyAlignment="1">
      <alignment horizontal="left"/>
    </xf>
    <xf numFmtId="49" fontId="11" fillId="24" borderId="13" xfId="0" applyNumberFormat="1" applyFont="1" applyFill="1" applyBorder="1" applyAlignment="1">
      <alignment horizontal="left"/>
    </xf>
    <xf numFmtId="49" fontId="11" fillId="0" borderId="13" xfId="0" applyNumberFormat="1" applyFont="1" applyBorder="1" applyAlignment="1">
      <alignment horizontal="left"/>
    </xf>
    <xf numFmtId="49" fontId="11" fillId="0" borderId="16" xfId="0" applyNumberFormat="1" applyFont="1" applyBorder="1"/>
    <xf numFmtId="49" fontId="11" fillId="24" borderId="13" xfId="0" applyNumberFormat="1" applyFont="1" applyFill="1" applyBorder="1" applyAlignment="1">
      <alignment horizontal="center"/>
    </xf>
    <xf numFmtId="49" fontId="11" fillId="24" borderId="16" xfId="0" applyNumberFormat="1" applyFont="1" applyFill="1" applyBorder="1" applyAlignment="1">
      <alignment horizontal="center"/>
    </xf>
    <xf numFmtId="49" fontId="11" fillId="0" borderId="13" xfId="0" applyNumberFormat="1" applyFont="1" applyBorder="1" applyAlignment="1">
      <alignment horizontal="center"/>
    </xf>
    <xf numFmtId="49" fontId="11" fillId="0" borderId="16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2" fontId="8" fillId="0" borderId="15" xfId="7" applyNumberFormat="1" applyFont="1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1" fillId="26" borderId="15" xfId="0" applyFont="1" applyFill="1" applyBorder="1"/>
    <xf numFmtId="0" fontId="11" fillId="27" borderId="15" xfId="0" applyFont="1" applyFill="1" applyBorder="1"/>
    <xf numFmtId="0" fontId="11" fillId="28" borderId="15" xfId="0" applyFont="1" applyFill="1" applyBorder="1"/>
    <xf numFmtId="0" fontId="17" fillId="0" borderId="15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8" fillId="0" borderId="17" xfId="0" applyFont="1" applyBorder="1" applyAlignment="1">
      <alignment horizontal="right" vertical="center"/>
    </xf>
    <xf numFmtId="0" fontId="18" fillId="0" borderId="16" xfId="0" applyFont="1" applyBorder="1" applyAlignment="1">
      <alignment vertical="center"/>
    </xf>
    <xf numFmtId="0" fontId="18" fillId="0" borderId="16" xfId="0" applyFont="1" applyBorder="1" applyAlignment="1">
      <alignment horizontal="right" vertical="center"/>
    </xf>
    <xf numFmtId="0" fontId="18" fillId="0" borderId="18" xfId="0" applyFont="1" applyBorder="1" applyAlignment="1">
      <alignment vertical="center"/>
    </xf>
    <xf numFmtId="0" fontId="18" fillId="0" borderId="18" xfId="0" applyFont="1" applyBorder="1" applyAlignment="1">
      <alignment horizontal="right" vertical="center"/>
    </xf>
    <xf numFmtId="0" fontId="0" fillId="0" borderId="18" xfId="0" applyBorder="1"/>
    <xf numFmtId="0" fontId="3" fillId="25" borderId="15" xfId="0" applyFont="1" applyFill="1" applyBorder="1"/>
    <xf numFmtId="0" fontId="10" fillId="25" borderId="15" xfId="0" applyFont="1" applyFill="1" applyBorder="1"/>
    <xf numFmtId="0" fontId="12" fillId="25" borderId="15" xfId="0" applyFont="1" applyFill="1" applyBorder="1" applyAlignment="1">
      <alignment horizontal="left"/>
    </xf>
    <xf numFmtId="0" fontId="11" fillId="29" borderId="15" xfId="0" applyFont="1" applyFill="1" applyBorder="1"/>
    <xf numFmtId="0" fontId="17" fillId="0" borderId="19" xfId="0" applyFont="1" applyBorder="1" applyAlignment="1">
      <alignment horizontal="right" vertical="center"/>
    </xf>
    <xf numFmtId="0" fontId="18" fillId="30" borderId="15" xfId="0" applyFont="1" applyFill="1" applyBorder="1" applyAlignment="1">
      <alignment vertical="center"/>
    </xf>
    <xf numFmtId="0" fontId="16" fillId="0" borderId="0" xfId="0" applyFont="1" applyAlignment="1">
      <alignment horizontal="right" vertical="center"/>
    </xf>
    <xf numFmtId="0" fontId="3" fillId="25" borderId="0" xfId="0" applyFont="1" applyFill="1"/>
    <xf numFmtId="0" fontId="0" fillId="25" borderId="0" xfId="0" applyFill="1"/>
    <xf numFmtId="0" fontId="0" fillId="10" borderId="0" xfId="0" applyFill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10" borderId="25" xfId="0" applyFill="1" applyBorder="1"/>
    <xf numFmtId="0" fontId="0" fillId="0" borderId="26" xfId="0" applyBorder="1"/>
    <xf numFmtId="0" fontId="0" fillId="0" borderId="27" xfId="0" applyBorder="1"/>
    <xf numFmtId="0" fontId="0" fillId="10" borderId="27" xfId="0" applyFill="1" applyBorder="1"/>
    <xf numFmtId="0" fontId="0" fillId="10" borderId="28" xfId="0" applyFill="1" applyBorder="1"/>
    <xf numFmtId="0" fontId="0" fillId="0" borderId="29" xfId="0" applyBorder="1"/>
    <xf numFmtId="0" fontId="0" fillId="10" borderId="30" xfId="0" applyFill="1" applyBorder="1"/>
    <xf numFmtId="0" fontId="0" fillId="0" borderId="31" xfId="0" applyBorder="1"/>
    <xf numFmtId="0" fontId="0" fillId="0" borderId="32" xfId="0" applyBorder="1"/>
    <xf numFmtId="0" fontId="0" fillId="10" borderId="32" xfId="0" applyFill="1" applyBorder="1"/>
    <xf numFmtId="0" fontId="0" fillId="10" borderId="33" xfId="0" applyFill="1" applyBorder="1"/>
    <xf numFmtId="0" fontId="0" fillId="10" borderId="34" xfId="0" applyFill="1" applyBorder="1"/>
    <xf numFmtId="0" fontId="0" fillId="10" borderId="35" xfId="0" applyFill="1" applyBorder="1"/>
    <xf numFmtId="0" fontId="0" fillId="0" borderId="28" xfId="0" applyBorder="1"/>
    <xf numFmtId="0" fontId="0" fillId="0" borderId="36" xfId="0" applyBorder="1"/>
    <xf numFmtId="0" fontId="0" fillId="0" borderId="34" xfId="0" applyBorder="1"/>
    <xf numFmtId="0" fontId="0" fillId="0" borderId="37" xfId="0" applyBorder="1"/>
    <xf numFmtId="0" fontId="0" fillId="0" borderId="38" xfId="0" applyBorder="1"/>
    <xf numFmtId="0" fontId="0" fillId="31" borderId="39" xfId="0" applyFill="1" applyBorder="1"/>
    <xf numFmtId="0" fontId="0" fillId="31" borderId="40" xfId="0" applyFill="1" applyBorder="1"/>
    <xf numFmtId="0" fontId="0" fillId="31" borderId="41" xfId="0" applyFill="1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0" fillId="0" borderId="0" xfId="0" applyFont="1"/>
    <xf numFmtId="0" fontId="0" fillId="0" borderId="51" xfId="0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10" borderId="56" xfId="0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0" fontId="0" fillId="10" borderId="57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10" borderId="61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10" borderId="6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10" borderId="64" xfId="0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10" borderId="60" xfId="0" applyFill="1" applyBorder="1" applyAlignment="1">
      <alignment horizontal="center" vertical="center"/>
    </xf>
    <xf numFmtId="0" fontId="0" fillId="10" borderId="70" xfId="0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6" borderId="65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10" borderId="72" xfId="0" applyFill="1" applyBorder="1" applyAlignment="1">
      <alignment horizontal="center" vertical="center"/>
    </xf>
    <xf numFmtId="0" fontId="0" fillId="6" borderId="73" xfId="0" applyFill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6" borderId="75" xfId="0" applyFill="1" applyBorder="1" applyAlignment="1">
      <alignment horizontal="center" vertical="center"/>
    </xf>
    <xf numFmtId="0" fontId="0" fillId="12" borderId="76" xfId="0" applyFill="1" applyBorder="1" applyAlignment="1">
      <alignment horizontal="center" vertical="center"/>
    </xf>
    <xf numFmtId="0" fontId="0" fillId="6" borderId="60" xfId="0" applyFill="1" applyBorder="1" applyAlignment="1">
      <alignment horizontal="center" vertical="center"/>
    </xf>
    <xf numFmtId="0" fontId="0" fillId="27" borderId="0" xfId="0" applyFill="1"/>
    <xf numFmtId="0" fontId="0" fillId="33" borderId="0" xfId="0" applyFill="1"/>
    <xf numFmtId="0" fontId="0" fillId="34" borderId="0" xfId="0" applyFill="1"/>
    <xf numFmtId="0" fontId="0" fillId="12" borderId="9" xfId="0" applyFill="1" applyBorder="1"/>
    <xf numFmtId="0" fontId="0" fillId="12" borderId="0" xfId="0" applyFill="1"/>
    <xf numFmtId="0" fontId="0" fillId="0" borderId="78" xfId="0" applyBorder="1"/>
    <xf numFmtId="0" fontId="0" fillId="32" borderId="0" xfId="0" applyFill="1"/>
    <xf numFmtId="0" fontId="0" fillId="0" borderId="8" xfId="0" applyBorder="1"/>
    <xf numFmtId="0" fontId="0" fillId="0" borderId="77" xfId="0" applyBorder="1"/>
    <xf numFmtId="0" fontId="0" fillId="10" borderId="0" xfId="0" applyFill="1"/>
  </cellXfs>
  <cellStyles count="8">
    <cellStyle name="cf1" xfId="1" xr:uid="{0CCD7176-D251-4ED1-B354-4F0F2F00DDFB}"/>
    <cellStyle name="cf2" xfId="2" xr:uid="{9D05AC8C-0FAF-4DF7-9A38-79E2E0847774}"/>
    <cellStyle name="cf3" xfId="3" xr:uid="{121E83F5-29E3-4D0E-868E-24D0080DFA97}"/>
    <cellStyle name="cf4" xfId="4" xr:uid="{31264A87-40B3-459D-BE9A-DBB2D9BED1E4}"/>
    <cellStyle name="cf5" xfId="5" xr:uid="{80D7736C-C2D0-43DD-B9C6-7833393853DF}"/>
    <cellStyle name="cf6" xfId="6" xr:uid="{C788AAA9-E83A-4028-9CBE-82DD7504A591}"/>
    <cellStyle name="Normal" xfId="0" builtinId="0" customBuiltin="1"/>
    <cellStyle name="Normal 3" xfId="7" xr:uid="{0A523858-6585-4D2B-8C55-799DD279390E}"/>
  </cellStyles>
  <dxfs count="144"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</dxfs>
  <tableStyles count="0" defaultTableStyle="TableStyleMedium2" defaultPivotStyle="PivotStyleLight16"/>
  <colors>
    <mruColors>
      <color rgb="FFFF9F9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3477-7F48-4F29-85BE-2C143129694F}">
  <dimension ref="A1:X65"/>
  <sheetViews>
    <sheetView zoomScale="101" workbookViewId="0">
      <selection activeCell="R19" sqref="R19"/>
    </sheetView>
  </sheetViews>
  <sheetFormatPr defaultRowHeight="14.5" x14ac:dyDescent="0.35"/>
  <cols>
    <col min="1" max="1" width="8.7265625" customWidth="1"/>
  </cols>
  <sheetData>
    <row r="1" spans="1:24" x14ac:dyDescent="0.35">
      <c r="A1" s="1" t="s">
        <v>657</v>
      </c>
    </row>
    <row r="3" spans="1:24" x14ac:dyDescent="0.35">
      <c r="A3" s="14" t="s">
        <v>61</v>
      </c>
      <c r="F3" s="3"/>
      <c r="G3" s="3"/>
      <c r="H3" s="3"/>
      <c r="I3" s="3"/>
      <c r="J3" s="3"/>
      <c r="K3" s="3"/>
      <c r="L3" s="3"/>
      <c r="M3" s="3"/>
      <c r="U3" s="1"/>
    </row>
    <row r="4" spans="1:24" x14ac:dyDescent="0.35">
      <c r="A4" s="4"/>
      <c r="B4" s="4">
        <v>1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>
        <v>12</v>
      </c>
      <c r="O4" s="245" t="s">
        <v>62</v>
      </c>
      <c r="P4" s="245"/>
      <c r="Q4" s="245"/>
      <c r="R4" s="245"/>
      <c r="S4" s="239"/>
    </row>
    <row r="5" spans="1:24" ht="15" thickBot="1" x14ac:dyDescent="0.4">
      <c r="A5" s="4" t="s">
        <v>20</v>
      </c>
      <c r="B5" s="5"/>
      <c r="C5" s="7"/>
      <c r="D5" s="7"/>
      <c r="E5" s="7"/>
      <c r="F5" s="7"/>
      <c r="G5" s="7"/>
      <c r="H5" s="7"/>
      <c r="I5" s="7"/>
      <c r="J5" s="7"/>
      <c r="K5" s="7"/>
      <c r="L5" s="7"/>
      <c r="M5" s="5"/>
      <c r="O5" s="240" t="s">
        <v>668</v>
      </c>
      <c r="P5" s="240"/>
      <c r="Q5" s="240"/>
      <c r="R5" s="240"/>
      <c r="S5" s="241"/>
      <c r="X5" s="15"/>
    </row>
    <row r="6" spans="1:24" ht="15.5" thickTop="1" thickBot="1" x14ac:dyDescent="0.4">
      <c r="A6" s="4" t="s">
        <v>21</v>
      </c>
      <c r="B6" s="29"/>
      <c r="C6" s="188">
        <v>4.78</v>
      </c>
      <c r="D6" s="189">
        <v>4.8099999999999996</v>
      </c>
      <c r="E6" s="190">
        <v>4.55</v>
      </c>
      <c r="F6" s="191">
        <v>4.58</v>
      </c>
      <c r="G6" s="190">
        <v>4.54</v>
      </c>
      <c r="H6" s="190">
        <v>4.62</v>
      </c>
      <c r="I6" s="190">
        <v>4.66</v>
      </c>
      <c r="J6" s="190">
        <v>4.45</v>
      </c>
      <c r="K6" s="190">
        <v>4.79</v>
      </c>
      <c r="L6" s="192">
        <v>4.78</v>
      </c>
      <c r="M6" s="8"/>
      <c r="O6" s="242" t="s">
        <v>63</v>
      </c>
      <c r="P6" s="242"/>
      <c r="Q6" s="242"/>
      <c r="R6" s="242"/>
      <c r="S6" s="243"/>
      <c r="X6" s="15"/>
    </row>
    <row r="7" spans="1:24" ht="15" thickBot="1" x14ac:dyDescent="0.4">
      <c r="A7" s="4" t="s">
        <v>22</v>
      </c>
      <c r="B7" s="29"/>
      <c r="C7" s="193">
        <v>4.8099999999999996</v>
      </c>
      <c r="D7" s="17">
        <v>5.88</v>
      </c>
      <c r="E7" s="18">
        <v>4.55</v>
      </c>
      <c r="F7" s="16">
        <v>4.62</v>
      </c>
      <c r="G7" s="4">
        <v>4.49</v>
      </c>
      <c r="H7" s="4">
        <v>4.57</v>
      </c>
      <c r="I7" s="4">
        <v>4.59</v>
      </c>
      <c r="J7" s="4">
        <v>4.46</v>
      </c>
      <c r="K7" s="4">
        <v>4.8</v>
      </c>
      <c r="L7" s="194">
        <v>4.72</v>
      </c>
      <c r="M7" s="8"/>
      <c r="O7" s="246" t="s">
        <v>64</v>
      </c>
      <c r="P7" s="246"/>
      <c r="Q7" s="246"/>
      <c r="R7" s="247"/>
      <c r="S7" s="244"/>
      <c r="X7" s="15"/>
    </row>
    <row r="8" spans="1:24" ht="15.5" thickTop="1" thickBot="1" x14ac:dyDescent="0.4">
      <c r="A8" s="4" t="s">
        <v>23</v>
      </c>
      <c r="B8" s="29"/>
      <c r="C8" s="200">
        <v>4.82</v>
      </c>
      <c r="D8" s="201">
        <v>4.79</v>
      </c>
      <c r="E8" s="202">
        <v>4.5599999999999996</v>
      </c>
      <c r="F8" s="203">
        <v>4.49</v>
      </c>
      <c r="G8" s="28">
        <v>4.4800000000000004</v>
      </c>
      <c r="H8" s="6">
        <v>4.54</v>
      </c>
      <c r="I8" s="6">
        <v>4.63</v>
      </c>
      <c r="J8" s="6">
        <v>4.38</v>
      </c>
      <c r="K8" s="6">
        <v>4.79</v>
      </c>
      <c r="L8" s="204">
        <v>4.78</v>
      </c>
      <c r="M8" s="8"/>
      <c r="O8" s="159" t="s">
        <v>666</v>
      </c>
      <c r="P8" s="161"/>
      <c r="X8" s="15"/>
    </row>
    <row r="9" spans="1:24" ht="15.5" thickTop="1" thickBot="1" x14ac:dyDescent="0.4">
      <c r="A9" s="4" t="s">
        <v>24</v>
      </c>
      <c r="B9" s="29"/>
      <c r="C9" s="205">
        <v>6.26</v>
      </c>
      <c r="D9" s="206">
        <v>4.1399999999999997</v>
      </c>
      <c r="E9" s="206">
        <v>4.09</v>
      </c>
      <c r="F9" s="207">
        <v>4.3099999999999996</v>
      </c>
      <c r="G9" s="208">
        <v>4.12</v>
      </c>
      <c r="H9" s="207">
        <v>3.95</v>
      </c>
      <c r="I9" s="206">
        <v>3.96</v>
      </c>
      <c r="J9" s="208">
        <v>3.98</v>
      </c>
      <c r="K9" s="207">
        <v>5.19</v>
      </c>
      <c r="L9" s="209">
        <v>3.97</v>
      </c>
      <c r="M9" s="8"/>
      <c r="O9" s="180" t="s">
        <v>667</v>
      </c>
      <c r="P9" s="181"/>
      <c r="X9" s="15"/>
    </row>
    <row r="10" spans="1:24" ht="15.5" thickTop="1" thickBot="1" x14ac:dyDescent="0.4">
      <c r="A10" s="4" t="s">
        <v>25</v>
      </c>
      <c r="B10" s="29"/>
      <c r="C10" s="210">
        <v>5.77</v>
      </c>
      <c r="D10" s="4">
        <v>4.21</v>
      </c>
      <c r="E10" s="10">
        <v>4.09</v>
      </c>
      <c r="F10" s="19">
        <v>4.32</v>
      </c>
      <c r="G10" s="20">
        <v>4.12</v>
      </c>
      <c r="H10" s="19">
        <v>3.99</v>
      </c>
      <c r="I10" s="18">
        <v>3.96</v>
      </c>
      <c r="J10" s="21">
        <v>3.96</v>
      </c>
      <c r="K10" s="19">
        <v>5.19</v>
      </c>
      <c r="L10" s="211">
        <v>3.95</v>
      </c>
      <c r="M10" s="8"/>
      <c r="X10" s="15"/>
    </row>
    <row r="11" spans="1:24" ht="15" thickBot="1" x14ac:dyDescent="0.4">
      <c r="A11" s="4" t="s">
        <v>26</v>
      </c>
      <c r="B11" s="29"/>
      <c r="C11" s="212">
        <v>6.19</v>
      </c>
      <c r="D11" s="213">
        <v>4.12</v>
      </c>
      <c r="E11" s="213">
        <v>4.08</v>
      </c>
      <c r="F11" s="214">
        <v>4.32</v>
      </c>
      <c r="G11" s="215">
        <v>4.0999999999999996</v>
      </c>
      <c r="H11" s="216">
        <v>3.93</v>
      </c>
      <c r="I11" s="217">
        <v>3.94</v>
      </c>
      <c r="J11" s="215">
        <v>3.91</v>
      </c>
      <c r="K11" s="216">
        <v>5.15</v>
      </c>
      <c r="L11" s="218">
        <v>3.96</v>
      </c>
      <c r="M11" s="8"/>
      <c r="X11" s="15"/>
    </row>
    <row r="12" spans="1:24" ht="15" thickTop="1" x14ac:dyDescent="0.35">
      <c r="A12" s="4" t="s">
        <v>27</v>
      </c>
      <c r="B12" s="5"/>
      <c r="C12" s="9"/>
      <c r="D12" s="9"/>
      <c r="E12" s="9"/>
      <c r="F12" s="9"/>
      <c r="G12" s="9"/>
      <c r="H12" s="9"/>
      <c r="I12" s="9"/>
      <c r="J12" s="9"/>
      <c r="K12" s="9"/>
      <c r="L12" s="9"/>
      <c r="M12" s="5"/>
    </row>
    <row r="13" spans="1:24" x14ac:dyDescent="0.35">
      <c r="F13" s="23"/>
      <c r="U13" s="1"/>
    </row>
    <row r="14" spans="1:24" x14ac:dyDescent="0.35">
      <c r="A14" s="14" t="s">
        <v>65</v>
      </c>
      <c r="F14" s="3"/>
      <c r="G14" s="3"/>
      <c r="H14" s="3"/>
      <c r="I14" s="3"/>
      <c r="J14" s="3"/>
      <c r="K14" s="3"/>
      <c r="L14" s="3"/>
      <c r="M14" s="3"/>
      <c r="X14" s="15"/>
    </row>
    <row r="15" spans="1:24" x14ac:dyDescent="0.35">
      <c r="A15" s="4"/>
      <c r="B15" s="4">
        <v>1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  <c r="I15" s="4" t="s">
        <v>16</v>
      </c>
      <c r="J15" s="4" t="s">
        <v>17</v>
      </c>
      <c r="K15" s="4" t="s">
        <v>18</v>
      </c>
      <c r="L15" s="4" t="s">
        <v>19</v>
      </c>
      <c r="M15" s="4">
        <v>12</v>
      </c>
      <c r="X15" s="15"/>
    </row>
    <row r="16" spans="1:24" ht="15" thickBot="1" x14ac:dyDescent="0.4">
      <c r="A16" s="4" t="s">
        <v>20</v>
      </c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5"/>
    </row>
    <row r="17" spans="1:17" ht="15.5" thickTop="1" thickBot="1" x14ac:dyDescent="0.4">
      <c r="A17" s="4" t="s">
        <v>21</v>
      </c>
      <c r="B17" s="29"/>
      <c r="C17" s="188">
        <v>4.8600000000000003</v>
      </c>
      <c r="D17" s="190">
        <v>4.8499999999999996</v>
      </c>
      <c r="E17" s="190">
        <v>4.84</v>
      </c>
      <c r="F17" s="190">
        <v>4.8499999999999996</v>
      </c>
      <c r="G17" s="189">
        <v>4.71</v>
      </c>
      <c r="H17" s="195">
        <v>4.82</v>
      </c>
      <c r="I17" s="196">
        <v>4.75</v>
      </c>
      <c r="J17" s="197">
        <v>4.72</v>
      </c>
      <c r="K17" s="190">
        <v>4.84</v>
      </c>
      <c r="L17" s="192">
        <v>4.84</v>
      </c>
      <c r="M17" s="8"/>
    </row>
    <row r="18" spans="1:17" ht="15" thickBot="1" x14ac:dyDescent="0.4">
      <c r="A18" s="4" t="s">
        <v>22</v>
      </c>
      <c r="B18" s="29"/>
      <c r="C18" s="198">
        <v>4.8600000000000003</v>
      </c>
      <c r="D18" s="4">
        <v>4.8499999999999996</v>
      </c>
      <c r="E18" s="4">
        <v>4.84</v>
      </c>
      <c r="F18" s="10">
        <v>4.84</v>
      </c>
      <c r="G18" s="17">
        <v>4.8099999999999996</v>
      </c>
      <c r="H18" s="18">
        <v>4.82</v>
      </c>
      <c r="I18" s="24">
        <v>4.4000000000000004</v>
      </c>
      <c r="J18" s="4">
        <v>4.76</v>
      </c>
      <c r="K18" s="4">
        <v>4.84</v>
      </c>
      <c r="L18" s="194">
        <v>4.84</v>
      </c>
      <c r="M18" s="8"/>
      <c r="Q18" s="199"/>
    </row>
    <row r="19" spans="1:17" ht="15" thickBot="1" x14ac:dyDescent="0.4">
      <c r="A19" s="4" t="s">
        <v>23</v>
      </c>
      <c r="B19" s="29"/>
      <c r="C19" s="200">
        <v>4.8600000000000003</v>
      </c>
      <c r="D19" s="6">
        <v>4.84</v>
      </c>
      <c r="E19" s="6">
        <v>4.83</v>
      </c>
      <c r="F19" s="6">
        <v>4.84</v>
      </c>
      <c r="G19" s="201">
        <v>4.7300000000000004</v>
      </c>
      <c r="H19" s="6">
        <v>4.82</v>
      </c>
      <c r="I19" s="25">
        <v>4.43</v>
      </c>
      <c r="J19" s="6">
        <v>4.78</v>
      </c>
      <c r="K19" s="6">
        <v>4.84</v>
      </c>
      <c r="L19" s="204">
        <v>4.84</v>
      </c>
      <c r="M19" s="8"/>
    </row>
    <row r="20" spans="1:17" ht="15.5" thickTop="1" thickBot="1" x14ac:dyDescent="0.4">
      <c r="A20" s="4" t="s">
        <v>24</v>
      </c>
      <c r="B20" s="29"/>
      <c r="C20" s="219">
        <v>6.48</v>
      </c>
      <c r="D20" s="220">
        <v>4.0999999999999996</v>
      </c>
      <c r="E20" s="221">
        <v>3.96</v>
      </c>
      <c r="F20" s="207">
        <v>3.98</v>
      </c>
      <c r="G20" s="206">
        <v>3.97</v>
      </c>
      <c r="H20" s="222">
        <v>3.93</v>
      </c>
      <c r="I20" s="220">
        <v>3.86</v>
      </c>
      <c r="J20" s="221">
        <v>3.96</v>
      </c>
      <c r="K20" s="206">
        <v>5.28</v>
      </c>
      <c r="L20" s="223">
        <v>3.95</v>
      </c>
      <c r="M20" s="8"/>
    </row>
    <row r="21" spans="1:17" ht="15" thickBot="1" x14ac:dyDescent="0.4">
      <c r="A21" s="4" t="s">
        <v>25</v>
      </c>
      <c r="B21" s="29"/>
      <c r="C21" s="210">
        <v>6.44</v>
      </c>
      <c r="D21" s="22">
        <v>4.07</v>
      </c>
      <c r="E21" s="10">
        <v>3.97</v>
      </c>
      <c r="F21" s="19">
        <v>3.97</v>
      </c>
      <c r="G21" s="18">
        <v>3.96</v>
      </c>
      <c r="H21" s="4">
        <v>3.89</v>
      </c>
      <c r="I21" s="22">
        <v>3.86</v>
      </c>
      <c r="J21" s="4">
        <v>3.95</v>
      </c>
      <c r="K21" s="4">
        <v>5.27</v>
      </c>
      <c r="L21" s="224">
        <v>3.89</v>
      </c>
      <c r="M21" s="8"/>
    </row>
    <row r="22" spans="1:17" ht="15" thickBot="1" x14ac:dyDescent="0.4">
      <c r="A22" s="4" t="s">
        <v>26</v>
      </c>
      <c r="B22" s="29"/>
      <c r="C22" s="212">
        <v>6.43</v>
      </c>
      <c r="D22" s="225">
        <v>4.07</v>
      </c>
      <c r="E22" s="213">
        <v>3.95</v>
      </c>
      <c r="F22" s="226">
        <v>3.96</v>
      </c>
      <c r="G22" s="213">
        <v>3.96</v>
      </c>
      <c r="H22" s="213">
        <v>3.88</v>
      </c>
      <c r="I22" s="225">
        <v>3.85</v>
      </c>
      <c r="J22" s="213">
        <v>3.95</v>
      </c>
      <c r="K22" s="213">
        <v>5.28</v>
      </c>
      <c r="L22" s="227">
        <v>3.88</v>
      </c>
      <c r="M22" s="8"/>
    </row>
    <row r="23" spans="1:17" ht="15" thickTop="1" x14ac:dyDescent="0.35">
      <c r="A23" s="4" t="s">
        <v>27</v>
      </c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5"/>
    </row>
    <row r="24" spans="1:17" x14ac:dyDescent="0.35">
      <c r="A24" s="14" t="s">
        <v>67</v>
      </c>
      <c r="F24" s="3"/>
      <c r="G24" s="3"/>
      <c r="H24" s="3"/>
      <c r="I24" s="3"/>
      <c r="J24" s="3"/>
      <c r="K24" s="3"/>
      <c r="L24" s="3"/>
      <c r="M24" s="3"/>
    </row>
    <row r="25" spans="1:17" x14ac:dyDescent="0.35">
      <c r="A25" s="4"/>
      <c r="B25" s="4">
        <v>1</v>
      </c>
      <c r="C25" s="4" t="s">
        <v>10</v>
      </c>
      <c r="D25" s="4" t="s">
        <v>11</v>
      </c>
      <c r="E25" s="4" t="s">
        <v>12</v>
      </c>
      <c r="F25" s="4" t="s">
        <v>13</v>
      </c>
      <c r="G25" s="4" t="s">
        <v>14</v>
      </c>
      <c r="H25" s="4" t="s">
        <v>15</v>
      </c>
      <c r="I25" s="4" t="s">
        <v>16</v>
      </c>
      <c r="J25" s="4" t="s">
        <v>17</v>
      </c>
      <c r="K25" s="4" t="s">
        <v>18</v>
      </c>
      <c r="L25" s="4" t="s">
        <v>19</v>
      </c>
      <c r="M25" s="4">
        <v>12</v>
      </c>
    </row>
    <row r="26" spans="1:17" ht="15" thickBot="1" x14ac:dyDescent="0.4">
      <c r="A26" s="4" t="s">
        <v>20</v>
      </c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5"/>
    </row>
    <row r="27" spans="1:17" ht="15" thickTop="1" x14ac:dyDescent="0.35">
      <c r="A27" s="4" t="s">
        <v>21</v>
      </c>
      <c r="B27" s="29"/>
      <c r="C27" s="188">
        <v>4.79</v>
      </c>
      <c r="D27" s="190">
        <v>4.8</v>
      </c>
      <c r="E27" s="190">
        <v>4.7699999999999996</v>
      </c>
      <c r="F27" s="190">
        <v>4.78</v>
      </c>
      <c r="G27" s="190">
        <v>4.7</v>
      </c>
      <c r="H27" s="190">
        <v>4.68</v>
      </c>
      <c r="I27" s="190">
        <v>4.51</v>
      </c>
      <c r="J27" s="190">
        <v>4.42</v>
      </c>
      <c r="K27" s="190">
        <v>4.76</v>
      </c>
      <c r="L27" s="192">
        <v>4.75</v>
      </c>
      <c r="M27" s="8"/>
    </row>
    <row r="28" spans="1:17" x14ac:dyDescent="0.35">
      <c r="A28" s="4" t="s">
        <v>22</v>
      </c>
      <c r="B28" s="29"/>
      <c r="C28" s="198">
        <v>4.8</v>
      </c>
      <c r="D28" s="4">
        <v>4.8</v>
      </c>
      <c r="E28" s="4">
        <v>4.76</v>
      </c>
      <c r="F28" s="4">
        <v>4.79</v>
      </c>
      <c r="G28" s="4">
        <v>4.68</v>
      </c>
      <c r="H28" s="4">
        <v>4.67</v>
      </c>
      <c r="I28" s="4">
        <v>4.5199999999999996</v>
      </c>
      <c r="J28" s="4">
        <v>4.3899999999999997</v>
      </c>
      <c r="K28" s="4">
        <v>4.76</v>
      </c>
      <c r="L28" s="194">
        <v>4.75</v>
      </c>
      <c r="M28" s="8"/>
    </row>
    <row r="29" spans="1:17" ht="15" thickBot="1" x14ac:dyDescent="0.4">
      <c r="A29" s="4" t="s">
        <v>23</v>
      </c>
      <c r="B29" s="29"/>
      <c r="C29" s="200">
        <v>4.8</v>
      </c>
      <c r="D29" s="6">
        <v>4.8</v>
      </c>
      <c r="E29" s="6">
        <v>4.76</v>
      </c>
      <c r="F29" s="6">
        <v>4.79</v>
      </c>
      <c r="G29" s="6">
        <v>4.68</v>
      </c>
      <c r="H29" s="6">
        <v>4.68</v>
      </c>
      <c r="I29" s="6">
        <v>4.53</v>
      </c>
      <c r="J29" s="6">
        <v>4.46</v>
      </c>
      <c r="K29" s="6">
        <v>4.7699999999999996</v>
      </c>
      <c r="L29" s="204">
        <v>4.75</v>
      </c>
      <c r="M29" s="8"/>
    </row>
    <row r="30" spans="1:17" ht="15.5" thickTop="1" thickBot="1" x14ac:dyDescent="0.4">
      <c r="A30" s="4" t="s">
        <v>24</v>
      </c>
      <c r="B30" s="29"/>
      <c r="C30" s="230">
        <v>6.35</v>
      </c>
      <c r="D30" s="231">
        <v>4.99</v>
      </c>
      <c r="E30" s="232">
        <v>4.17</v>
      </c>
      <c r="F30" s="233">
        <v>4.47</v>
      </c>
      <c r="G30" s="206">
        <v>4.45</v>
      </c>
      <c r="H30" s="206">
        <v>3.95</v>
      </c>
      <c r="I30" s="206">
        <v>3.97</v>
      </c>
      <c r="J30" s="206">
        <v>3.95</v>
      </c>
      <c r="K30" s="206">
        <v>5.55</v>
      </c>
      <c r="L30" s="223">
        <v>5.24</v>
      </c>
      <c r="M30" s="8"/>
    </row>
    <row r="31" spans="1:17" ht="15" thickBot="1" x14ac:dyDescent="0.4">
      <c r="A31" s="6" t="s">
        <v>25</v>
      </c>
      <c r="B31" s="228"/>
      <c r="C31" s="234">
        <v>6.43</v>
      </c>
      <c r="D31" s="26">
        <v>5.4</v>
      </c>
      <c r="E31" s="27">
        <v>4.07</v>
      </c>
      <c r="F31" s="19">
        <v>4.41</v>
      </c>
      <c r="G31" s="28">
        <v>4.45</v>
      </c>
      <c r="H31" s="6">
        <v>3.93</v>
      </c>
      <c r="I31" s="6">
        <v>3.95</v>
      </c>
      <c r="J31" s="6">
        <v>3.97</v>
      </c>
      <c r="K31" s="6">
        <v>5.57</v>
      </c>
      <c r="L31" s="235">
        <v>5.24</v>
      </c>
      <c r="M31" s="229"/>
    </row>
    <row r="32" spans="1:17" ht="15" thickBot="1" x14ac:dyDescent="0.4">
      <c r="A32" s="4" t="s">
        <v>26</v>
      </c>
      <c r="B32" s="29"/>
      <c r="C32" s="236">
        <v>6.58</v>
      </c>
      <c r="D32" s="237">
        <v>5.43</v>
      </c>
      <c r="E32" s="238">
        <v>4.07</v>
      </c>
      <c r="F32" s="226">
        <v>4.46</v>
      </c>
      <c r="G32" s="213">
        <v>4.45</v>
      </c>
      <c r="H32" s="213" t="s">
        <v>68</v>
      </c>
      <c r="I32" s="213">
        <v>3.95</v>
      </c>
      <c r="J32" s="213">
        <v>3.97</v>
      </c>
      <c r="K32" s="213">
        <v>5.58</v>
      </c>
      <c r="L32" s="227">
        <v>5.26</v>
      </c>
      <c r="M32" s="8"/>
    </row>
    <row r="33" spans="1:13" ht="15" thickTop="1" x14ac:dyDescent="0.35">
      <c r="A33" s="4" t="s">
        <v>27</v>
      </c>
      <c r="B33" s="5"/>
      <c r="C33" s="9"/>
      <c r="D33" s="9"/>
      <c r="E33" s="9"/>
      <c r="F33" s="9"/>
      <c r="G33" s="9"/>
      <c r="H33" s="9"/>
      <c r="I33" s="9"/>
      <c r="J33" s="9"/>
      <c r="K33" s="9"/>
      <c r="L33" s="9"/>
      <c r="M33" s="5"/>
    </row>
    <row r="34" spans="1:1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30" t="s">
        <v>69</v>
      </c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14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6" spans="1:13" x14ac:dyDescent="0.35">
      <c r="A56" s="14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</sheetData>
  <mergeCells count="2">
    <mergeCell ref="O4:R4"/>
    <mergeCell ref="O7:R7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0F0E-0369-40F7-864D-F1D2EF39872E}">
  <dimension ref="A1:AE67"/>
  <sheetViews>
    <sheetView zoomScale="103" workbookViewId="0">
      <selection activeCell="M12" sqref="M12:N13"/>
    </sheetView>
  </sheetViews>
  <sheetFormatPr defaultRowHeight="14.5" x14ac:dyDescent="0.35"/>
  <cols>
    <col min="1" max="1" width="8.7265625" customWidth="1"/>
  </cols>
  <sheetData>
    <row r="1" spans="1:31" x14ac:dyDescent="0.35">
      <c r="A1" s="1" t="s">
        <v>656</v>
      </c>
    </row>
    <row r="3" spans="1:31" x14ac:dyDescent="0.35">
      <c r="A3" s="1" t="s">
        <v>28</v>
      </c>
      <c r="T3" s="1" t="s">
        <v>29</v>
      </c>
    </row>
    <row r="4" spans="1:31" x14ac:dyDescent="0.35">
      <c r="B4" t="s">
        <v>30</v>
      </c>
    </row>
    <row r="5" spans="1:31" ht="15" thickBot="1" x14ac:dyDescent="0.4">
      <c r="A5" s="11" t="s">
        <v>33</v>
      </c>
      <c r="B5" s="11">
        <v>2</v>
      </c>
      <c r="C5" s="11">
        <v>3</v>
      </c>
      <c r="D5" s="11">
        <v>4</v>
      </c>
      <c r="E5" s="11">
        <v>5</v>
      </c>
      <c r="F5" s="11">
        <v>6</v>
      </c>
      <c r="G5" s="11">
        <v>7</v>
      </c>
      <c r="H5" s="11">
        <v>8</v>
      </c>
      <c r="I5" s="11">
        <v>9</v>
      </c>
      <c r="J5" s="11">
        <v>10</v>
      </c>
      <c r="K5" s="11">
        <v>11</v>
      </c>
      <c r="T5" t="s">
        <v>31</v>
      </c>
      <c r="X5" t="s">
        <v>32</v>
      </c>
    </row>
    <row r="6" spans="1:31" ht="15.5" thickTop="1" thickBot="1" x14ac:dyDescent="0.4">
      <c r="A6" s="11" t="s">
        <v>20</v>
      </c>
      <c r="B6" s="182">
        <v>8.5400000214576721E-2</v>
      </c>
      <c r="C6" s="183">
        <v>8.190000057220459E-2</v>
      </c>
      <c r="D6" s="183">
        <v>8.2000002264976501E-2</v>
      </c>
      <c r="E6" s="183">
        <v>8.1100001931190491E-2</v>
      </c>
      <c r="F6" s="183">
        <v>9.9799998104572296E-2</v>
      </c>
      <c r="G6" s="183">
        <v>9.4800002872943878E-2</v>
      </c>
      <c r="H6" s="183">
        <v>8.9400000870227814E-2</v>
      </c>
      <c r="I6" s="183">
        <v>0.10000000149011612</v>
      </c>
      <c r="J6" s="183">
        <v>0.10849999636411667</v>
      </c>
      <c r="K6" s="184">
        <v>9.920000284910202E-2</v>
      </c>
      <c r="L6" s="1" t="s">
        <v>655</v>
      </c>
      <c r="T6" t="s">
        <v>34</v>
      </c>
      <c r="X6" t="s">
        <v>35</v>
      </c>
    </row>
    <row r="7" spans="1:31" ht="15" thickTop="1" x14ac:dyDescent="0.35">
      <c r="A7" s="11" t="s">
        <v>21</v>
      </c>
      <c r="B7" s="159">
        <v>6.2300000339746503E-2</v>
      </c>
      <c r="C7" s="160">
        <v>0.15620000660419464</v>
      </c>
      <c r="D7" s="160">
        <v>0.23319999873638153</v>
      </c>
      <c r="E7" s="160">
        <v>0.23199999332427979</v>
      </c>
      <c r="F7" s="160">
        <v>0.25369998812675476</v>
      </c>
      <c r="G7" s="160">
        <v>0.22910000383853912</v>
      </c>
      <c r="H7" s="160">
        <v>0.21209999918937683</v>
      </c>
      <c r="I7" s="160">
        <v>0.34360000491142273</v>
      </c>
      <c r="J7" s="160">
        <v>0.20080000162124634</v>
      </c>
      <c r="K7" s="161">
        <v>0.22349999845027924</v>
      </c>
      <c r="T7" t="s">
        <v>36</v>
      </c>
      <c r="X7" t="s">
        <v>37</v>
      </c>
    </row>
    <row r="8" spans="1:31" x14ac:dyDescent="0.35">
      <c r="A8" s="11" t="s">
        <v>22</v>
      </c>
      <c r="B8" s="162">
        <v>6.5399996936321259E-2</v>
      </c>
      <c r="C8">
        <v>0.15250000357627869</v>
      </c>
      <c r="D8">
        <v>0.22310000658035278</v>
      </c>
      <c r="E8">
        <v>0.19910000264644623</v>
      </c>
      <c r="F8">
        <v>0.26759999990463257</v>
      </c>
      <c r="G8">
        <v>0.23819999396800995</v>
      </c>
      <c r="H8">
        <v>0.25609999895095825</v>
      </c>
      <c r="I8">
        <v>0.29449999332427979</v>
      </c>
      <c r="J8">
        <v>0.20110000669956207</v>
      </c>
      <c r="K8" s="163">
        <v>0.22560000419616699</v>
      </c>
    </row>
    <row r="9" spans="1:31" ht="15" thickBot="1" x14ac:dyDescent="0.4">
      <c r="A9" s="11" t="s">
        <v>23</v>
      </c>
      <c r="B9" s="162">
        <v>6.3199996948242188E-2</v>
      </c>
      <c r="C9">
        <v>0.16030000150203705</v>
      </c>
      <c r="D9">
        <v>0.21490000188350677</v>
      </c>
      <c r="E9">
        <v>0.2531999945640564</v>
      </c>
      <c r="F9">
        <v>0.27110001444816589</v>
      </c>
      <c r="G9">
        <v>0.25200000405311584</v>
      </c>
      <c r="H9">
        <v>0.23090000450611115</v>
      </c>
      <c r="I9">
        <v>0.34259998798370361</v>
      </c>
      <c r="J9">
        <v>0.20100000500679016</v>
      </c>
      <c r="K9" s="163">
        <v>0.20960000157356262</v>
      </c>
      <c r="T9" t="s">
        <v>38</v>
      </c>
      <c r="U9" t="s">
        <v>39</v>
      </c>
    </row>
    <row r="10" spans="1:31" ht="15.5" thickTop="1" thickBot="1" x14ac:dyDescent="0.4">
      <c r="A10" s="11" t="s">
        <v>24</v>
      </c>
      <c r="B10" s="165">
        <v>0.12409999966621399</v>
      </c>
      <c r="C10" s="166">
        <v>0.78130000829696655</v>
      </c>
      <c r="D10" s="166">
        <v>1.1171000003814697</v>
      </c>
      <c r="E10" s="167">
        <v>0.93199998140335083</v>
      </c>
      <c r="F10" s="167">
        <v>1.3072999715805054</v>
      </c>
      <c r="G10" s="167">
        <v>1.3228000402450562</v>
      </c>
      <c r="H10" s="166">
        <v>1.3295999765396118</v>
      </c>
      <c r="I10" s="167">
        <v>1.43340003490448</v>
      </c>
      <c r="J10" s="167">
        <v>0.50950002670288086</v>
      </c>
      <c r="K10" s="168">
        <v>1.0673999786376953</v>
      </c>
      <c r="M10" s="248" t="s">
        <v>40</v>
      </c>
      <c r="N10" s="248"/>
      <c r="O10" s="248"/>
      <c r="P10" s="248"/>
    </row>
    <row r="11" spans="1:31" ht="15" thickBot="1" x14ac:dyDescent="0.4">
      <c r="A11" s="11" t="s">
        <v>25</v>
      </c>
      <c r="B11" s="169">
        <v>0.17350000143051147</v>
      </c>
      <c r="C11">
        <v>0.79610002040863037</v>
      </c>
      <c r="D11">
        <v>1.0649000406265259</v>
      </c>
      <c r="E11" s="12">
        <v>1.0647000074386597</v>
      </c>
      <c r="F11" s="158">
        <v>1.2777999639511108</v>
      </c>
      <c r="G11" s="12">
        <v>1.4275000095367432</v>
      </c>
      <c r="H11">
        <v>1.3416999578475952</v>
      </c>
      <c r="I11" s="158">
        <v>1.4170999526977539</v>
      </c>
      <c r="J11" s="12">
        <v>0.37409999966621399</v>
      </c>
      <c r="K11" s="170">
        <v>0.94040000438690186</v>
      </c>
      <c r="M11" s="246" t="s">
        <v>43</v>
      </c>
      <c r="N11" s="246"/>
      <c r="O11" s="246"/>
      <c r="P11" s="246"/>
      <c r="T11" t="s">
        <v>41</v>
      </c>
      <c r="X11" t="s">
        <v>42</v>
      </c>
    </row>
    <row r="12" spans="1:31" ht="15.5" thickTop="1" thickBot="1" x14ac:dyDescent="0.4">
      <c r="A12" s="11" t="s">
        <v>26</v>
      </c>
      <c r="B12" s="171">
        <v>0.13470000028610229</v>
      </c>
      <c r="C12" s="172">
        <v>0.73000001907348633</v>
      </c>
      <c r="D12" s="172">
        <v>1.13919997215271</v>
      </c>
      <c r="E12" s="173">
        <v>0.85119998455047607</v>
      </c>
      <c r="F12" s="174">
        <v>1.2031999826431274</v>
      </c>
      <c r="G12" s="173">
        <v>1.3040000200271606</v>
      </c>
      <c r="H12" s="172">
        <v>1.2668000459671021</v>
      </c>
      <c r="I12" s="174">
        <v>1.2477999925613403</v>
      </c>
      <c r="J12" s="173">
        <v>0.54739999771118164</v>
      </c>
      <c r="K12" s="175">
        <v>1.0915000438690186</v>
      </c>
      <c r="M12" s="159" t="s">
        <v>666</v>
      </c>
      <c r="N12" s="161"/>
    </row>
    <row r="13" spans="1:31" ht="15.5" thickTop="1" thickBot="1" x14ac:dyDescent="0.4">
      <c r="M13" s="180" t="s">
        <v>667</v>
      </c>
      <c r="N13" s="181"/>
      <c r="T13" s="13" t="s">
        <v>44</v>
      </c>
      <c r="U13" s="13"/>
      <c r="V13" s="13"/>
      <c r="W13" s="13"/>
      <c r="X13" s="13">
        <v>3</v>
      </c>
      <c r="Y13" s="13" t="s">
        <v>45</v>
      </c>
      <c r="Z13" s="13"/>
      <c r="AA13" s="13"/>
      <c r="AB13" s="13"/>
      <c r="AC13" s="13"/>
      <c r="AD13" s="13"/>
      <c r="AE13" s="13"/>
    </row>
    <row r="14" spans="1:31" ht="15" thickTop="1" x14ac:dyDescent="0.35">
      <c r="T14" s="13" t="s">
        <v>46</v>
      </c>
      <c r="U14" s="13"/>
      <c r="V14" s="13"/>
      <c r="W14" s="13"/>
      <c r="X14" s="13">
        <v>2</v>
      </c>
      <c r="Y14" s="13" t="s">
        <v>47</v>
      </c>
      <c r="Z14" s="13"/>
      <c r="AA14" s="13"/>
      <c r="AB14" s="13"/>
      <c r="AC14" s="13"/>
      <c r="AD14" s="13"/>
      <c r="AE14" s="13"/>
    </row>
    <row r="15" spans="1:31" x14ac:dyDescent="0.35">
      <c r="A15" s="1" t="s">
        <v>48</v>
      </c>
    </row>
    <row r="16" spans="1:31" x14ac:dyDescent="0.35">
      <c r="B16" t="s">
        <v>53</v>
      </c>
      <c r="T16" t="s">
        <v>49</v>
      </c>
      <c r="X16" t="s">
        <v>50</v>
      </c>
    </row>
    <row r="17" spans="1:25" ht="15" thickBot="1" x14ac:dyDescent="0.4">
      <c r="A17" s="11" t="s">
        <v>33</v>
      </c>
      <c r="B17" s="11">
        <v>2</v>
      </c>
      <c r="C17" s="11">
        <v>3</v>
      </c>
      <c r="D17" s="11">
        <v>4</v>
      </c>
      <c r="E17" s="11">
        <v>5</v>
      </c>
      <c r="F17" s="11">
        <v>6</v>
      </c>
      <c r="G17" s="11">
        <v>7</v>
      </c>
      <c r="H17" s="11">
        <v>8</v>
      </c>
      <c r="I17" s="11">
        <v>9</v>
      </c>
      <c r="J17" s="11">
        <v>10</v>
      </c>
      <c r="K17" s="11">
        <v>11</v>
      </c>
      <c r="T17" t="s">
        <v>51</v>
      </c>
      <c r="X17">
        <v>600</v>
      </c>
      <c r="Y17" t="s">
        <v>52</v>
      </c>
    </row>
    <row r="18" spans="1:25" ht="15.5" thickTop="1" thickBot="1" x14ac:dyDescent="0.4">
      <c r="A18" s="11" t="s">
        <v>21</v>
      </c>
      <c r="B18" s="159">
        <v>0.1281999945640564</v>
      </c>
      <c r="C18" s="160">
        <v>0.12809999287128448</v>
      </c>
      <c r="D18" s="160">
        <v>0.12939999997615814</v>
      </c>
      <c r="E18" s="160">
        <v>0.12790000438690186</v>
      </c>
      <c r="F18" s="160">
        <v>0.22179999947547913</v>
      </c>
      <c r="G18" s="160">
        <v>0.1500999927520752</v>
      </c>
      <c r="H18" s="164">
        <v>0.19050000607967399</v>
      </c>
      <c r="I18" s="160">
        <v>0.24070000648498535</v>
      </c>
      <c r="J18" s="160">
        <v>0.18240000307559967</v>
      </c>
      <c r="K18" s="161">
        <v>0.18150000274181366</v>
      </c>
      <c r="T18" t="s">
        <v>54</v>
      </c>
      <c r="X18">
        <v>9</v>
      </c>
      <c r="Y18" t="s">
        <v>52</v>
      </c>
    </row>
    <row r="19" spans="1:25" x14ac:dyDescent="0.35">
      <c r="A19" s="11" t="s">
        <v>22</v>
      </c>
      <c r="B19" s="162">
        <v>0.12370000034570694</v>
      </c>
      <c r="C19">
        <v>0.1242000013589859</v>
      </c>
      <c r="D19">
        <v>0.12630000710487366</v>
      </c>
      <c r="E19">
        <v>0.1265999972820282</v>
      </c>
      <c r="F19">
        <v>0.13930000364780426</v>
      </c>
      <c r="G19">
        <v>0.14100000262260437</v>
      </c>
      <c r="H19" s="158">
        <v>0.35089999437332153</v>
      </c>
      <c r="I19">
        <v>0.19979999959468842</v>
      </c>
      <c r="J19">
        <v>0.17479999363422394</v>
      </c>
      <c r="K19" s="163">
        <v>0.16889999806880951</v>
      </c>
      <c r="T19" t="s">
        <v>55</v>
      </c>
      <c r="X19">
        <v>34</v>
      </c>
    </row>
    <row r="20" spans="1:25" ht="15" thickBot="1" x14ac:dyDescent="0.4">
      <c r="A20" s="11" t="s">
        <v>23</v>
      </c>
      <c r="B20" s="162">
        <v>0.12939999997615814</v>
      </c>
      <c r="C20">
        <v>0.12669999897480011</v>
      </c>
      <c r="D20">
        <v>0.12669999897480011</v>
      </c>
      <c r="E20">
        <v>0.12680000066757202</v>
      </c>
      <c r="F20">
        <v>0.20250000059604645</v>
      </c>
      <c r="G20">
        <v>0.14180000126361847</v>
      </c>
      <c r="H20" s="158">
        <v>0.32289999723434448</v>
      </c>
      <c r="I20">
        <v>0.19059999287128448</v>
      </c>
      <c r="J20">
        <v>0.17730000615119934</v>
      </c>
      <c r="K20" s="163">
        <v>0.1687999963760376</v>
      </c>
      <c r="T20" t="s">
        <v>56</v>
      </c>
      <c r="X20">
        <v>0</v>
      </c>
      <c r="Y20" t="s">
        <v>57</v>
      </c>
    </row>
    <row r="21" spans="1:25" ht="15.5" thickTop="1" thickBot="1" x14ac:dyDescent="0.4">
      <c r="A21" s="11" t="s">
        <v>24</v>
      </c>
      <c r="B21" s="165">
        <v>0.17569999396800995</v>
      </c>
      <c r="C21" s="176">
        <v>0.63249999284744263</v>
      </c>
      <c r="D21" s="166">
        <v>0.9309999942779541</v>
      </c>
      <c r="E21" s="167">
        <v>0.92089998722076416</v>
      </c>
      <c r="F21" s="166">
        <v>0.97829997539520264</v>
      </c>
      <c r="G21" s="166">
        <v>1.1998000144958496</v>
      </c>
      <c r="H21" s="176">
        <v>1.0253000259399414</v>
      </c>
      <c r="I21" s="166">
        <v>1.177899956703186</v>
      </c>
      <c r="J21" s="166">
        <v>0.38109999895095825</v>
      </c>
      <c r="K21" s="177">
        <v>0.90149998664855957</v>
      </c>
    </row>
    <row r="22" spans="1:25" ht="15" thickBot="1" x14ac:dyDescent="0.4">
      <c r="A22" s="11" t="s">
        <v>25</v>
      </c>
      <c r="B22" s="169">
        <v>0.16990000009536743</v>
      </c>
      <c r="C22" s="158">
        <v>0.49120000004768372</v>
      </c>
      <c r="D22">
        <v>0.88330000638961792</v>
      </c>
      <c r="E22" s="12">
        <v>0.74790000915527344</v>
      </c>
      <c r="F22">
        <v>0.90520000457763672</v>
      </c>
      <c r="G22">
        <v>1.1878000497817993</v>
      </c>
      <c r="H22" s="158">
        <v>0.91869997978210449</v>
      </c>
      <c r="I22">
        <v>1.1888999938964844</v>
      </c>
      <c r="J22">
        <v>0.33869999647140503</v>
      </c>
      <c r="K22" s="178">
        <v>0.88459998369216919</v>
      </c>
    </row>
    <row r="23" spans="1:25" ht="15" thickBot="1" x14ac:dyDescent="0.4">
      <c r="A23" s="11" t="s">
        <v>26</v>
      </c>
      <c r="B23" s="171">
        <v>0.17120000720024109</v>
      </c>
      <c r="C23" s="173">
        <v>0.52780002355575562</v>
      </c>
      <c r="D23" s="172">
        <v>0.9538000226020813</v>
      </c>
      <c r="E23" s="173">
        <v>0.83880001306533813</v>
      </c>
      <c r="F23" s="172">
        <v>0.91949999332427979</v>
      </c>
      <c r="G23" s="172">
        <v>1.1794999837875366</v>
      </c>
      <c r="H23" s="173">
        <v>0.94870001077651978</v>
      </c>
      <c r="I23" s="172">
        <v>1.2343000173568726</v>
      </c>
      <c r="J23" s="172">
        <v>0.34279999136924744</v>
      </c>
      <c r="K23" s="179">
        <v>0.86269998550415039</v>
      </c>
    </row>
    <row r="24" spans="1:25" ht="15" thickTop="1" x14ac:dyDescent="0.35"/>
    <row r="26" spans="1:25" x14ac:dyDescent="0.35">
      <c r="A26" s="1" t="s">
        <v>58</v>
      </c>
    </row>
    <row r="27" spans="1:25" x14ac:dyDescent="0.35">
      <c r="B27" t="s">
        <v>59</v>
      </c>
    </row>
    <row r="28" spans="1:25" ht="15" thickBot="1" x14ac:dyDescent="0.4">
      <c r="A28" s="11" t="s">
        <v>33</v>
      </c>
      <c r="B28" s="11">
        <v>2</v>
      </c>
      <c r="C28" s="11">
        <v>3</v>
      </c>
      <c r="D28" s="11">
        <v>4</v>
      </c>
      <c r="E28" s="11">
        <v>5</v>
      </c>
      <c r="F28" s="11">
        <v>6</v>
      </c>
      <c r="G28" s="11">
        <v>7</v>
      </c>
      <c r="H28" s="11">
        <v>8</v>
      </c>
      <c r="I28" s="11">
        <v>9</v>
      </c>
      <c r="J28" s="11">
        <v>10</v>
      </c>
      <c r="K28" s="11">
        <v>11</v>
      </c>
    </row>
    <row r="29" spans="1:25" ht="15" thickTop="1" x14ac:dyDescent="0.35">
      <c r="A29" s="11" t="s">
        <v>21</v>
      </c>
      <c r="B29" s="159">
        <v>0.15039999783039093</v>
      </c>
      <c r="C29" s="160">
        <v>0.14329999685287476</v>
      </c>
      <c r="D29" s="160">
        <v>0.15919999778270721</v>
      </c>
      <c r="E29" s="160">
        <v>0.15139999985694885</v>
      </c>
      <c r="F29" s="160">
        <v>0.20039999485015869</v>
      </c>
      <c r="G29" s="160">
        <v>0.1890999972820282</v>
      </c>
      <c r="H29" s="160">
        <v>0.20290000736713409</v>
      </c>
      <c r="I29" s="160">
        <v>0.24750000238418579</v>
      </c>
      <c r="J29" s="160">
        <v>0.19490000605583191</v>
      </c>
      <c r="K29" s="161">
        <v>0.20350000262260437</v>
      </c>
    </row>
    <row r="30" spans="1:25" x14ac:dyDescent="0.35">
      <c r="A30" s="11" t="s">
        <v>22</v>
      </c>
      <c r="B30" s="162">
        <v>0.13899999856948853</v>
      </c>
      <c r="C30">
        <v>0.14079999923706055</v>
      </c>
      <c r="D30">
        <v>0.15559999644756317</v>
      </c>
      <c r="E30">
        <v>0.14020000398159027</v>
      </c>
      <c r="F30">
        <v>0.19419999420642853</v>
      </c>
      <c r="G30">
        <v>0.18889999389648438</v>
      </c>
      <c r="H30">
        <v>0.19650000333786011</v>
      </c>
      <c r="I30">
        <v>0.27059999108314514</v>
      </c>
      <c r="J30">
        <v>0.18739999830722809</v>
      </c>
      <c r="K30" s="163">
        <v>0.19779999554157257</v>
      </c>
    </row>
    <row r="31" spans="1:25" ht="15" thickBot="1" x14ac:dyDescent="0.4">
      <c r="A31" s="11" t="s">
        <v>23</v>
      </c>
      <c r="B31" s="162">
        <v>0.14699999988079071</v>
      </c>
      <c r="C31">
        <v>0.14569999277591705</v>
      </c>
      <c r="D31">
        <v>0.16120000183582306</v>
      </c>
      <c r="E31">
        <v>0.14399999380111694</v>
      </c>
      <c r="F31">
        <v>0.19850000739097595</v>
      </c>
      <c r="G31">
        <v>0.18070000410079956</v>
      </c>
      <c r="H31">
        <v>0.20329999923706055</v>
      </c>
      <c r="I31">
        <v>0.24289999902248383</v>
      </c>
      <c r="J31">
        <v>0.19720000028610229</v>
      </c>
      <c r="K31" s="163">
        <v>0.19629999995231628</v>
      </c>
    </row>
    <row r="32" spans="1:25" ht="15.5" thickTop="1" thickBot="1" x14ac:dyDescent="0.4">
      <c r="A32" s="11" t="s">
        <v>24</v>
      </c>
      <c r="B32" s="165">
        <v>0.15819999575614929</v>
      </c>
      <c r="C32" s="176">
        <v>0.60780000686645508</v>
      </c>
      <c r="D32" s="166">
        <v>1.0932999849319458</v>
      </c>
      <c r="E32" s="167">
        <v>0.94830000400543213</v>
      </c>
      <c r="F32" s="166">
        <v>0.96350002288818359</v>
      </c>
      <c r="G32" s="166">
        <v>1.1045999526977539</v>
      </c>
      <c r="H32" s="166">
        <v>1.0542999505996704</v>
      </c>
      <c r="I32" s="166">
        <v>1.3056999444961548</v>
      </c>
      <c r="J32" s="166">
        <v>0.48219999670982361</v>
      </c>
      <c r="K32" s="177">
        <v>0.55790001153945923</v>
      </c>
    </row>
    <row r="33" spans="1:11" ht="15" thickBot="1" x14ac:dyDescent="0.4">
      <c r="A33" s="11" t="s">
        <v>25</v>
      </c>
      <c r="B33" s="169">
        <v>0.15170000493526459</v>
      </c>
      <c r="C33" s="158">
        <v>0.42190000414848328</v>
      </c>
      <c r="D33">
        <v>1.1186000108718872</v>
      </c>
      <c r="E33" s="12">
        <v>1.1345000267028809</v>
      </c>
      <c r="F33">
        <v>1.0003999471664429</v>
      </c>
      <c r="G33">
        <v>1.0552999973297119</v>
      </c>
      <c r="H33">
        <v>1.1078000068664551</v>
      </c>
      <c r="I33">
        <v>1.2347999811172485</v>
      </c>
      <c r="J33">
        <v>0.47499999403953552</v>
      </c>
      <c r="K33" s="178">
        <v>0.55779999494552612</v>
      </c>
    </row>
    <row r="34" spans="1:11" ht="15" thickBot="1" x14ac:dyDescent="0.4">
      <c r="A34" s="11" t="s">
        <v>26</v>
      </c>
      <c r="B34" s="171">
        <v>0.15719999372959137</v>
      </c>
      <c r="C34" s="173">
        <v>0.43389999866485596</v>
      </c>
      <c r="D34" s="172">
        <v>1.0839999914169312</v>
      </c>
      <c r="E34" s="173">
        <v>1.0131000280380249</v>
      </c>
      <c r="F34" s="172">
        <v>0.946399986743927</v>
      </c>
      <c r="G34" s="172">
        <v>1.0772000551223755</v>
      </c>
      <c r="H34" s="172">
        <v>1.1240999698638916</v>
      </c>
      <c r="I34" s="172">
        <v>1.2175999879837036</v>
      </c>
      <c r="J34" s="172">
        <v>0.48570001125335693</v>
      </c>
      <c r="K34" s="179">
        <v>0.56150001287460327</v>
      </c>
    </row>
    <row r="35" spans="1:11" ht="15" thickTop="1" x14ac:dyDescent="0.35"/>
    <row r="38" spans="1:11" x14ac:dyDescent="0.35">
      <c r="A38" s="156" t="s">
        <v>60</v>
      </c>
      <c r="B38" s="157"/>
      <c r="C38" s="157"/>
      <c r="D38" s="157"/>
    </row>
    <row r="40" spans="1:11" x14ac:dyDescent="0.35">
      <c r="A40" s="1" t="s">
        <v>477</v>
      </c>
    </row>
    <row r="41" spans="1:11" ht="15" thickBot="1" x14ac:dyDescent="0.4">
      <c r="A41" s="11" t="s">
        <v>33</v>
      </c>
      <c r="B41" s="11">
        <v>2</v>
      </c>
      <c r="C41" s="11">
        <v>3</v>
      </c>
      <c r="D41" s="11">
        <v>4</v>
      </c>
      <c r="E41" s="11">
        <v>5</v>
      </c>
      <c r="F41" s="11">
        <v>6</v>
      </c>
      <c r="G41" s="11">
        <v>7</v>
      </c>
      <c r="H41" s="11">
        <v>8</v>
      </c>
      <c r="I41" s="11">
        <v>9</v>
      </c>
      <c r="J41" s="11">
        <v>10</v>
      </c>
      <c r="K41" s="11">
        <v>11</v>
      </c>
    </row>
    <row r="42" spans="1:11" ht="15.5" thickTop="1" thickBot="1" x14ac:dyDescent="0.4">
      <c r="A42" s="11" t="s">
        <v>20</v>
      </c>
      <c r="B42" s="185">
        <v>8.5400000214576721E-2</v>
      </c>
      <c r="C42" s="186">
        <v>8.190000057220459E-2</v>
      </c>
      <c r="D42" s="186">
        <v>8.2000002264976501E-2</v>
      </c>
      <c r="E42" s="186">
        <v>8.1100001931190491E-2</v>
      </c>
      <c r="F42" s="186">
        <v>9.9799998104572296E-2</v>
      </c>
      <c r="G42" s="186">
        <v>9.4800002872943878E-2</v>
      </c>
      <c r="H42" s="186">
        <v>8.9400000870227814E-2</v>
      </c>
      <c r="I42" s="186">
        <v>0.10000000149011612</v>
      </c>
      <c r="J42" s="186">
        <v>0.10849999636411667</v>
      </c>
      <c r="K42" s="187">
        <v>9.920000284910202E-2</v>
      </c>
    </row>
    <row r="43" spans="1:11" ht="15" thickTop="1" x14ac:dyDescent="0.35">
      <c r="A43" s="11" t="s">
        <v>21</v>
      </c>
      <c r="B43" s="159">
        <f t="shared" ref="B43:B48" si="0">B7-$B$6</f>
        <v>-2.3099999874830218E-2</v>
      </c>
      <c r="C43" s="160">
        <f t="shared" ref="C43:C48" si="1">C7-$C$6</f>
        <v>7.4300006031990051E-2</v>
      </c>
      <c r="D43" s="160">
        <f t="shared" ref="D43:D48" si="2">D7-$D$6</f>
        <v>0.15119999647140503</v>
      </c>
      <c r="E43" s="160">
        <f t="shared" ref="E43:E48" si="3">E7-$E$6</f>
        <v>0.15089999139308929</v>
      </c>
      <c r="F43" s="160">
        <f t="shared" ref="F43:F48" si="4">F7-$F$6</f>
        <v>0.15389999002218246</v>
      </c>
      <c r="G43" s="160">
        <f t="shared" ref="G43:G48" si="5">G7-$G$6</f>
        <v>0.13430000096559525</v>
      </c>
      <c r="H43" s="160">
        <f t="shared" ref="H43:H48" si="6">H7-$H$6</f>
        <v>0.12269999831914902</v>
      </c>
      <c r="I43" s="160">
        <f t="shared" ref="I43:I48" si="7">I7-$I$6</f>
        <v>0.24360000342130661</v>
      </c>
      <c r="J43" s="160">
        <f t="shared" ref="J43:J48" si="8">J7-$J$6</f>
        <v>9.2300005257129669E-2</v>
      </c>
      <c r="K43" s="161">
        <f t="shared" ref="K43:K48" si="9">K7-$K$6</f>
        <v>0.12429999560117722</v>
      </c>
    </row>
    <row r="44" spans="1:11" x14ac:dyDescent="0.35">
      <c r="A44" s="11" t="s">
        <v>22</v>
      </c>
      <c r="B44" s="162">
        <f t="shared" si="0"/>
        <v>-2.0000003278255463E-2</v>
      </c>
      <c r="C44">
        <f t="shared" si="1"/>
        <v>7.0600003004074097E-2</v>
      </c>
      <c r="D44">
        <f t="shared" si="2"/>
        <v>0.14110000431537628</v>
      </c>
      <c r="E44">
        <f t="shared" si="3"/>
        <v>0.11800000071525574</v>
      </c>
      <c r="F44">
        <f t="shared" si="4"/>
        <v>0.16780000180006027</v>
      </c>
      <c r="G44">
        <f t="shared" si="5"/>
        <v>0.14339999109506607</v>
      </c>
      <c r="H44">
        <f t="shared" si="6"/>
        <v>0.16669999808073044</v>
      </c>
      <c r="I44">
        <f t="shared" si="7"/>
        <v>0.19449999183416367</v>
      </c>
      <c r="J44">
        <f t="shared" si="8"/>
        <v>9.2600010335445404E-2</v>
      </c>
      <c r="K44" s="163">
        <f t="shared" si="9"/>
        <v>0.12640000134706497</v>
      </c>
    </row>
    <row r="45" spans="1:11" ht="15" thickBot="1" x14ac:dyDescent="0.4">
      <c r="A45" s="11" t="s">
        <v>23</v>
      </c>
      <c r="B45" s="162">
        <f t="shared" si="0"/>
        <v>-2.2200003266334534E-2</v>
      </c>
      <c r="C45">
        <f t="shared" si="1"/>
        <v>7.8400000929832458E-2</v>
      </c>
      <c r="D45">
        <f t="shared" si="2"/>
        <v>0.13289999961853027</v>
      </c>
      <c r="E45">
        <f t="shared" si="3"/>
        <v>0.17209999263286591</v>
      </c>
      <c r="F45">
        <f t="shared" si="4"/>
        <v>0.1713000163435936</v>
      </c>
      <c r="G45">
        <f t="shared" si="5"/>
        <v>0.15720000118017197</v>
      </c>
      <c r="H45">
        <f t="shared" si="6"/>
        <v>0.14150000363588333</v>
      </c>
      <c r="I45">
        <f t="shared" si="7"/>
        <v>0.24259998649358749</v>
      </c>
      <c r="J45">
        <f t="shared" si="8"/>
        <v>9.2500008642673492E-2</v>
      </c>
      <c r="K45" s="163">
        <f t="shared" si="9"/>
        <v>0.1103999987244606</v>
      </c>
    </row>
    <row r="46" spans="1:11" ht="15" thickTop="1" x14ac:dyDescent="0.35">
      <c r="A46" s="11" t="s">
        <v>24</v>
      </c>
      <c r="B46" s="165">
        <f t="shared" si="0"/>
        <v>3.8699999451637268E-2</v>
      </c>
      <c r="C46" s="166">
        <f t="shared" si="1"/>
        <v>0.69940000772476196</v>
      </c>
      <c r="D46" s="166">
        <f t="shared" si="2"/>
        <v>1.0350999981164932</v>
      </c>
      <c r="E46" s="166">
        <f t="shared" si="3"/>
        <v>0.85089997947216034</v>
      </c>
      <c r="F46" s="166">
        <f t="shared" si="4"/>
        <v>1.2074999734759331</v>
      </c>
      <c r="G46" s="166">
        <f t="shared" si="5"/>
        <v>1.2280000373721123</v>
      </c>
      <c r="H46" s="166">
        <f t="shared" si="6"/>
        <v>1.240199975669384</v>
      </c>
      <c r="I46" s="166">
        <f t="shared" si="7"/>
        <v>1.3334000334143639</v>
      </c>
      <c r="J46" s="166">
        <f t="shared" si="8"/>
        <v>0.40100003033876419</v>
      </c>
      <c r="K46" s="177">
        <f t="shared" si="9"/>
        <v>0.96819997578859329</v>
      </c>
    </row>
    <row r="47" spans="1:11" x14ac:dyDescent="0.35">
      <c r="A47" s="11" t="s">
        <v>25</v>
      </c>
      <c r="B47" s="169">
        <f t="shared" si="0"/>
        <v>8.8100001215934753E-2</v>
      </c>
      <c r="C47">
        <f t="shared" si="1"/>
        <v>0.71420001983642578</v>
      </c>
      <c r="D47">
        <f t="shared" si="2"/>
        <v>0.98290003836154938</v>
      </c>
      <c r="E47">
        <f t="shared" si="3"/>
        <v>0.98360000550746918</v>
      </c>
      <c r="F47">
        <f t="shared" si="4"/>
        <v>1.1779999658465385</v>
      </c>
      <c r="G47">
        <f t="shared" si="5"/>
        <v>1.3327000066637993</v>
      </c>
      <c r="H47">
        <f t="shared" si="6"/>
        <v>1.2522999569773674</v>
      </c>
      <c r="I47">
        <f t="shared" si="7"/>
        <v>1.3170999512076378</v>
      </c>
      <c r="J47">
        <f t="shared" si="8"/>
        <v>0.26560000330209732</v>
      </c>
      <c r="K47" s="178">
        <f t="shared" si="9"/>
        <v>0.84120000153779984</v>
      </c>
    </row>
    <row r="48" spans="1:11" ht="15" thickBot="1" x14ac:dyDescent="0.4">
      <c r="A48" s="11" t="s">
        <v>26</v>
      </c>
      <c r="B48" s="171">
        <f t="shared" si="0"/>
        <v>4.9300000071525574E-2</v>
      </c>
      <c r="C48" s="172">
        <f t="shared" si="1"/>
        <v>0.64810001850128174</v>
      </c>
      <c r="D48" s="172">
        <f t="shared" si="2"/>
        <v>1.0571999698877335</v>
      </c>
      <c r="E48" s="172">
        <f t="shared" si="3"/>
        <v>0.77009998261928558</v>
      </c>
      <c r="F48" s="172">
        <f t="shared" si="4"/>
        <v>1.1033999845385551</v>
      </c>
      <c r="G48" s="172">
        <f t="shared" si="5"/>
        <v>1.2092000171542168</v>
      </c>
      <c r="H48" s="172">
        <f t="shared" si="6"/>
        <v>1.1774000450968742</v>
      </c>
      <c r="I48" s="172">
        <f t="shared" si="7"/>
        <v>1.1477999910712242</v>
      </c>
      <c r="J48" s="172">
        <f t="shared" si="8"/>
        <v>0.43890000134706497</v>
      </c>
      <c r="K48" s="179">
        <f t="shared" si="9"/>
        <v>0.99230004101991653</v>
      </c>
    </row>
    <row r="49" spans="1:11" ht="15" thickTop="1" x14ac:dyDescent="0.35"/>
    <row r="50" spans="1:11" x14ac:dyDescent="0.35">
      <c r="A50" s="102" t="s">
        <v>478</v>
      </c>
    </row>
    <row r="51" spans="1:11" ht="15" thickBot="1" x14ac:dyDescent="0.4">
      <c r="A51" s="11" t="s">
        <v>33</v>
      </c>
      <c r="B51" s="11">
        <v>2</v>
      </c>
      <c r="C51" s="11">
        <v>3</v>
      </c>
      <c r="D51" s="11">
        <v>4</v>
      </c>
      <c r="E51" s="11">
        <v>5</v>
      </c>
      <c r="F51" s="11">
        <v>6</v>
      </c>
      <c r="G51" s="11">
        <v>7</v>
      </c>
      <c r="H51" s="11">
        <v>8</v>
      </c>
      <c r="I51" s="11">
        <v>9</v>
      </c>
      <c r="J51" s="11">
        <v>10</v>
      </c>
      <c r="K51" s="11">
        <v>11</v>
      </c>
    </row>
    <row r="52" spans="1:11" ht="15" thickTop="1" x14ac:dyDescent="0.35">
      <c r="A52" s="11" t="s">
        <v>21</v>
      </c>
      <c r="B52" s="159">
        <f t="shared" ref="B52:B57" si="10">B18-$B$6</f>
        <v>4.2799994349479675E-2</v>
      </c>
      <c r="C52" s="160">
        <f t="shared" ref="C52:C57" si="11">C18-$C$6</f>
        <v>4.6199992299079895E-2</v>
      </c>
      <c r="D52" s="160">
        <f t="shared" ref="D52:D57" si="12">D18-$D$6</f>
        <v>4.7399997711181641E-2</v>
      </c>
      <c r="E52" s="160">
        <f t="shared" ref="E52:E57" si="13">E18-$E$6</f>
        <v>4.6800002455711365E-2</v>
      </c>
      <c r="F52" s="160">
        <f t="shared" ref="F52:F57" si="14">F18-$F$6</f>
        <v>0.12200000137090683</v>
      </c>
      <c r="G52" s="160">
        <f t="shared" ref="G52:G57" si="15">G18-$G$6</f>
        <v>5.5299989879131317E-2</v>
      </c>
      <c r="H52" s="160">
        <f t="shared" ref="H52:H57" si="16">H18-$H$6</f>
        <v>0.10110000520944618</v>
      </c>
      <c r="I52" s="160">
        <f t="shared" ref="I52:I57" si="17">I18-$I$6</f>
        <v>0.14070000499486923</v>
      </c>
      <c r="J52" s="160">
        <f t="shared" ref="J52:J57" si="18">J18-$J$6</f>
        <v>7.3900006711483002E-2</v>
      </c>
      <c r="K52" s="161">
        <f t="shared" ref="K52:K57" si="19">K18-$K$6</f>
        <v>8.2299999892711639E-2</v>
      </c>
    </row>
    <row r="53" spans="1:11" x14ac:dyDescent="0.35">
      <c r="A53" s="11" t="s">
        <v>22</v>
      </c>
      <c r="B53" s="162">
        <f t="shared" si="10"/>
        <v>3.8300000131130219E-2</v>
      </c>
      <c r="C53">
        <f t="shared" si="11"/>
        <v>4.2300000786781311E-2</v>
      </c>
      <c r="D53">
        <f t="shared" si="12"/>
        <v>4.4300004839897156E-2</v>
      </c>
      <c r="E53">
        <f t="shared" si="13"/>
        <v>4.5499995350837708E-2</v>
      </c>
      <c r="F53">
        <f t="shared" si="14"/>
        <v>3.9500005543231964E-2</v>
      </c>
      <c r="G53">
        <f t="shared" si="15"/>
        <v>4.6199999749660492E-2</v>
      </c>
      <c r="H53">
        <f t="shared" si="16"/>
        <v>0.26149999350309372</v>
      </c>
      <c r="I53">
        <f t="shared" si="17"/>
        <v>9.9799998104572296E-2</v>
      </c>
      <c r="J53">
        <f t="shared" si="18"/>
        <v>6.6299997270107269E-2</v>
      </c>
      <c r="K53" s="163">
        <f t="shared" si="19"/>
        <v>6.9699995219707489E-2</v>
      </c>
    </row>
    <row r="54" spans="1:11" ht="15" thickBot="1" x14ac:dyDescent="0.4">
      <c r="A54" s="11" t="s">
        <v>23</v>
      </c>
      <c r="B54" s="162">
        <f t="shared" si="10"/>
        <v>4.3999999761581421E-2</v>
      </c>
      <c r="C54">
        <f t="shared" si="11"/>
        <v>4.479999840259552E-2</v>
      </c>
      <c r="D54">
        <f t="shared" si="12"/>
        <v>4.4699996709823608E-2</v>
      </c>
      <c r="E54">
        <f t="shared" si="13"/>
        <v>4.5699998736381531E-2</v>
      </c>
      <c r="F54">
        <f t="shared" si="14"/>
        <v>0.10270000249147415</v>
      </c>
      <c r="G54">
        <f t="shared" si="15"/>
        <v>4.6999998390674591E-2</v>
      </c>
      <c r="H54">
        <f t="shared" si="16"/>
        <v>0.23349999636411667</v>
      </c>
      <c r="I54">
        <f t="shared" si="17"/>
        <v>9.0599991381168365E-2</v>
      </c>
      <c r="J54">
        <f t="shared" si="18"/>
        <v>6.8800009787082672E-2</v>
      </c>
      <c r="K54" s="163">
        <f t="shared" si="19"/>
        <v>6.9599993526935577E-2</v>
      </c>
    </row>
    <row r="55" spans="1:11" ht="15" thickTop="1" x14ac:dyDescent="0.35">
      <c r="A55" s="11" t="s">
        <v>24</v>
      </c>
      <c r="B55" s="165">
        <f t="shared" si="10"/>
        <v>9.0299993753433228E-2</v>
      </c>
      <c r="C55" s="166">
        <f t="shared" si="11"/>
        <v>0.55059999227523804</v>
      </c>
      <c r="D55" s="166">
        <f t="shared" si="12"/>
        <v>0.8489999920129776</v>
      </c>
      <c r="E55" s="166">
        <f t="shared" si="13"/>
        <v>0.83979998528957367</v>
      </c>
      <c r="F55" s="166">
        <f t="shared" si="14"/>
        <v>0.87849997729063034</v>
      </c>
      <c r="G55" s="166">
        <f t="shared" si="15"/>
        <v>1.1050000116229057</v>
      </c>
      <c r="H55" s="166">
        <f t="shared" si="16"/>
        <v>0.93590002506971359</v>
      </c>
      <c r="I55" s="166">
        <f t="shared" si="17"/>
        <v>1.0778999552130699</v>
      </c>
      <c r="J55" s="166">
        <f t="shared" si="18"/>
        <v>0.27260000258684158</v>
      </c>
      <c r="K55" s="177">
        <f t="shared" si="19"/>
        <v>0.80229998379945755</v>
      </c>
    </row>
    <row r="56" spans="1:11" x14ac:dyDescent="0.35">
      <c r="A56" s="11" t="s">
        <v>25</v>
      </c>
      <c r="B56" s="169">
        <f t="shared" si="10"/>
        <v>8.449999988079071E-2</v>
      </c>
      <c r="C56">
        <f t="shared" si="11"/>
        <v>0.40929999947547913</v>
      </c>
      <c r="D56">
        <f t="shared" si="12"/>
        <v>0.80130000412464142</v>
      </c>
      <c r="E56">
        <f t="shared" si="13"/>
        <v>0.66680000722408295</v>
      </c>
      <c r="F56">
        <f t="shared" si="14"/>
        <v>0.80540000647306442</v>
      </c>
      <c r="G56">
        <f t="shared" si="15"/>
        <v>1.0930000469088554</v>
      </c>
      <c r="H56">
        <f t="shared" si="16"/>
        <v>0.82929997891187668</v>
      </c>
      <c r="I56">
        <f t="shared" si="17"/>
        <v>1.0888999924063683</v>
      </c>
      <c r="J56">
        <f t="shared" si="18"/>
        <v>0.23020000010728836</v>
      </c>
      <c r="K56" s="178">
        <f t="shared" si="19"/>
        <v>0.78539998084306717</v>
      </c>
    </row>
    <row r="57" spans="1:11" ht="15" thickBot="1" x14ac:dyDescent="0.4">
      <c r="A57" s="11" t="s">
        <v>26</v>
      </c>
      <c r="B57" s="171">
        <f t="shared" si="10"/>
        <v>8.5800006985664368E-2</v>
      </c>
      <c r="C57" s="172">
        <f t="shared" si="11"/>
        <v>0.44590002298355103</v>
      </c>
      <c r="D57" s="172">
        <f t="shared" si="12"/>
        <v>0.8718000203371048</v>
      </c>
      <c r="E57" s="172">
        <f t="shared" si="13"/>
        <v>0.75770001113414764</v>
      </c>
      <c r="F57" s="172">
        <f t="shared" si="14"/>
        <v>0.81969999521970749</v>
      </c>
      <c r="G57" s="172">
        <f t="shared" si="15"/>
        <v>1.0846999809145927</v>
      </c>
      <c r="H57" s="172">
        <f t="shared" si="16"/>
        <v>0.85930000990629196</v>
      </c>
      <c r="I57" s="172">
        <f t="shared" si="17"/>
        <v>1.1343000158667564</v>
      </c>
      <c r="J57" s="172">
        <f t="shared" si="18"/>
        <v>0.23429999500513077</v>
      </c>
      <c r="K57" s="179">
        <f t="shared" si="19"/>
        <v>0.76349998265504837</v>
      </c>
    </row>
    <row r="58" spans="1:11" ht="15" thickTop="1" x14ac:dyDescent="0.35"/>
    <row r="59" spans="1:11" x14ac:dyDescent="0.35">
      <c r="A59" s="102" t="s">
        <v>479</v>
      </c>
    </row>
    <row r="60" spans="1:11" ht="15" thickBot="1" x14ac:dyDescent="0.4">
      <c r="A60" s="11" t="s">
        <v>33</v>
      </c>
      <c r="B60" s="11">
        <v>2</v>
      </c>
      <c r="C60" s="11">
        <v>3</v>
      </c>
      <c r="D60" s="11">
        <v>4</v>
      </c>
      <c r="E60" s="11">
        <v>5</v>
      </c>
      <c r="F60" s="11">
        <v>6</v>
      </c>
      <c r="G60" s="11">
        <v>7</v>
      </c>
      <c r="H60" s="11">
        <v>8</v>
      </c>
      <c r="I60" s="11">
        <v>9</v>
      </c>
      <c r="J60" s="11">
        <v>10</v>
      </c>
      <c r="K60" s="11">
        <v>11</v>
      </c>
    </row>
    <row r="61" spans="1:11" ht="15" thickTop="1" x14ac:dyDescent="0.35">
      <c r="A61" s="11" t="s">
        <v>21</v>
      </c>
      <c r="B61" s="159">
        <f>B29-$B$6</f>
        <v>6.4999997615814209E-2</v>
      </c>
      <c r="C61" s="160">
        <f>C29-$C$6</f>
        <v>6.1399996280670166E-2</v>
      </c>
      <c r="D61" s="160">
        <f>D29-$D$6</f>
        <v>7.7199995517730713E-2</v>
      </c>
      <c r="E61" s="160">
        <f>E29-$E$6</f>
        <v>7.0299997925758362E-2</v>
      </c>
      <c r="F61" s="160">
        <f>F29-$F$6</f>
        <v>0.1005999967455864</v>
      </c>
      <c r="G61" s="160">
        <f>G29-$G$6</f>
        <v>9.429999440908432E-2</v>
      </c>
      <c r="H61" s="160">
        <f>H29-$H$6</f>
        <v>0.11350000649690628</v>
      </c>
      <c r="I61" s="160">
        <f>I29-$I$6</f>
        <v>0.14750000089406967</v>
      </c>
      <c r="J61" s="160">
        <f>J29-$J$6</f>
        <v>8.640000969171524E-2</v>
      </c>
      <c r="K61" s="161">
        <f>K29-$K$6</f>
        <v>0.10429999977350235</v>
      </c>
    </row>
    <row r="62" spans="1:11" x14ac:dyDescent="0.35">
      <c r="A62" s="11" t="s">
        <v>22</v>
      </c>
      <c r="B62" s="162">
        <f t="shared" ref="B62:B66" si="20">B30-$B$6</f>
        <v>5.3599998354911804E-2</v>
      </c>
      <c r="C62">
        <f t="shared" ref="C62:C66" si="21">C30-$C$6</f>
        <v>5.8899998664855957E-2</v>
      </c>
      <c r="D62">
        <f t="shared" ref="D62:D66" si="22">D30-$D$6</f>
        <v>7.359999418258667E-2</v>
      </c>
      <c r="E62">
        <f t="shared" ref="E62:E66" si="23">E30-$E$6</f>
        <v>5.910000205039978E-2</v>
      </c>
      <c r="F62">
        <f t="shared" ref="F62:F66" si="24">F30-$F$6</f>
        <v>9.4399996101856232E-2</v>
      </c>
      <c r="G62">
        <f t="shared" ref="G62:G66" si="25">G30-$G$6</f>
        <v>9.4099991023540497E-2</v>
      </c>
      <c r="H62">
        <f t="shared" ref="H62:H66" si="26">H30-$H$6</f>
        <v>0.10710000246763229</v>
      </c>
      <c r="I62">
        <f t="shared" ref="I62:I66" si="27">I30-$I$6</f>
        <v>0.17059998959302902</v>
      </c>
      <c r="J62">
        <f t="shared" ref="J62:J66" si="28">J30-$J$6</f>
        <v>7.890000194311142E-2</v>
      </c>
      <c r="K62" s="163">
        <f t="shared" ref="K62:K66" si="29">K30-$K$6</f>
        <v>9.8599992692470551E-2</v>
      </c>
    </row>
    <row r="63" spans="1:11" ht="15" thickBot="1" x14ac:dyDescent="0.4">
      <c r="A63" s="11" t="s">
        <v>23</v>
      </c>
      <c r="B63" s="162">
        <f t="shared" si="20"/>
        <v>6.1599999666213989E-2</v>
      </c>
      <c r="C63">
        <f t="shared" si="21"/>
        <v>6.3799992203712463E-2</v>
      </c>
      <c r="D63">
        <f t="shared" si="22"/>
        <v>7.9199999570846558E-2</v>
      </c>
      <c r="E63">
        <f t="shared" si="23"/>
        <v>6.2899991869926453E-2</v>
      </c>
      <c r="F63">
        <f t="shared" si="24"/>
        <v>9.8700009286403656E-2</v>
      </c>
      <c r="G63">
        <f t="shared" si="25"/>
        <v>8.5900001227855682E-2</v>
      </c>
      <c r="H63">
        <f t="shared" si="26"/>
        <v>0.11389999836683273</v>
      </c>
      <c r="I63">
        <f t="shared" si="27"/>
        <v>0.14289999753236771</v>
      </c>
      <c r="J63">
        <f t="shared" si="28"/>
        <v>8.8700003921985626E-2</v>
      </c>
      <c r="K63" s="163">
        <f t="shared" si="29"/>
        <v>9.7099997103214264E-2</v>
      </c>
    </row>
    <row r="64" spans="1:11" ht="15" thickTop="1" x14ac:dyDescent="0.35">
      <c r="A64" s="11" t="s">
        <v>24</v>
      </c>
      <c r="B64" s="165">
        <f t="shared" si="20"/>
        <v>7.2799995541572571E-2</v>
      </c>
      <c r="C64" s="166">
        <f t="shared" si="21"/>
        <v>0.52590000629425049</v>
      </c>
      <c r="D64" s="166">
        <f t="shared" si="22"/>
        <v>1.0112999826669693</v>
      </c>
      <c r="E64" s="166">
        <f t="shared" si="23"/>
        <v>0.86720000207424164</v>
      </c>
      <c r="F64" s="166">
        <f t="shared" si="24"/>
        <v>0.8637000247836113</v>
      </c>
      <c r="G64" s="166">
        <f t="shared" si="25"/>
        <v>1.00979994982481</v>
      </c>
      <c r="H64" s="166">
        <f t="shared" si="26"/>
        <v>0.9648999497294426</v>
      </c>
      <c r="I64" s="166">
        <f t="shared" si="27"/>
        <v>1.2056999430060387</v>
      </c>
      <c r="J64" s="166">
        <f t="shared" si="28"/>
        <v>0.37370000034570694</v>
      </c>
      <c r="K64" s="177">
        <f t="shared" si="29"/>
        <v>0.45870000869035721</v>
      </c>
    </row>
    <row r="65" spans="1:11" x14ac:dyDescent="0.35">
      <c r="A65" s="11" t="s">
        <v>25</v>
      </c>
      <c r="B65" s="169">
        <f t="shared" si="20"/>
        <v>6.6300004720687866E-2</v>
      </c>
      <c r="C65">
        <f t="shared" si="21"/>
        <v>0.34000000357627869</v>
      </c>
      <c r="D65">
        <f t="shared" si="22"/>
        <v>1.0366000086069107</v>
      </c>
      <c r="E65">
        <f t="shared" si="23"/>
        <v>1.0534000247716904</v>
      </c>
      <c r="F65">
        <f t="shared" si="24"/>
        <v>0.90059994906187057</v>
      </c>
      <c r="G65">
        <f t="shared" si="25"/>
        <v>0.96049999445676804</v>
      </c>
      <c r="H65">
        <f t="shared" si="26"/>
        <v>1.0184000059962273</v>
      </c>
      <c r="I65">
        <f t="shared" si="27"/>
        <v>1.1347999796271324</v>
      </c>
      <c r="J65">
        <f t="shared" si="28"/>
        <v>0.36649999767541885</v>
      </c>
      <c r="K65" s="178">
        <f t="shared" si="29"/>
        <v>0.4585999920964241</v>
      </c>
    </row>
    <row r="66" spans="1:11" ht="15" thickBot="1" x14ac:dyDescent="0.4">
      <c r="A66" s="11" t="s">
        <v>26</v>
      </c>
      <c r="B66" s="171">
        <f t="shared" si="20"/>
        <v>7.1799993515014648E-2</v>
      </c>
      <c r="C66" s="172">
        <f t="shared" si="21"/>
        <v>0.35199999809265137</v>
      </c>
      <c r="D66" s="172">
        <f t="shared" si="22"/>
        <v>1.0019999891519547</v>
      </c>
      <c r="E66" s="172">
        <f t="shared" si="23"/>
        <v>0.93200002610683441</v>
      </c>
      <c r="F66" s="172">
        <f t="shared" si="24"/>
        <v>0.84659998863935471</v>
      </c>
      <c r="G66" s="172">
        <f t="shared" si="25"/>
        <v>0.98240005224943161</v>
      </c>
      <c r="H66" s="172">
        <f t="shared" si="26"/>
        <v>1.0346999689936638</v>
      </c>
      <c r="I66" s="172">
        <f t="shared" si="27"/>
        <v>1.1175999864935875</v>
      </c>
      <c r="J66" s="172">
        <f t="shared" si="28"/>
        <v>0.37720001488924026</v>
      </c>
      <c r="K66" s="179">
        <f t="shared" si="29"/>
        <v>0.46230001002550125</v>
      </c>
    </row>
    <row r="67" spans="1:11" ht="15" thickTop="1" x14ac:dyDescent="0.35"/>
  </sheetData>
  <mergeCells count="2">
    <mergeCell ref="M10:P10"/>
    <mergeCell ref="M11:P1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AC17-E489-400D-9686-D5987A85AE72}">
  <dimension ref="A1:AA63"/>
  <sheetViews>
    <sheetView topLeftCell="A135" zoomScale="72" workbookViewId="0">
      <selection activeCell="N12" sqref="N12"/>
    </sheetView>
  </sheetViews>
  <sheetFormatPr defaultRowHeight="14.5" x14ac:dyDescent="0.35"/>
  <cols>
    <col min="1" max="1" width="8.7265625" customWidth="1"/>
  </cols>
  <sheetData>
    <row r="1" spans="1:17" x14ac:dyDescent="0.35">
      <c r="A1" s="1" t="s">
        <v>658</v>
      </c>
    </row>
    <row r="3" spans="1:17" x14ac:dyDescent="0.35">
      <c r="A3" s="1" t="s">
        <v>142</v>
      </c>
    </row>
    <row r="4" spans="1:17" x14ac:dyDescent="0.35">
      <c r="A4" s="1" t="s">
        <v>140</v>
      </c>
    </row>
    <row r="5" spans="1:17" x14ac:dyDescent="0.35">
      <c r="A5" s="31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1">
        <v>10</v>
      </c>
      <c r="L5" s="33">
        <v>11</v>
      </c>
      <c r="M5" s="33">
        <v>12</v>
      </c>
      <c r="Q5" s="15"/>
    </row>
    <row r="6" spans="1:17" ht="15.5" x14ac:dyDescent="0.35">
      <c r="A6" s="31" t="s">
        <v>20</v>
      </c>
      <c r="B6" s="34">
        <v>2.3273711428607191</v>
      </c>
      <c r="C6" s="34">
        <v>1.9691083872381561</v>
      </c>
      <c r="D6" s="34">
        <v>6.3399140058334265</v>
      </c>
      <c r="E6" s="34">
        <v>2.4678663411440773</v>
      </c>
      <c r="F6" s="34">
        <v>27.259649030225447</v>
      </c>
      <c r="G6" s="34">
        <v>6.1024771207345516</v>
      </c>
      <c r="H6" s="34">
        <v>2.3582800864830582</v>
      </c>
      <c r="I6" s="34">
        <v>11.106916083587766</v>
      </c>
      <c r="J6" s="34">
        <v>3.9079421235484979</v>
      </c>
      <c r="K6" s="35">
        <v>3.7786865411278083</v>
      </c>
      <c r="L6" s="36">
        <v>-1.4322803632019436</v>
      </c>
      <c r="M6" s="36">
        <v>-1.7512044633051664</v>
      </c>
      <c r="Q6" s="15"/>
    </row>
    <row r="7" spans="1:17" ht="15.5" x14ac:dyDescent="0.35">
      <c r="A7" s="31" t="s">
        <v>21</v>
      </c>
      <c r="B7" s="37">
        <v>21.951740439080176</v>
      </c>
      <c r="C7" s="37">
        <v>35.096471190471163</v>
      </c>
      <c r="D7" s="37">
        <v>49.585740989433887</v>
      </c>
      <c r="E7" s="37">
        <v>65.456078587522015</v>
      </c>
      <c r="F7" s="37">
        <v>92.907435380107358</v>
      </c>
      <c r="G7" s="37">
        <v>33.250364285027842</v>
      </c>
      <c r="H7" s="37">
        <v>36.778198713922961</v>
      </c>
      <c r="I7" s="37">
        <v>37.633814471468604</v>
      </c>
      <c r="J7" s="37">
        <v>25.073543744936394</v>
      </c>
      <c r="K7" s="38">
        <v>30.665252636614049</v>
      </c>
      <c r="L7" s="39">
        <v>-1.7512044633051664</v>
      </c>
      <c r="M7" s="39">
        <v>-1.7526094152880001</v>
      </c>
      <c r="Q7" s="15"/>
    </row>
    <row r="8" spans="1:17" ht="15.5" x14ac:dyDescent="0.35">
      <c r="A8" s="31" t="s">
        <v>22</v>
      </c>
      <c r="B8" s="40">
        <v>-0.47972291884077567</v>
      </c>
      <c r="C8" s="40">
        <v>-0.76492817135599256</v>
      </c>
      <c r="D8" s="40">
        <v>-0.79864701894399848</v>
      </c>
      <c r="E8" s="40">
        <v>-0.79302721101266416</v>
      </c>
      <c r="F8" s="40">
        <v>0.89572507235330012</v>
      </c>
      <c r="G8" s="40">
        <v>-0.53170614220561818</v>
      </c>
      <c r="H8" s="40">
        <v>0.48407414138306093</v>
      </c>
      <c r="I8" s="40">
        <v>-0.20856718615389458</v>
      </c>
      <c r="J8" s="40">
        <v>-0.64269734884947105</v>
      </c>
      <c r="K8" s="41">
        <v>-0.40104560780209508</v>
      </c>
      <c r="L8" s="39">
        <v>-1.7526094152880001</v>
      </c>
      <c r="M8" s="39">
        <v>-1.7526094152880001</v>
      </c>
      <c r="Q8" s="15"/>
    </row>
    <row r="9" spans="1:17" ht="15.5" x14ac:dyDescent="0.35">
      <c r="A9" s="31" t="s">
        <v>23</v>
      </c>
      <c r="B9" s="42">
        <v>19.550677500417589</v>
      </c>
      <c r="C9" s="42">
        <v>5.7709084527858261</v>
      </c>
      <c r="D9" s="42">
        <v>20.455466577362415</v>
      </c>
      <c r="E9" s="42">
        <v>19.486049709207244</v>
      </c>
      <c r="F9" s="42">
        <v>22.118929725037376</v>
      </c>
      <c r="G9" s="42">
        <v>0.96597267149497923</v>
      </c>
      <c r="H9" s="42">
        <v>1.030600462705324</v>
      </c>
      <c r="I9" s="42">
        <v>11.08865170781093</v>
      </c>
      <c r="J9" s="42">
        <v>5.562975559326456</v>
      </c>
      <c r="K9" s="43">
        <v>4.6441369625532944</v>
      </c>
      <c r="L9" s="39">
        <v>-1.7497995113223328</v>
      </c>
      <c r="M9" s="39">
        <v>-1.7483945593394994</v>
      </c>
      <c r="Q9" s="15"/>
    </row>
    <row r="10" spans="1:17" ht="15.5" x14ac:dyDescent="0.35">
      <c r="A10" s="31" t="s">
        <v>24</v>
      </c>
      <c r="B10" s="44">
        <v>2.6210061072729376</v>
      </c>
      <c r="C10" s="44">
        <v>2.8078647209898038</v>
      </c>
      <c r="D10" s="44">
        <v>4.9349620229998461</v>
      </c>
      <c r="E10" s="44">
        <v>3.2560444035137164</v>
      </c>
      <c r="F10" s="44">
        <v>12.333439164601483</v>
      </c>
      <c r="G10" s="44">
        <v>11.143444835141441</v>
      </c>
      <c r="H10" s="44">
        <v>23.390411269501765</v>
      </c>
      <c r="I10" s="44">
        <v>23.015289090085197</v>
      </c>
      <c r="J10" s="44">
        <v>2.6013367795132676</v>
      </c>
      <c r="K10" s="45">
        <v>3.5960427833594428</v>
      </c>
      <c r="L10" s="39">
        <v>-1.7427747514081648</v>
      </c>
      <c r="M10" s="39">
        <v>-1.7497995113223328</v>
      </c>
      <c r="Q10" s="15"/>
    </row>
    <row r="11" spans="1:17" ht="15.5" x14ac:dyDescent="0.35">
      <c r="A11" s="31" t="s">
        <v>25</v>
      </c>
      <c r="B11" s="46">
        <v>35.775062998179784</v>
      </c>
      <c r="C11" s="46">
        <v>63.879722462782738</v>
      </c>
      <c r="D11" s="46">
        <v>35.165313837630009</v>
      </c>
      <c r="E11" s="46">
        <v>40.509751180328948</v>
      </c>
      <c r="F11" s="46">
        <v>49.685492580215069</v>
      </c>
      <c r="G11" s="46">
        <v>39.604962103384125</v>
      </c>
      <c r="H11" s="46">
        <v>29.531456386467347</v>
      </c>
      <c r="I11" s="46">
        <v>15.387804775281689</v>
      </c>
      <c r="J11" s="46">
        <v>134.37178324947482</v>
      </c>
      <c r="K11" s="47">
        <v>134.27203165869363</v>
      </c>
      <c r="L11" s="39">
        <v>-1.7497995113223328</v>
      </c>
      <c r="M11" s="39">
        <v>-1.7512044633051664</v>
      </c>
      <c r="Q11" s="15"/>
    </row>
    <row r="12" spans="1:17" ht="15.5" x14ac:dyDescent="0.35">
      <c r="A12" s="31" t="s">
        <v>26</v>
      </c>
      <c r="B12" s="48">
        <v>6.202228711515736</v>
      </c>
      <c r="C12" s="48">
        <v>4.8450450960984961</v>
      </c>
      <c r="D12" s="49">
        <v>13.304260984739487</v>
      </c>
      <c r="E12" s="49">
        <v>11.682946396549536</v>
      </c>
      <c r="F12" s="50">
        <v>50.774330366911087</v>
      </c>
      <c r="G12" s="50">
        <v>47.823931202960573</v>
      </c>
      <c r="H12" s="39">
        <v>-0.79864701894399848</v>
      </c>
      <c r="I12" s="39">
        <v>-0.84360548239467315</v>
      </c>
      <c r="J12" s="51">
        <v>28.445428503736991</v>
      </c>
      <c r="K12" s="51">
        <v>31.518058490194033</v>
      </c>
      <c r="L12" s="52">
        <v>-1.7526094152880001</v>
      </c>
      <c r="M12" s="52">
        <v>-1.7512044633051664</v>
      </c>
    </row>
    <row r="13" spans="1:17" ht="15.5" x14ac:dyDescent="0.35">
      <c r="A13" s="31" t="s">
        <v>27</v>
      </c>
      <c r="B13" s="39">
        <v>-1.7245103756313283</v>
      </c>
      <c r="C13" s="39">
        <v>-1.6697172483008189</v>
      </c>
      <c r="D13" s="39">
        <v>-1.7455846553738321</v>
      </c>
      <c r="E13" s="39">
        <v>-1.7469896073566658</v>
      </c>
      <c r="F13" s="39">
        <v>-1.7427747514081648</v>
      </c>
      <c r="G13" s="39">
        <v>-1.7160806637343269</v>
      </c>
      <c r="H13" s="39">
        <v>-1.7343450395111635</v>
      </c>
      <c r="I13" s="39">
        <v>-1.7413697994253314</v>
      </c>
      <c r="J13" s="53">
        <v>11.666086972755533</v>
      </c>
      <c r="K13" s="53">
        <v>8.1579218716200792</v>
      </c>
      <c r="L13" s="39">
        <v>-1.7497995113223328</v>
      </c>
      <c r="M13" s="39">
        <v>-1.7483945593394994</v>
      </c>
    </row>
    <row r="15" spans="1:17" x14ac:dyDescent="0.35">
      <c r="A15" s="54" t="s">
        <v>141</v>
      </c>
    </row>
    <row r="16" spans="1:17" x14ac:dyDescent="0.35">
      <c r="A16" s="31"/>
      <c r="B16" s="31">
        <v>1</v>
      </c>
      <c r="C16" s="31">
        <v>2</v>
      </c>
      <c r="D16" s="31">
        <v>3</v>
      </c>
      <c r="E16" s="31">
        <v>4</v>
      </c>
      <c r="F16" s="31">
        <v>5</v>
      </c>
      <c r="G16" s="31">
        <v>6</v>
      </c>
      <c r="H16" s="31">
        <v>7</v>
      </c>
      <c r="I16" s="31">
        <v>8</v>
      </c>
      <c r="J16" s="31">
        <v>9</v>
      </c>
      <c r="K16" s="31">
        <v>10</v>
      </c>
      <c r="L16" s="33">
        <v>11</v>
      </c>
      <c r="M16" s="33">
        <v>12</v>
      </c>
    </row>
    <row r="17" spans="1:13" ht="15.5" x14ac:dyDescent="0.35">
      <c r="A17" s="31" t="s">
        <v>20</v>
      </c>
      <c r="B17" s="34">
        <v>-0.50641700651461374</v>
      </c>
      <c r="C17" s="34">
        <v>-0.71715980393965084</v>
      </c>
      <c r="D17" s="34">
        <v>-0.64269734884947105</v>
      </c>
      <c r="E17" s="34">
        <v>-0.60757354927863161</v>
      </c>
      <c r="F17" s="34">
        <v>-7.0881891836203526E-2</v>
      </c>
      <c r="G17" s="34">
        <v>-0.75790341144182471</v>
      </c>
      <c r="H17" s="34">
        <v>-0.57806955763912626</v>
      </c>
      <c r="I17" s="34">
        <v>1.640349623255098</v>
      </c>
      <c r="J17" s="34">
        <v>-0.67922610040314424</v>
      </c>
      <c r="K17" s="35">
        <v>8.9282634206824585E-2</v>
      </c>
      <c r="L17" s="36">
        <v>-1.7750886470133374</v>
      </c>
      <c r="M17" s="36">
        <v>-1.7750886470133374</v>
      </c>
    </row>
    <row r="18" spans="1:13" ht="15.5" x14ac:dyDescent="0.35">
      <c r="A18" s="31" t="s">
        <v>21</v>
      </c>
      <c r="B18" s="37">
        <v>-0.18749290641139083</v>
      </c>
      <c r="C18" s="37">
        <v>0.44754538982938774</v>
      </c>
      <c r="D18" s="37">
        <v>0.96456771951214559</v>
      </c>
      <c r="E18" s="37">
        <v>1.4619207214352332</v>
      </c>
      <c r="F18" s="37">
        <v>2.5198495645089198</v>
      </c>
      <c r="G18" s="37">
        <v>0.29300067171769384</v>
      </c>
      <c r="H18" s="37">
        <v>0.39275226249887818</v>
      </c>
      <c r="I18" s="37">
        <v>3.2925731550673896</v>
      </c>
      <c r="J18" s="37">
        <v>0.1272163377433313</v>
      </c>
      <c r="K18" s="38">
        <v>0.3421739911168693</v>
      </c>
      <c r="L18" s="39">
        <v>-1.7750886470133374</v>
      </c>
      <c r="M18" s="39">
        <v>-1.7750886470133374</v>
      </c>
    </row>
    <row r="19" spans="1:13" ht="15.5" x14ac:dyDescent="0.35">
      <c r="A19" s="31" t="s">
        <v>22</v>
      </c>
      <c r="B19" s="40">
        <v>-0.75649845945899108</v>
      </c>
      <c r="C19" s="40">
        <v>-0.80988663480666712</v>
      </c>
      <c r="D19" s="40">
        <v>-0.8042668268753328</v>
      </c>
      <c r="E19" s="40">
        <v>-0.79724206696116506</v>
      </c>
      <c r="F19" s="40">
        <v>-0.78881235506416347</v>
      </c>
      <c r="G19" s="40">
        <v>-0.81410149075516802</v>
      </c>
      <c r="H19" s="40">
        <v>-0.77335788325299415</v>
      </c>
      <c r="I19" s="40">
        <v>-0.7480687475619896</v>
      </c>
      <c r="J19" s="40">
        <v>-0.80286187489249927</v>
      </c>
      <c r="K19" s="41">
        <v>-0.74947369954482324</v>
      </c>
      <c r="L19" s="39">
        <v>-1.7750886470133374</v>
      </c>
      <c r="M19" s="39">
        <v>-1.7750886470133374</v>
      </c>
    </row>
    <row r="20" spans="1:13" ht="15.5" x14ac:dyDescent="0.35">
      <c r="A20" s="31" t="s">
        <v>23</v>
      </c>
      <c r="B20" s="42">
        <v>-0.11865025925254535</v>
      </c>
      <c r="C20" s="42">
        <v>-0.5612101338451233</v>
      </c>
      <c r="D20" s="42">
        <v>-0.21278204210239537</v>
      </c>
      <c r="E20" s="42">
        <v>-8.2121507698872276E-2</v>
      </c>
      <c r="F20" s="42">
        <v>-4.8402660110866247E-2</v>
      </c>
      <c r="G20" s="42">
        <v>-0.7382340836821546</v>
      </c>
      <c r="H20" s="42">
        <v>-0.74104398764782176</v>
      </c>
      <c r="I20" s="42">
        <v>2.1844939030812749E-2</v>
      </c>
      <c r="J20" s="42">
        <v>-0.13691463502938195</v>
      </c>
      <c r="K20" s="43">
        <v>-0.36732676021408928</v>
      </c>
      <c r="L20" s="39">
        <v>-1.7750886470133374</v>
      </c>
      <c r="M20" s="39">
        <v>-1.7750886470133374</v>
      </c>
    </row>
    <row r="21" spans="1:13" ht="15.5" x14ac:dyDescent="0.35">
      <c r="A21" s="31" t="s">
        <v>24</v>
      </c>
      <c r="B21" s="44">
        <v>-0.62583792505546809</v>
      </c>
      <c r="C21" s="44">
        <v>-0.71294494799115016</v>
      </c>
      <c r="D21" s="44">
        <v>-0.66939143652330912</v>
      </c>
      <c r="E21" s="44">
        <v>-0.68765581230014572</v>
      </c>
      <c r="F21" s="44">
        <v>-0.42773969547593316</v>
      </c>
      <c r="G21" s="44">
        <v>-0.43616940737293464</v>
      </c>
      <c r="H21" s="44">
        <v>-4.4187804162365452E-2</v>
      </c>
      <c r="I21" s="44">
        <v>1.2497729720273625</v>
      </c>
      <c r="J21" s="44">
        <v>-0.60054878936446365</v>
      </c>
      <c r="K21" s="45">
        <v>-0.45162387918410396</v>
      </c>
      <c r="L21" s="39">
        <v>-1.7750886470133374</v>
      </c>
      <c r="M21" s="39">
        <v>-1.7750886470133374</v>
      </c>
    </row>
    <row r="22" spans="1:13" ht="15.5" x14ac:dyDescent="0.35">
      <c r="A22" s="31" t="s">
        <v>25</v>
      </c>
      <c r="B22" s="46">
        <v>0.18481936903950813</v>
      </c>
      <c r="C22" s="46">
        <v>1.0025014230486522</v>
      </c>
      <c r="D22" s="46">
        <v>0.48547909336589457</v>
      </c>
      <c r="E22" s="46">
        <v>0.87746069657646353</v>
      </c>
      <c r="F22" s="46">
        <v>0.62737924363208597</v>
      </c>
      <c r="G22" s="46">
        <v>0.3323393272370343</v>
      </c>
      <c r="H22" s="46">
        <v>-4.2782852179531927E-2</v>
      </c>
      <c r="I22" s="46">
        <v>0.63299905156342051</v>
      </c>
      <c r="J22" s="46">
        <v>1.8342329968861322</v>
      </c>
      <c r="K22" s="47">
        <v>4.5837240272914501</v>
      </c>
      <c r="L22" s="39">
        <v>-1.7750886470133374</v>
      </c>
      <c r="M22" s="39">
        <v>-1.7750886470133374</v>
      </c>
    </row>
    <row r="23" spans="1:13" ht="15.5" x14ac:dyDescent="0.35">
      <c r="A23" s="31" t="s">
        <v>26</v>
      </c>
      <c r="B23" s="48">
        <v>-0.27740983331273994</v>
      </c>
      <c r="C23" s="48">
        <v>-0.2802197372784071</v>
      </c>
      <c r="D23" s="49">
        <v>-0.1116254993383774</v>
      </c>
      <c r="E23" s="49">
        <v>-0.18889785839422446</v>
      </c>
      <c r="F23" s="50">
        <v>0.80721309743478464</v>
      </c>
      <c r="G23" s="50">
        <v>0.85498146485112647</v>
      </c>
      <c r="H23" s="39">
        <v>-0.84220053041183962</v>
      </c>
      <c r="I23" s="39">
        <v>-0.8042668268753328</v>
      </c>
      <c r="J23" s="51">
        <v>-0.12146016321821251</v>
      </c>
      <c r="K23" s="51">
        <v>8.6472730241157425E-2</v>
      </c>
      <c r="L23" s="52">
        <v>-1.7750886470133374</v>
      </c>
      <c r="M23" s="52">
        <v>-1.7750886470133374</v>
      </c>
    </row>
    <row r="24" spans="1:13" ht="15.5" x14ac:dyDescent="0.35">
      <c r="A24" s="31" t="s">
        <v>27</v>
      </c>
      <c r="B24" s="39">
        <v>-1.7497995113223328</v>
      </c>
      <c r="C24" s="39">
        <v>-1.7512044633051664</v>
      </c>
      <c r="D24" s="39">
        <v>-1.7512044633051664</v>
      </c>
      <c r="E24" s="39">
        <v>-1.7441797033909985</v>
      </c>
      <c r="F24" s="39">
        <v>-1.7413697994253314</v>
      </c>
      <c r="G24" s="39">
        <v>-1.7132707597686596</v>
      </c>
      <c r="H24" s="39">
        <v>-1.7399648474424978</v>
      </c>
      <c r="I24" s="39">
        <v>-1.7483945593394994</v>
      </c>
      <c r="J24" s="53">
        <v>-0.42352483952743247</v>
      </c>
      <c r="K24" s="53">
        <v>-0.58649926953612785</v>
      </c>
      <c r="L24" s="39">
        <v>-1.7750886470133374</v>
      </c>
      <c r="M24" s="39">
        <v>-1.7750886470133374</v>
      </c>
    </row>
    <row r="27" spans="1:13" x14ac:dyDescent="0.35">
      <c r="A27" s="54" t="s">
        <v>143</v>
      </c>
    </row>
    <row r="28" spans="1:13" x14ac:dyDescent="0.35">
      <c r="A28" s="1" t="s">
        <v>140</v>
      </c>
    </row>
    <row r="29" spans="1:13" x14ac:dyDescent="0.35">
      <c r="A29" s="31"/>
      <c r="B29" s="31">
        <v>1</v>
      </c>
      <c r="C29" s="31">
        <v>2</v>
      </c>
      <c r="D29" s="31">
        <v>3</v>
      </c>
      <c r="E29" s="31">
        <v>4</v>
      </c>
      <c r="F29" s="31">
        <v>5</v>
      </c>
      <c r="G29" s="31">
        <v>6</v>
      </c>
      <c r="H29" s="31">
        <v>7</v>
      </c>
      <c r="I29" s="31">
        <v>8</v>
      </c>
      <c r="J29" s="31">
        <v>9</v>
      </c>
      <c r="K29" s="31">
        <v>10</v>
      </c>
      <c r="L29" s="33">
        <v>11</v>
      </c>
      <c r="M29" s="33">
        <v>12</v>
      </c>
    </row>
    <row r="30" spans="1:13" ht="15.5" x14ac:dyDescent="0.35">
      <c r="A30" s="31" t="s">
        <v>20</v>
      </c>
      <c r="B30" s="34">
        <v>3.1352966228944941</v>
      </c>
      <c r="C30" s="34">
        <v>1.8336875457552428</v>
      </c>
      <c r="D30" s="34">
        <v>6.6475233692176801</v>
      </c>
      <c r="E30" s="34">
        <v>2.6009689917284433</v>
      </c>
      <c r="F30" s="34">
        <v>26.608244298112858</v>
      </c>
      <c r="G30" s="34">
        <v>6.4324890786264639</v>
      </c>
      <c r="H30" s="34">
        <v>2.3810475581692456</v>
      </c>
      <c r="I30" s="34">
        <v>11.516746812983914</v>
      </c>
      <c r="J30" s="34">
        <v>3.974256165731433</v>
      </c>
      <c r="K30" s="35">
        <v>4.585149036729204</v>
      </c>
      <c r="L30" s="36">
        <v>-1.7192653919677947</v>
      </c>
      <c r="M30" s="36">
        <v>-1.7208944396237889</v>
      </c>
    </row>
    <row r="31" spans="1:13" ht="15.5" x14ac:dyDescent="0.35">
      <c r="A31" s="31" t="s">
        <v>21</v>
      </c>
      <c r="B31" s="37">
        <v>25.814898089643748</v>
      </c>
      <c r="C31" s="37">
        <v>38.133756464270803</v>
      </c>
      <c r="D31" s="37">
        <v>50.721407702136879</v>
      </c>
      <c r="E31" s="37">
        <v>69.385406696860798</v>
      </c>
      <c r="F31" s="37">
        <v>95.650542054452956</v>
      </c>
      <c r="G31" s="37">
        <v>35.978526415390675</v>
      </c>
      <c r="H31" s="37">
        <v>40.319938418614825</v>
      </c>
      <c r="I31" s="37">
        <v>41.263157011435389</v>
      </c>
      <c r="J31" s="37">
        <v>28.414858148610264</v>
      </c>
      <c r="K31" s="38">
        <v>38.804924098540354</v>
      </c>
      <c r="L31" s="39">
        <v>-1.7241525349357769</v>
      </c>
      <c r="M31" s="39">
        <v>-1.7208944396237886</v>
      </c>
    </row>
    <row r="32" spans="1:13" ht="15.5" x14ac:dyDescent="0.35">
      <c r="A32" s="31" t="s">
        <v>22</v>
      </c>
      <c r="B32" s="40">
        <v>-0.43394679138848391</v>
      </c>
      <c r="C32" s="40">
        <v>-0.85261203897895654</v>
      </c>
      <c r="D32" s="40">
        <v>-0.87867680147486138</v>
      </c>
      <c r="E32" s="40">
        <v>-0.86727346788290305</v>
      </c>
      <c r="F32" s="40">
        <v>0.94748562089447619</v>
      </c>
      <c r="G32" s="40">
        <v>-0.67178774916361628</v>
      </c>
      <c r="H32" s="40">
        <v>0.82367799903892758</v>
      </c>
      <c r="I32" s="40">
        <v>-0.202622024237328</v>
      </c>
      <c r="J32" s="40">
        <v>-0.73206251243539633</v>
      </c>
      <c r="K32" s="41">
        <v>-0.33783297968483461</v>
      </c>
      <c r="L32" s="39">
        <v>-1.7241525349357769</v>
      </c>
      <c r="M32" s="39">
        <v>-1.7257815825917708</v>
      </c>
    </row>
    <row r="33" spans="1:13" ht="15.5" x14ac:dyDescent="0.35">
      <c r="A33" s="31" t="s">
        <v>23</v>
      </c>
      <c r="B33" s="42">
        <v>23.667813279043585</v>
      </c>
      <c r="C33" s="42">
        <v>6.1490347864834991</v>
      </c>
      <c r="D33" s="42">
        <v>21.963829430873801</v>
      </c>
      <c r="E33" s="42">
        <v>23.464182322044326</v>
      </c>
      <c r="F33" s="42">
        <v>24.446498058608743</v>
      </c>
      <c r="G33" s="42">
        <v>9.8751792121572479E-2</v>
      </c>
      <c r="H33" s="42">
        <v>1.1169065771178579</v>
      </c>
      <c r="I33" s="42">
        <v>13.108326372890108</v>
      </c>
      <c r="J33" s="42">
        <v>7.2437548113115042</v>
      </c>
      <c r="K33" s="43">
        <v>6.0936471661797</v>
      </c>
      <c r="L33" s="39">
        <v>-1.7225234872797828</v>
      </c>
      <c r="M33" s="39">
        <v>-1.7176363443118006</v>
      </c>
    </row>
    <row r="34" spans="1:13" ht="15.5" x14ac:dyDescent="0.35">
      <c r="A34" s="31" t="s">
        <v>24</v>
      </c>
      <c r="B34" s="44">
        <v>3.4985742501811687</v>
      </c>
      <c r="C34" s="44">
        <v>3.018005191662922</v>
      </c>
      <c r="D34" s="44">
        <v>4.8669742812161765</v>
      </c>
      <c r="E34" s="44">
        <v>4.0410471196271889</v>
      </c>
      <c r="F34" s="44">
        <v>14.067835442270606</v>
      </c>
      <c r="G34" s="44">
        <v>5.8248543029406816</v>
      </c>
      <c r="H34" s="44">
        <v>26.217272860674282</v>
      </c>
      <c r="I34" s="44">
        <v>27.238685740982554</v>
      </c>
      <c r="J34" s="44">
        <v>3.4073475814455012</v>
      </c>
      <c r="K34" s="45">
        <v>5.1373961921111899</v>
      </c>
      <c r="L34" s="39">
        <v>-1.6817972958799312</v>
      </c>
      <c r="M34" s="39">
        <v>-1.7208944396237886</v>
      </c>
    </row>
    <row r="35" spans="1:13" ht="15.5" x14ac:dyDescent="0.35">
      <c r="A35" s="31" t="s">
        <v>25</v>
      </c>
      <c r="B35" s="46">
        <v>40.736974618549311</v>
      </c>
      <c r="C35" s="46">
        <v>67.64395475260315</v>
      </c>
      <c r="D35" s="46">
        <v>39.676464594497176</v>
      </c>
      <c r="E35" s="46">
        <v>46.368592365320765</v>
      </c>
      <c r="F35" s="46">
        <v>54.398168261715469</v>
      </c>
      <c r="G35" s="46">
        <v>37.866592648687778</v>
      </c>
      <c r="H35" s="46">
        <v>33.764650650894751</v>
      </c>
      <c r="I35" s="46">
        <v>18.748089357941531</v>
      </c>
      <c r="J35" s="46">
        <v>143.5852693320781</v>
      </c>
      <c r="K35" s="47">
        <v>145.95227557623744</v>
      </c>
      <c r="L35" s="39">
        <v>-1.7176363443118006</v>
      </c>
      <c r="M35" s="39">
        <v>-1.7257815825917708</v>
      </c>
    </row>
    <row r="36" spans="1:13" ht="15.5" x14ac:dyDescent="0.35">
      <c r="A36" s="31" t="s">
        <v>26</v>
      </c>
      <c r="B36" s="48">
        <v>7.1867381433517128</v>
      </c>
      <c r="C36" s="48">
        <v>4.9337652351119328</v>
      </c>
      <c r="D36" s="49">
        <v>14.651034503116481</v>
      </c>
      <c r="E36" s="49">
        <v>14.831858792931822</v>
      </c>
      <c r="F36" s="50">
        <v>52.242938212835327</v>
      </c>
      <c r="G36" s="50">
        <v>43.37603182125968</v>
      </c>
      <c r="H36" s="39">
        <v>-0.88030584913085552</v>
      </c>
      <c r="I36" s="39">
        <v>-0.9177739452187188</v>
      </c>
      <c r="J36" s="51">
        <v>32.681333959658701</v>
      </c>
      <c r="K36" s="51">
        <v>36.907083579307283</v>
      </c>
      <c r="L36" s="52">
        <v>-1.7225234872797828</v>
      </c>
      <c r="M36" s="52">
        <v>-1.7225234872797828</v>
      </c>
    </row>
    <row r="37" spans="1:13" ht="15.5" x14ac:dyDescent="0.35">
      <c r="A37" s="31" t="s">
        <v>27</v>
      </c>
      <c r="B37" s="39">
        <v>-1.7192653919677947</v>
      </c>
      <c r="C37" s="39">
        <v>-1.7225234872797828</v>
      </c>
      <c r="D37" s="39">
        <v>-1.7208944396237886</v>
      </c>
      <c r="E37" s="39">
        <v>-1.7208944396237886</v>
      </c>
      <c r="F37" s="39">
        <v>-1.7208944396237889</v>
      </c>
      <c r="G37" s="39">
        <v>-1.7078620583758362</v>
      </c>
      <c r="H37" s="39">
        <v>-1.6997168200958659</v>
      </c>
      <c r="I37" s="39">
        <v>-1.7176363443118006</v>
      </c>
      <c r="J37" s="53">
        <v>13.945656868071055</v>
      </c>
      <c r="K37" s="53">
        <v>9.770407725758286</v>
      </c>
      <c r="L37" s="39">
        <v>-1.7208944396237886</v>
      </c>
      <c r="M37" s="39">
        <v>-1.7241525349357769</v>
      </c>
    </row>
    <row r="40" spans="1:13" x14ac:dyDescent="0.35">
      <c r="A40" s="1" t="s">
        <v>144</v>
      </c>
    </row>
    <row r="41" spans="1:13" x14ac:dyDescent="0.35">
      <c r="A41" s="1" t="s">
        <v>140</v>
      </c>
    </row>
    <row r="42" spans="1:13" ht="15.5" x14ac:dyDescent="0.35">
      <c r="A42" s="55"/>
      <c r="B42" s="55">
        <v>1</v>
      </c>
      <c r="C42" s="55">
        <v>2</v>
      </c>
      <c r="D42" s="55">
        <v>3</v>
      </c>
      <c r="E42" s="55">
        <v>4</v>
      </c>
      <c r="F42" s="55">
        <v>5</v>
      </c>
      <c r="G42" s="55">
        <v>6</v>
      </c>
      <c r="H42" s="55">
        <v>7</v>
      </c>
      <c r="I42" s="55">
        <v>8</v>
      </c>
      <c r="J42" s="55">
        <v>9</v>
      </c>
      <c r="K42" s="55">
        <v>10</v>
      </c>
      <c r="L42" s="55">
        <v>11</v>
      </c>
      <c r="M42" s="55">
        <v>12</v>
      </c>
    </row>
    <row r="43" spans="1:13" ht="15.5" x14ac:dyDescent="0.35">
      <c r="A43" s="55" t="s">
        <v>20</v>
      </c>
      <c r="B43" s="56">
        <v>-0.22617602894827099</v>
      </c>
      <c r="C43" s="56">
        <v>-0.22641852922136046</v>
      </c>
      <c r="D43" s="56">
        <v>-0.22666102949444994</v>
      </c>
      <c r="E43" s="56">
        <v>-0.22666102949444994</v>
      </c>
      <c r="F43" s="56">
        <v>-0.22666102949444994</v>
      </c>
      <c r="G43" s="56">
        <v>-0.22641852922136046</v>
      </c>
      <c r="H43" s="56">
        <v>-0.22641852922136046</v>
      </c>
      <c r="I43" s="56">
        <v>-0.22641852922136046</v>
      </c>
      <c r="J43" s="56">
        <v>-0.22641852922136046</v>
      </c>
      <c r="K43" s="56">
        <v>-0.22617602894827099</v>
      </c>
      <c r="L43" s="57">
        <v>-0.22617602894827099</v>
      </c>
      <c r="M43" s="57">
        <v>-0.22593352867518154</v>
      </c>
    </row>
    <row r="44" spans="1:13" ht="15.5" x14ac:dyDescent="0.35">
      <c r="A44" s="55" t="s">
        <v>21</v>
      </c>
      <c r="B44" s="58">
        <v>-0.22617602894827099</v>
      </c>
      <c r="C44" s="58">
        <v>-0.22593352867518154</v>
      </c>
      <c r="D44" s="58">
        <v>-0.22641852922136046</v>
      </c>
      <c r="E44" s="58">
        <v>-0.22617602894827099</v>
      </c>
      <c r="F44" s="58">
        <v>-0.22593352867518154</v>
      </c>
      <c r="G44" s="58">
        <v>-0.22641852922136046</v>
      </c>
      <c r="H44" s="58">
        <v>-0.22641852922136046</v>
      </c>
      <c r="I44" s="58">
        <v>-0.22617602894827099</v>
      </c>
      <c r="J44" s="58">
        <v>-0.22666102949444994</v>
      </c>
      <c r="K44" s="58">
        <v>-0.22641852922136046</v>
      </c>
      <c r="L44" s="57">
        <v>-0.22641852922136046</v>
      </c>
      <c r="M44" s="57">
        <v>-0.22593352867518154</v>
      </c>
    </row>
    <row r="45" spans="1:13" ht="15.5" x14ac:dyDescent="0.35">
      <c r="A45" s="55" t="s">
        <v>22</v>
      </c>
      <c r="B45" s="59">
        <v>0.72175753855841851</v>
      </c>
      <c r="C45" s="59">
        <v>-0.17719097378420057</v>
      </c>
      <c r="D45" s="59">
        <v>-0.17816097487655841</v>
      </c>
      <c r="E45" s="59">
        <v>-0.19731849645062557</v>
      </c>
      <c r="F45" s="59">
        <v>3.1045652219354283</v>
      </c>
      <c r="G45" s="59">
        <v>0.27822453907780065</v>
      </c>
      <c r="H45" s="59">
        <v>2.3933119209640492</v>
      </c>
      <c r="I45" s="59">
        <v>1.3920282933776791</v>
      </c>
      <c r="J45" s="59">
        <v>0.65919246810133847</v>
      </c>
      <c r="K45" s="59">
        <v>0.60972241239108915</v>
      </c>
      <c r="L45" s="57">
        <v>-0.22593352867518154</v>
      </c>
      <c r="M45" s="57">
        <v>-0.22617602894827099</v>
      </c>
    </row>
    <row r="46" spans="1:13" ht="15.5" x14ac:dyDescent="0.35">
      <c r="A46" s="55" t="s">
        <v>23</v>
      </c>
      <c r="B46" s="60">
        <v>-0.22617602894827099</v>
      </c>
      <c r="C46" s="60">
        <v>-0.22617602894827099</v>
      </c>
      <c r="D46" s="60">
        <v>-0.22641852922136046</v>
      </c>
      <c r="E46" s="60">
        <v>-0.22666102949444994</v>
      </c>
      <c r="F46" s="60">
        <v>-0.22593352867518154</v>
      </c>
      <c r="G46" s="60">
        <v>3.1959878248901537</v>
      </c>
      <c r="H46" s="60">
        <v>-0.22593352867518154</v>
      </c>
      <c r="I46" s="60">
        <v>-0.22617602894827099</v>
      </c>
      <c r="J46" s="60">
        <v>-0.22617602894827099</v>
      </c>
      <c r="K46" s="60">
        <v>-0.22617602894827099</v>
      </c>
      <c r="L46" s="57">
        <v>-0.22641852922136046</v>
      </c>
      <c r="M46" s="57">
        <v>-0.22544852812900262</v>
      </c>
    </row>
    <row r="47" spans="1:13" ht="15.5" x14ac:dyDescent="0.35">
      <c r="A47" s="55" t="s">
        <v>24</v>
      </c>
      <c r="B47" s="61">
        <v>-0.22690352976753939</v>
      </c>
      <c r="C47" s="61">
        <v>-0.22666102949444994</v>
      </c>
      <c r="D47" s="61">
        <v>-0.22641852922136046</v>
      </c>
      <c r="E47" s="61">
        <v>-0.22666102949444994</v>
      </c>
      <c r="F47" s="61">
        <v>-0.22641852922136046</v>
      </c>
      <c r="G47" s="61">
        <v>-0.22641852922136046</v>
      </c>
      <c r="H47" s="61">
        <v>-0.22617602894827099</v>
      </c>
      <c r="I47" s="61">
        <v>-0.22641852922136046</v>
      </c>
      <c r="J47" s="61">
        <v>-0.22593352867518154</v>
      </c>
      <c r="K47" s="61">
        <v>-0.22593352867518154</v>
      </c>
      <c r="L47" s="57">
        <v>-0.22447852703664481</v>
      </c>
      <c r="M47" s="57">
        <v>-0.22641852922136046</v>
      </c>
    </row>
    <row r="48" spans="1:13" ht="15.5" x14ac:dyDescent="0.35">
      <c r="A48" s="55" t="s">
        <v>25</v>
      </c>
      <c r="B48" s="62">
        <v>-0.22641852922136046</v>
      </c>
      <c r="C48" s="62">
        <v>-0.22641852922136046</v>
      </c>
      <c r="D48" s="62">
        <v>-0.22641852922136046</v>
      </c>
      <c r="E48" s="62">
        <v>-0.22617602894827099</v>
      </c>
      <c r="F48" s="62">
        <v>-0.22641852922136046</v>
      </c>
      <c r="G48" s="62">
        <v>-0.22641852922136046</v>
      </c>
      <c r="H48" s="62">
        <v>-0.22617602894827099</v>
      </c>
      <c r="I48" s="62">
        <v>-0.22641852922136046</v>
      </c>
      <c r="J48" s="62">
        <v>-0.22375102621737641</v>
      </c>
      <c r="K48" s="62">
        <v>-0.22326602567119752</v>
      </c>
      <c r="L48" s="57">
        <v>-0.22617602894827099</v>
      </c>
      <c r="M48" s="57">
        <v>-0.22666102949444994</v>
      </c>
    </row>
    <row r="49" spans="1:27" ht="15.5" x14ac:dyDescent="0.35">
      <c r="A49" s="55" t="s">
        <v>26</v>
      </c>
      <c r="B49" s="63">
        <v>-0.22666102949444994</v>
      </c>
      <c r="C49" s="63">
        <v>-0.22617602894827099</v>
      </c>
      <c r="D49" s="64">
        <v>-0.22617602894827099</v>
      </c>
      <c r="E49" s="64">
        <v>-0.22617602894827099</v>
      </c>
      <c r="F49" s="65">
        <v>-0.22690352976753939</v>
      </c>
      <c r="G49" s="65">
        <v>-0.22641852922136046</v>
      </c>
      <c r="H49" s="57">
        <v>-0.20241100218550417</v>
      </c>
      <c r="I49" s="57">
        <v>-0.19828849754298339</v>
      </c>
      <c r="J49" s="66">
        <v>22.389399439374539</v>
      </c>
      <c r="K49" s="66">
        <v>21.205513106151805</v>
      </c>
      <c r="L49" s="57">
        <v>-0.22326602567119752</v>
      </c>
      <c r="M49" s="57">
        <v>-0.22641852922136046</v>
      </c>
    </row>
    <row r="50" spans="1:27" ht="15.5" x14ac:dyDescent="0.35">
      <c r="A50" s="55" t="s">
        <v>27</v>
      </c>
      <c r="B50" s="57">
        <v>-0.22666102949444994</v>
      </c>
      <c r="C50" s="57">
        <v>-0.22641852922136046</v>
      </c>
      <c r="D50" s="57">
        <v>-0.22641852922136046</v>
      </c>
      <c r="E50" s="57">
        <v>-0.22641852922136046</v>
      </c>
      <c r="F50" s="57">
        <v>-0.22641852922136046</v>
      </c>
      <c r="G50" s="57">
        <v>-0.22326602567119752</v>
      </c>
      <c r="H50" s="57">
        <v>-0.22472102730973426</v>
      </c>
      <c r="I50" s="57">
        <v>-0.22302352539810805</v>
      </c>
      <c r="J50" s="67">
        <v>14.419142963743338</v>
      </c>
      <c r="K50" s="67">
        <v>13.572817010661131</v>
      </c>
      <c r="L50" s="57">
        <v>-0.22472102730973426</v>
      </c>
      <c r="M50" s="57">
        <v>-0.22666102949444994</v>
      </c>
    </row>
    <row r="53" spans="1:27" x14ac:dyDescent="0.35">
      <c r="A53" s="1" t="s">
        <v>187</v>
      </c>
    </row>
    <row r="54" spans="1:27" x14ac:dyDescent="0.35">
      <c r="A54" s="1" t="s">
        <v>188</v>
      </c>
    </row>
    <row r="55" spans="1:27" ht="15.5" x14ac:dyDescent="0.35">
      <c r="A55" s="55"/>
      <c r="B55" s="55">
        <v>1</v>
      </c>
      <c r="C55" s="55">
        <v>2</v>
      </c>
      <c r="D55" s="55">
        <v>3</v>
      </c>
      <c r="E55" s="55">
        <v>4</v>
      </c>
      <c r="F55" s="55">
        <v>5</v>
      </c>
      <c r="G55" s="55">
        <v>6</v>
      </c>
      <c r="H55" s="55">
        <v>7</v>
      </c>
      <c r="I55" s="55">
        <v>8</v>
      </c>
      <c r="J55" s="55">
        <v>9</v>
      </c>
      <c r="K55" s="55">
        <v>10</v>
      </c>
      <c r="L55" s="103">
        <v>11</v>
      </c>
      <c r="M55" s="134">
        <v>12</v>
      </c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 spans="1:27" ht="15.5" x14ac:dyDescent="0.35">
      <c r="A56" s="55" t="s">
        <v>20</v>
      </c>
      <c r="B56" s="56">
        <v>3.8415170075108076</v>
      </c>
      <c r="C56" s="56">
        <v>2.1228234786015632</v>
      </c>
      <c r="D56" s="56">
        <v>5.166883659214923</v>
      </c>
      <c r="E56" s="56">
        <v>2.9581238568764303</v>
      </c>
      <c r="F56" s="56">
        <v>8.0369421586427237</v>
      </c>
      <c r="G56" s="56">
        <v>6.3685568081133903</v>
      </c>
      <c r="H56" s="56">
        <v>4.0712730735430922</v>
      </c>
      <c r="I56" s="56">
        <v>7.2943195988879106</v>
      </c>
      <c r="J56" s="56">
        <v>4.2664134205066322</v>
      </c>
      <c r="K56" s="56">
        <v>4.3930607980061476</v>
      </c>
      <c r="L56" s="104">
        <v>-0.27323044104488731</v>
      </c>
      <c r="M56" s="135">
        <v>-0.27350736679743726</v>
      </c>
      <c r="O56" s="68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6"/>
      <c r="AA56" s="106"/>
    </row>
    <row r="57" spans="1:27" ht="15.5" x14ac:dyDescent="0.35">
      <c r="A57" s="55" t="s">
        <v>21</v>
      </c>
      <c r="B57" s="58">
        <v>7.9015254656457934</v>
      </c>
      <c r="C57" s="58">
        <v>5.3672855954769121</v>
      </c>
      <c r="D57" s="58">
        <v>6.3145562863661473</v>
      </c>
      <c r="E57" s="58">
        <v>7.0441633357511124</v>
      </c>
      <c r="F57" s="58">
        <v>6.8781001928053191</v>
      </c>
      <c r="G57" s="58">
        <v>5.4665173234739814</v>
      </c>
      <c r="H57" s="58">
        <v>4.7812183944970101</v>
      </c>
      <c r="I57" s="58">
        <v>5.4128860360634725</v>
      </c>
      <c r="J57" s="58">
        <v>7.8492788069980337</v>
      </c>
      <c r="K57" s="58">
        <v>6.9105928144378472</v>
      </c>
      <c r="L57" s="104">
        <v>-0.27369198396580391</v>
      </c>
      <c r="M57" s="135">
        <v>-0.27359967538162056</v>
      </c>
      <c r="O57" s="68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</row>
    <row r="58" spans="1:27" ht="15.5" x14ac:dyDescent="0.35">
      <c r="A58" s="55" t="s">
        <v>22</v>
      </c>
      <c r="B58" s="59">
        <v>4.2003373941152222E-2</v>
      </c>
      <c r="C58" s="59">
        <v>-0.25116868942507364</v>
      </c>
      <c r="D58" s="59">
        <v>-0.24969175207814057</v>
      </c>
      <c r="E58" s="59">
        <v>-0.25744567314953948</v>
      </c>
      <c r="F58" s="59">
        <v>0.85496507484365591</v>
      </c>
      <c r="G58" s="59">
        <v>-0.12202898015260831</v>
      </c>
      <c r="H58" s="59">
        <v>0.61274734994662294</v>
      </c>
      <c r="I58" s="59">
        <v>0.1464043826524877</v>
      </c>
      <c r="J58" s="59">
        <v>-0.13615219353265634</v>
      </c>
      <c r="K58" s="59">
        <v>-1.7535662857089518E-2</v>
      </c>
      <c r="L58" s="104">
        <v>-0.27369198396580391</v>
      </c>
      <c r="M58" s="135">
        <v>-0.27369198396580391</v>
      </c>
      <c r="O58" s="68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</row>
    <row r="59" spans="1:27" ht="15.5" x14ac:dyDescent="0.35">
      <c r="A59" s="55" t="s">
        <v>23</v>
      </c>
      <c r="B59" s="60">
        <v>5.9598143973496462</v>
      </c>
      <c r="C59" s="60">
        <v>3.2833269989542684</v>
      </c>
      <c r="D59" s="60">
        <v>6.3844338845929203</v>
      </c>
      <c r="E59" s="60">
        <v>6.071323167043098</v>
      </c>
      <c r="F59" s="60">
        <v>7.2924734272042446</v>
      </c>
      <c r="G59" s="60">
        <v>1.0047819069731849</v>
      </c>
      <c r="H59" s="60">
        <v>1.3449390396887213</v>
      </c>
      <c r="I59" s="60">
        <v>6.2053552312772791</v>
      </c>
      <c r="J59" s="60">
        <v>3.9626258699593242</v>
      </c>
      <c r="K59" s="60">
        <v>3.5186215800375527</v>
      </c>
      <c r="L59" s="104">
        <v>-0.27313813246070395</v>
      </c>
      <c r="M59" s="135">
        <v>-0.27267658953978735</v>
      </c>
      <c r="O59" s="68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</row>
    <row r="60" spans="1:27" ht="15.5" x14ac:dyDescent="0.35">
      <c r="A60" s="55" t="s">
        <v>24</v>
      </c>
      <c r="B60" s="61">
        <v>2.8277841360095817</v>
      </c>
      <c r="C60" s="61">
        <v>3.1959107697326639</v>
      </c>
      <c r="D60" s="61">
        <v>5.4850713488948291</v>
      </c>
      <c r="E60" s="61">
        <v>3.9818260554694547</v>
      </c>
      <c r="F60" s="61">
        <v>8.6378710416761404</v>
      </c>
      <c r="G60" s="61">
        <v>8.8012572356806178</v>
      </c>
      <c r="H60" s="61">
        <v>7.5380142611318766</v>
      </c>
      <c r="I60" s="61">
        <v>6.8811463760833682</v>
      </c>
      <c r="J60" s="61">
        <v>3.3580046435585746</v>
      </c>
      <c r="K60" s="61">
        <v>4.0757038855838914</v>
      </c>
      <c r="L60" s="104">
        <v>-0.27267658953978735</v>
      </c>
      <c r="M60" s="135">
        <v>-0.27350736679743726</v>
      </c>
      <c r="O60" s="68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</row>
    <row r="61" spans="1:27" ht="15.5" x14ac:dyDescent="0.35">
      <c r="A61" s="55" t="s">
        <v>25</v>
      </c>
      <c r="B61" s="62">
        <v>6.9645010276009067</v>
      </c>
      <c r="C61" s="62">
        <v>7.3428739141683375</v>
      </c>
      <c r="D61" s="62">
        <v>7.8670020551612305</v>
      </c>
      <c r="E61" s="62">
        <v>8.8434422586523951</v>
      </c>
      <c r="F61" s="62">
        <v>8.1022966362445139</v>
      </c>
      <c r="G61" s="62">
        <v>7.7065697358506204</v>
      </c>
      <c r="H61" s="62">
        <v>6.6022821432655574</v>
      </c>
      <c r="I61" s="62">
        <v>7.1483797272940812</v>
      </c>
      <c r="J61" s="62">
        <v>6.6052360179594229</v>
      </c>
      <c r="K61" s="62">
        <v>7.507460119767198</v>
      </c>
      <c r="L61" s="104">
        <v>-0.27359967538162056</v>
      </c>
      <c r="M61" s="135">
        <v>-0.27350736679743726</v>
      </c>
      <c r="O61" s="68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</row>
    <row r="62" spans="1:27" ht="15.5" x14ac:dyDescent="0.35">
      <c r="A62" s="55" t="s">
        <v>26</v>
      </c>
      <c r="B62" s="63">
        <v>6.3164947666339968</v>
      </c>
      <c r="C62" s="63">
        <v>4.1325659734408173</v>
      </c>
      <c r="D62" s="64">
        <v>6.7099139524233085</v>
      </c>
      <c r="E62" s="64">
        <v>7.3215506312219905</v>
      </c>
      <c r="F62" s="65">
        <v>6.6045898578701401</v>
      </c>
      <c r="G62" s="65">
        <v>5.7012580530521655</v>
      </c>
      <c r="H62" s="57">
        <v>-0.25910722766483923</v>
      </c>
      <c r="I62" s="57">
        <v>-0.25523026712913977</v>
      </c>
      <c r="J62" s="66">
        <v>7.2550884506099997</v>
      </c>
      <c r="K62" s="66">
        <v>6.9136389977158972</v>
      </c>
      <c r="L62" s="104">
        <v>-0.27341505821325396</v>
      </c>
      <c r="M62" s="135">
        <v>-0.27341505821325396</v>
      </c>
      <c r="O62" s="68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</row>
    <row r="63" spans="1:27" ht="15.5" x14ac:dyDescent="0.35">
      <c r="A63" s="55" t="s">
        <v>27</v>
      </c>
      <c r="B63" s="57">
        <v>-0.2733227496290706</v>
      </c>
      <c r="C63" s="57">
        <v>-0.27350736679743726</v>
      </c>
      <c r="D63" s="57">
        <v>-0.2733227496290706</v>
      </c>
      <c r="E63" s="57">
        <v>-0.2733227496290706</v>
      </c>
      <c r="F63" s="57">
        <v>-0.2733227496290706</v>
      </c>
      <c r="G63" s="57">
        <v>-0.26990733201428774</v>
      </c>
      <c r="H63" s="57">
        <v>-0.27092272644030424</v>
      </c>
      <c r="I63" s="57">
        <v>-0.272861206708154</v>
      </c>
      <c r="J63" s="67">
        <v>6.5039735011103206</v>
      </c>
      <c r="K63" s="67">
        <v>5.7393814983198777</v>
      </c>
      <c r="L63" s="104">
        <v>-0.27323044104488725</v>
      </c>
      <c r="M63" s="135">
        <v>-0.27341505821325396</v>
      </c>
      <c r="O63" s="68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</row>
  </sheetData>
  <pageMargins left="0.70000000000000007" right="0.70000000000000007" top="0.75" bottom="0.75" header="0.30000000000000004" footer="0.30000000000000004"/>
  <pageSetup paperSize="9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4C8E-84CD-49AD-8825-6AC4508492F7}">
  <dimension ref="A1:BR298"/>
  <sheetViews>
    <sheetView zoomScale="76" zoomScaleNormal="59" workbookViewId="0">
      <selection activeCell="D4" sqref="D4"/>
    </sheetView>
  </sheetViews>
  <sheetFormatPr defaultRowHeight="16" x14ac:dyDescent="0.4"/>
  <cols>
    <col min="1" max="1" width="27.90625" bestFit="1" customWidth="1"/>
    <col min="2" max="2" width="35.6328125" bestFit="1" customWidth="1"/>
    <col min="3" max="3" width="28.453125" style="100" bestFit="1" customWidth="1"/>
    <col min="4" max="8" width="28.453125" style="100" customWidth="1"/>
    <col min="9" max="9" width="11.54296875" style="32" customWidth="1"/>
    <col min="10" max="10" width="8.6328125" bestFit="1" customWidth="1"/>
    <col min="11" max="11" width="7.81640625" customWidth="1"/>
    <col min="12" max="12" width="39.7265625" bestFit="1" customWidth="1"/>
    <col min="13" max="13" width="53.6328125" bestFit="1" customWidth="1"/>
    <col min="14" max="14" width="30.81640625" bestFit="1" customWidth="1"/>
    <col min="15" max="15" width="33" bestFit="1" customWidth="1"/>
    <col min="16" max="16" width="38" bestFit="1" customWidth="1"/>
    <col min="17" max="17" width="18.453125" bestFit="1" customWidth="1"/>
    <col min="18" max="18" width="14.81640625" bestFit="1" customWidth="1"/>
    <col min="19" max="19" width="24.453125" bestFit="1" customWidth="1"/>
    <col min="20" max="20" width="15.7265625" bestFit="1" customWidth="1"/>
    <col min="21" max="21" width="26.1796875" bestFit="1" customWidth="1"/>
    <col min="22" max="22" width="22.90625" bestFit="1" customWidth="1"/>
    <col min="23" max="23" width="16.1796875" bestFit="1" customWidth="1"/>
    <col min="24" max="24" width="8.7265625" customWidth="1"/>
    <col min="25" max="25" width="19.26953125" bestFit="1" customWidth="1"/>
    <col min="26" max="26" width="13.7265625" customWidth="1"/>
    <col min="27" max="27" width="16.26953125" customWidth="1"/>
    <col min="28" max="28" width="5.6328125" customWidth="1"/>
    <col min="29" max="29" width="7.81640625" customWidth="1"/>
    <col min="30" max="30" width="28.26953125" bestFit="1" customWidth="1"/>
    <col min="31" max="31" width="37.6328125" bestFit="1" customWidth="1"/>
    <col min="32" max="32" width="21.453125" bestFit="1" customWidth="1"/>
    <col min="33" max="33" width="23" bestFit="1" customWidth="1"/>
    <col min="34" max="34" width="26.90625" bestFit="1" customWidth="1"/>
    <col min="35" max="35" width="12.90625" bestFit="1" customWidth="1"/>
    <col min="36" max="36" width="10.7265625" bestFit="1" customWidth="1"/>
    <col min="37" max="37" width="17.1796875" bestFit="1" customWidth="1"/>
    <col min="38" max="38" width="11.54296875" bestFit="1" customWidth="1"/>
    <col min="39" max="39" width="19" bestFit="1" customWidth="1"/>
    <col min="40" max="40" width="16.6328125" bestFit="1" customWidth="1"/>
    <col min="41" max="41" width="11.26953125" bestFit="1" customWidth="1"/>
    <col min="42" max="42" width="8.7265625" customWidth="1"/>
    <col min="43" max="43" width="19.26953125" bestFit="1" customWidth="1"/>
    <col min="44" max="44" width="13.7265625" customWidth="1"/>
    <col min="45" max="45" width="16.26953125" customWidth="1"/>
    <col min="46" max="46" width="5.6328125" customWidth="1"/>
    <col min="47" max="47" width="7.81640625" customWidth="1"/>
    <col min="48" max="48" width="28.26953125" bestFit="1" customWidth="1"/>
    <col min="49" max="49" width="37.6328125" bestFit="1" customWidth="1"/>
    <col min="50" max="50" width="21.453125" bestFit="1" customWidth="1"/>
    <col min="51" max="51" width="23" bestFit="1" customWidth="1"/>
    <col min="52" max="52" width="26.90625" bestFit="1" customWidth="1"/>
    <col min="53" max="53" width="12.90625" bestFit="1" customWidth="1"/>
    <col min="54" max="54" width="10.7265625" bestFit="1" customWidth="1"/>
    <col min="55" max="55" width="17.1796875" bestFit="1" customWidth="1"/>
    <col min="56" max="56" width="11.54296875" bestFit="1" customWidth="1"/>
    <col min="57" max="57" width="19" bestFit="1" customWidth="1"/>
    <col min="58" max="58" width="16.6328125" bestFit="1" customWidth="1"/>
    <col min="59" max="59" width="11.26953125" bestFit="1" customWidth="1"/>
    <col min="60" max="60" width="8.7265625" customWidth="1"/>
  </cols>
  <sheetData>
    <row r="1" spans="1:70" x14ac:dyDescent="0.4">
      <c r="A1" s="74" t="s">
        <v>660</v>
      </c>
      <c r="B1" s="69"/>
      <c r="I1" s="100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70" x14ac:dyDescent="0.4">
      <c r="A2" s="69"/>
      <c r="I2" s="100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spans="1:70" x14ac:dyDescent="0.4">
      <c r="A3" s="69" t="s">
        <v>154</v>
      </c>
      <c r="B3" s="69"/>
      <c r="I3" s="100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4" spans="1:70" x14ac:dyDescent="0.4">
      <c r="A4" s="70"/>
      <c r="B4" s="69" t="s">
        <v>155</v>
      </c>
      <c r="I4" s="100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5" spans="1:70" x14ac:dyDescent="0.4">
      <c r="A5" s="71"/>
      <c r="B5" s="69" t="s">
        <v>156</v>
      </c>
      <c r="I5" s="100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</row>
    <row r="6" spans="1:70" x14ac:dyDescent="0.4">
      <c r="A6" s="72"/>
      <c r="B6" s="69" t="s">
        <v>157</v>
      </c>
      <c r="I6" s="100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</row>
    <row r="7" spans="1:70" x14ac:dyDescent="0.4">
      <c r="A7" s="73"/>
      <c r="B7" s="69" t="s">
        <v>158</v>
      </c>
      <c r="I7" s="100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</row>
    <row r="8" spans="1:70" x14ac:dyDescent="0.4">
      <c r="A8" s="69"/>
      <c r="B8" s="69"/>
      <c r="I8" s="100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</row>
    <row r="9" spans="1:70" x14ac:dyDescent="0.4">
      <c r="A9" s="74"/>
      <c r="B9" s="75"/>
      <c r="C9" s="101"/>
      <c r="D9" s="101"/>
      <c r="E9" s="101"/>
      <c r="F9" s="101"/>
      <c r="G9" s="101"/>
      <c r="H9" s="101"/>
      <c r="I9" s="101"/>
      <c r="J9" s="75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Y9" s="74"/>
      <c r="Z9" s="75"/>
      <c r="AA9" s="75"/>
      <c r="AB9" s="75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Q9" s="74"/>
      <c r="AR9" s="75"/>
      <c r="AS9" s="75"/>
      <c r="AT9" s="75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</row>
    <row r="10" spans="1:70" x14ac:dyDescent="0.4">
      <c r="A10" s="113" t="s">
        <v>159</v>
      </c>
      <c r="B10" s="115" t="s">
        <v>160</v>
      </c>
      <c r="C10" s="121" t="s">
        <v>486</v>
      </c>
      <c r="D10" s="121" t="s">
        <v>481</v>
      </c>
      <c r="E10" s="121" t="s">
        <v>2</v>
      </c>
      <c r="F10" s="121" t="s">
        <v>482</v>
      </c>
      <c r="G10" s="121" t="s">
        <v>1</v>
      </c>
      <c r="H10" s="121" t="s">
        <v>483</v>
      </c>
      <c r="I10" s="116" t="s">
        <v>70</v>
      </c>
      <c r="J10" s="115" t="s">
        <v>66</v>
      </c>
      <c r="K10" s="122" t="s">
        <v>161</v>
      </c>
      <c r="L10" s="118" t="s">
        <v>162</v>
      </c>
      <c r="M10" s="119" t="s">
        <v>163</v>
      </c>
      <c r="N10" s="119" t="s">
        <v>164</v>
      </c>
      <c r="O10" s="119" t="s">
        <v>165</v>
      </c>
      <c r="P10" s="119" t="s">
        <v>166</v>
      </c>
      <c r="Q10" s="119" t="s">
        <v>167</v>
      </c>
      <c r="R10" s="120" t="s">
        <v>168</v>
      </c>
      <c r="S10" s="120" t="s">
        <v>169</v>
      </c>
      <c r="T10" s="120" t="s">
        <v>170</v>
      </c>
      <c r="U10" s="120" t="s">
        <v>171</v>
      </c>
      <c r="V10" s="120" t="s">
        <v>172</v>
      </c>
      <c r="W10" s="120" t="s">
        <v>173</v>
      </c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</row>
    <row r="11" spans="1:70" x14ac:dyDescent="0.4">
      <c r="A11" s="76" t="s">
        <v>189</v>
      </c>
      <c r="B11" s="76" t="s">
        <v>71</v>
      </c>
      <c r="C11" s="100" t="s">
        <v>0</v>
      </c>
      <c r="D11" s="129" t="s">
        <v>484</v>
      </c>
      <c r="E11" s="129" t="s">
        <v>484</v>
      </c>
      <c r="F11" s="129" t="s">
        <v>484</v>
      </c>
      <c r="G11" s="129" t="s">
        <v>484</v>
      </c>
      <c r="H11" s="129" t="s">
        <v>484</v>
      </c>
      <c r="I11" s="111">
        <v>4.8</v>
      </c>
      <c r="J11" s="82" t="s">
        <v>81</v>
      </c>
      <c r="K11" s="78">
        <v>10.76</v>
      </c>
      <c r="L11" s="79">
        <v>109000000</v>
      </c>
      <c r="M11" s="80">
        <v>0.4</v>
      </c>
      <c r="N11" s="81">
        <v>50</v>
      </c>
      <c r="O11" s="78">
        <v>3.14</v>
      </c>
      <c r="P11" s="95">
        <v>3.8415170079999998</v>
      </c>
      <c r="Q11" s="81">
        <f t="shared" ref="Q11:Q74" si="0">O11/P11</f>
        <v>0.81738542181667218</v>
      </c>
      <c r="R11" s="81">
        <f t="shared" ref="R11:R74" si="1">(L11*N11*Q11)/M11</f>
        <v>11136876372.252159</v>
      </c>
      <c r="S11" s="81"/>
      <c r="T11" s="81" t="e">
        <f t="shared" ref="T11:T74" si="2">R11/S11</f>
        <v>#DIV/0!</v>
      </c>
      <c r="U11" s="81"/>
      <c r="V11" s="81"/>
      <c r="W11" s="81"/>
      <c r="Y11" s="75"/>
      <c r="Z11" s="75"/>
      <c r="AA11" s="75"/>
      <c r="AB11" s="98"/>
      <c r="AD11" s="88"/>
      <c r="AE11" s="99"/>
      <c r="AF11" s="69"/>
      <c r="AH11" s="15"/>
      <c r="AI11" s="69"/>
      <c r="AJ11" s="69"/>
      <c r="AK11" s="69"/>
      <c r="AL11" s="69"/>
      <c r="AM11" s="69"/>
      <c r="AN11" s="69"/>
      <c r="AO11" s="69"/>
      <c r="AQ11" s="75"/>
      <c r="AR11" s="75"/>
      <c r="AS11" s="75"/>
      <c r="AT11" s="98"/>
      <c r="AV11" s="88"/>
      <c r="AW11" s="99"/>
      <c r="AX11" s="69"/>
      <c r="AZ11" s="15"/>
      <c r="BA11" s="69"/>
      <c r="BB11" s="69"/>
      <c r="BC11" s="69"/>
      <c r="BD11" s="69"/>
      <c r="BE11" s="69"/>
      <c r="BF11" s="69"/>
      <c r="BG11" s="69"/>
    </row>
    <row r="12" spans="1:70" x14ac:dyDescent="0.4">
      <c r="A12" s="85" t="s">
        <v>190</v>
      </c>
      <c r="B12" s="85" t="s">
        <v>71</v>
      </c>
      <c r="C12" s="100" t="s">
        <v>0</v>
      </c>
      <c r="D12" s="129" t="s">
        <v>484</v>
      </c>
      <c r="E12" s="129" t="s">
        <v>484</v>
      </c>
      <c r="F12" s="129" t="s">
        <v>484</v>
      </c>
      <c r="G12" s="129" t="s">
        <v>484</v>
      </c>
      <c r="H12" s="129" t="s">
        <v>484</v>
      </c>
      <c r="I12" s="111">
        <v>4.8</v>
      </c>
      <c r="J12" s="82" t="s">
        <v>81</v>
      </c>
      <c r="K12" s="84">
        <v>10.81</v>
      </c>
      <c r="L12" s="86">
        <v>105000000</v>
      </c>
      <c r="M12" s="80">
        <v>0.4</v>
      </c>
      <c r="N12" s="81">
        <v>50</v>
      </c>
      <c r="O12" s="84">
        <v>3.14</v>
      </c>
      <c r="P12" s="94">
        <v>3.8415170079999998</v>
      </c>
      <c r="Q12" s="81">
        <f t="shared" si="0"/>
        <v>0.81738542181667218</v>
      </c>
      <c r="R12" s="81">
        <f t="shared" si="1"/>
        <v>10728183661.343822</v>
      </c>
      <c r="S12" s="87"/>
      <c r="T12" s="81" t="e">
        <f t="shared" si="2"/>
        <v>#DIV/0!</v>
      </c>
      <c r="U12" s="87"/>
      <c r="V12" s="87"/>
      <c r="W12" s="87"/>
      <c r="Y12" s="75"/>
      <c r="Z12" s="75"/>
      <c r="AA12" s="75"/>
      <c r="AB12" s="98"/>
      <c r="AD12" s="88"/>
      <c r="AE12" s="99"/>
      <c r="AF12" s="69"/>
      <c r="AH12" s="15"/>
      <c r="AI12" s="69"/>
      <c r="AJ12" s="69"/>
      <c r="AK12" s="69"/>
      <c r="AL12" s="69"/>
      <c r="AM12" s="69"/>
      <c r="AN12" s="69"/>
      <c r="AO12" s="69"/>
      <c r="AQ12" s="75"/>
      <c r="AR12" s="75"/>
      <c r="AS12" s="75"/>
      <c r="AT12" s="98"/>
      <c r="AV12" s="88"/>
      <c r="AW12" s="99"/>
      <c r="AX12" s="69"/>
      <c r="AZ12" s="15"/>
      <c r="BA12" s="69"/>
      <c r="BB12" s="69"/>
      <c r="BC12" s="69"/>
      <c r="BD12" s="69"/>
      <c r="BE12" s="69"/>
      <c r="BF12" s="69"/>
      <c r="BG12" s="69"/>
    </row>
    <row r="13" spans="1:70" x14ac:dyDescent="0.4">
      <c r="A13" s="85" t="s">
        <v>191</v>
      </c>
      <c r="B13" s="76" t="s">
        <v>71</v>
      </c>
      <c r="C13" s="100" t="s">
        <v>0</v>
      </c>
      <c r="D13" s="129" t="s">
        <v>484</v>
      </c>
      <c r="E13" s="129" t="s">
        <v>484</v>
      </c>
      <c r="F13" s="129" t="s">
        <v>484</v>
      </c>
      <c r="G13" s="129" t="s">
        <v>484</v>
      </c>
      <c r="H13" s="129" t="s">
        <v>484</v>
      </c>
      <c r="I13" s="111">
        <v>4.8</v>
      </c>
      <c r="J13" s="82" t="s">
        <v>81</v>
      </c>
      <c r="K13" s="84">
        <v>10.87</v>
      </c>
      <c r="L13" s="86">
        <v>101000000</v>
      </c>
      <c r="M13" s="80">
        <v>0.4</v>
      </c>
      <c r="N13" s="81">
        <v>50</v>
      </c>
      <c r="O13" s="84">
        <v>3.14</v>
      </c>
      <c r="P13" s="94">
        <v>3.8415170079999998</v>
      </c>
      <c r="Q13" s="81">
        <f t="shared" si="0"/>
        <v>0.81738542181667218</v>
      </c>
      <c r="R13" s="81">
        <f t="shared" si="1"/>
        <v>10319490950.435486</v>
      </c>
      <c r="S13" s="81"/>
      <c r="T13" s="81" t="e">
        <f t="shared" si="2"/>
        <v>#DIV/0!</v>
      </c>
      <c r="U13" s="81" t="e">
        <f>AVERAGE(T11:T13)</f>
        <v>#DIV/0!</v>
      </c>
      <c r="V13" s="81" t="e">
        <f>_xlfn.STDEV.S(T11:T13)</f>
        <v>#DIV/0!</v>
      </c>
      <c r="W13" s="81">
        <f>MAX(K11:K13)-MIN(K11:K13)</f>
        <v>0.10999999999999943</v>
      </c>
      <c r="Y13" s="75"/>
      <c r="Z13" s="75"/>
      <c r="AA13" s="75"/>
      <c r="AB13" s="98"/>
      <c r="AD13" s="88"/>
      <c r="AE13" s="99"/>
      <c r="AF13" s="69"/>
      <c r="AH13" s="15"/>
      <c r="AI13" s="69"/>
      <c r="AJ13" s="69"/>
      <c r="AK13" s="69"/>
      <c r="AL13" s="69"/>
      <c r="AM13" s="69"/>
      <c r="AN13" s="69"/>
      <c r="AO13" s="69"/>
      <c r="AQ13" s="75"/>
      <c r="AR13" s="75"/>
      <c r="AS13" s="75"/>
      <c r="AT13" s="98"/>
      <c r="AV13" s="88"/>
      <c r="AW13" s="99"/>
      <c r="AX13" s="69"/>
      <c r="AZ13" s="15"/>
      <c r="BA13" s="69"/>
      <c r="BB13" s="69"/>
      <c r="BC13" s="69"/>
      <c r="BD13" s="69"/>
      <c r="BE13" s="69"/>
      <c r="BF13" s="69"/>
      <c r="BG13" s="69"/>
      <c r="BR13" s="88"/>
    </row>
    <row r="14" spans="1:70" x14ac:dyDescent="0.4">
      <c r="A14" s="85" t="s">
        <v>192</v>
      </c>
      <c r="B14" s="76" t="s">
        <v>72</v>
      </c>
      <c r="C14" s="100" t="s">
        <v>1</v>
      </c>
      <c r="D14" s="129" t="s">
        <v>484</v>
      </c>
      <c r="E14" s="129" t="s">
        <v>484</v>
      </c>
      <c r="F14" s="129" t="s">
        <v>484</v>
      </c>
      <c r="G14" s="129" t="s">
        <v>485</v>
      </c>
      <c r="H14" s="129" t="s">
        <v>484</v>
      </c>
      <c r="I14" s="111">
        <v>4.8</v>
      </c>
      <c r="J14" s="82" t="s">
        <v>81</v>
      </c>
      <c r="K14" s="84">
        <v>11.21</v>
      </c>
      <c r="L14" s="86">
        <v>80600000</v>
      </c>
      <c r="M14" s="80">
        <v>0.4</v>
      </c>
      <c r="N14" s="81">
        <v>50</v>
      </c>
      <c r="O14" s="84">
        <v>1.83</v>
      </c>
      <c r="P14" s="94">
        <v>2.122823479</v>
      </c>
      <c r="Q14" s="81">
        <f t="shared" si="0"/>
        <v>0.86205943080206526</v>
      </c>
      <c r="R14" s="81">
        <f t="shared" si="1"/>
        <v>8685248765.3308067</v>
      </c>
      <c r="S14" s="87"/>
      <c r="T14" s="81" t="e">
        <f t="shared" si="2"/>
        <v>#DIV/0!</v>
      </c>
      <c r="U14" s="81"/>
      <c r="V14" s="87"/>
      <c r="W14" s="87"/>
      <c r="Y14" s="75"/>
      <c r="Z14" s="75"/>
      <c r="AA14" s="75"/>
      <c r="AB14" s="98"/>
      <c r="AD14" s="88"/>
      <c r="AE14" s="99"/>
      <c r="AF14" s="69"/>
      <c r="AH14" s="15"/>
      <c r="AI14" s="69"/>
      <c r="AJ14" s="69"/>
      <c r="AK14" s="69"/>
      <c r="AL14" s="69"/>
      <c r="AM14" s="69"/>
      <c r="AN14" s="69"/>
      <c r="AO14" s="69"/>
      <c r="AQ14" s="75"/>
      <c r="AR14" s="75"/>
      <c r="AS14" s="75"/>
      <c r="AT14" s="98"/>
      <c r="AV14" s="88"/>
      <c r="AW14" s="99"/>
      <c r="AX14" s="69"/>
      <c r="AZ14" s="15"/>
      <c r="BA14" s="69"/>
      <c r="BB14" s="69"/>
      <c r="BC14" s="69"/>
      <c r="BD14" s="69"/>
      <c r="BE14" s="69"/>
      <c r="BF14" s="69"/>
      <c r="BG14" s="69"/>
      <c r="BR14" s="88"/>
    </row>
    <row r="15" spans="1:70" x14ac:dyDescent="0.4">
      <c r="A15" s="85" t="s">
        <v>193</v>
      </c>
      <c r="B15" s="85" t="s">
        <v>72</v>
      </c>
      <c r="C15" s="100" t="s">
        <v>1</v>
      </c>
      <c r="D15" s="129" t="s">
        <v>484</v>
      </c>
      <c r="E15" s="129" t="s">
        <v>484</v>
      </c>
      <c r="F15" s="129" t="s">
        <v>484</v>
      </c>
      <c r="G15" s="129" t="s">
        <v>485</v>
      </c>
      <c r="H15" s="129" t="s">
        <v>484</v>
      </c>
      <c r="I15" s="111">
        <v>4.8</v>
      </c>
      <c r="J15" s="82" t="s">
        <v>81</v>
      </c>
      <c r="K15" s="84">
        <v>11.34</v>
      </c>
      <c r="L15" s="86">
        <v>74100000</v>
      </c>
      <c r="M15" s="80">
        <v>0.4</v>
      </c>
      <c r="N15" s="81">
        <v>50</v>
      </c>
      <c r="O15" s="84">
        <v>1.83</v>
      </c>
      <c r="P15" s="94">
        <v>2.122823479</v>
      </c>
      <c r="Q15" s="81">
        <f t="shared" si="0"/>
        <v>0.86205943080206526</v>
      </c>
      <c r="R15" s="81">
        <f t="shared" si="1"/>
        <v>7984825477.8041286</v>
      </c>
      <c r="S15" s="81"/>
      <c r="T15" s="81" t="e">
        <f t="shared" si="2"/>
        <v>#DIV/0!</v>
      </c>
      <c r="U15" s="81"/>
      <c r="V15" s="81"/>
      <c r="W15" s="81"/>
      <c r="Y15" s="75"/>
      <c r="Z15" s="75"/>
      <c r="AA15" s="75"/>
      <c r="AB15" s="98"/>
      <c r="AD15" s="88"/>
      <c r="AE15" s="99"/>
      <c r="AF15" s="69"/>
      <c r="AH15" s="15"/>
      <c r="AI15" s="69"/>
      <c r="AJ15" s="69"/>
      <c r="AK15" s="69"/>
      <c r="AL15" s="69"/>
      <c r="AM15" s="69"/>
      <c r="AN15" s="69"/>
      <c r="AO15" s="69"/>
      <c r="AQ15" s="75"/>
      <c r="AR15" s="75"/>
      <c r="AS15" s="75"/>
      <c r="AT15" s="98"/>
      <c r="AV15" s="88"/>
      <c r="AW15" s="99"/>
      <c r="AX15" s="69"/>
      <c r="AZ15" s="15"/>
      <c r="BA15" s="69"/>
      <c r="BB15" s="69"/>
      <c r="BC15" s="69"/>
      <c r="BD15" s="69"/>
      <c r="BE15" s="69"/>
      <c r="BF15" s="69"/>
      <c r="BG15" s="69"/>
      <c r="BR15" s="88"/>
    </row>
    <row r="16" spans="1:70" x14ac:dyDescent="0.4">
      <c r="A16" s="85" t="s">
        <v>194</v>
      </c>
      <c r="B16" s="76" t="s">
        <v>72</v>
      </c>
      <c r="C16" s="100" t="s">
        <v>1</v>
      </c>
      <c r="D16" s="129" t="s">
        <v>484</v>
      </c>
      <c r="E16" s="129" t="s">
        <v>484</v>
      </c>
      <c r="F16" s="129" t="s">
        <v>484</v>
      </c>
      <c r="G16" s="129" t="s">
        <v>485</v>
      </c>
      <c r="H16" s="129" t="s">
        <v>484</v>
      </c>
      <c r="I16" s="111">
        <v>4.8</v>
      </c>
      <c r="J16" s="82" t="s">
        <v>81</v>
      </c>
      <c r="K16" s="84">
        <v>11.43</v>
      </c>
      <c r="L16" s="86">
        <v>69600000</v>
      </c>
      <c r="M16" s="80">
        <v>0.4</v>
      </c>
      <c r="N16" s="81">
        <v>50</v>
      </c>
      <c r="O16" s="84">
        <v>1.83</v>
      </c>
      <c r="P16" s="94">
        <v>2.122823479</v>
      </c>
      <c r="Q16" s="81">
        <f t="shared" si="0"/>
        <v>0.86205943080206526</v>
      </c>
      <c r="R16" s="81">
        <f t="shared" si="1"/>
        <v>7499917047.9779673</v>
      </c>
      <c r="S16" s="87"/>
      <c r="T16" s="81" t="e">
        <f t="shared" si="2"/>
        <v>#DIV/0!</v>
      </c>
      <c r="U16" s="81" t="e">
        <f>AVERAGE(T14:T16)</f>
        <v>#DIV/0!</v>
      </c>
      <c r="V16" s="81" t="e">
        <f>_xlfn.STDEV.S(T14:T16)</f>
        <v>#DIV/0!</v>
      </c>
      <c r="W16" s="81">
        <f>MAX(K14:K16)-MIN(K14:K16)</f>
        <v>0.21999999999999886</v>
      </c>
      <c r="Y16" s="75"/>
      <c r="Z16" s="75"/>
      <c r="AA16" s="75"/>
      <c r="AB16" s="98"/>
      <c r="AD16" s="88"/>
      <c r="AE16" s="99"/>
      <c r="AF16" s="69"/>
      <c r="AH16" s="15"/>
      <c r="AI16" s="69"/>
      <c r="AJ16" s="69"/>
      <c r="AK16" s="69"/>
      <c r="AL16" s="69"/>
      <c r="AM16" s="69"/>
      <c r="AN16" s="69"/>
      <c r="AO16" s="69"/>
      <c r="AQ16" s="75"/>
      <c r="AR16" s="75"/>
      <c r="AS16" s="75"/>
      <c r="AT16" s="98"/>
      <c r="AV16" s="88"/>
      <c r="AW16" s="99"/>
      <c r="AX16" s="69"/>
      <c r="AZ16" s="15"/>
      <c r="BA16" s="69"/>
      <c r="BB16" s="69"/>
      <c r="BC16" s="69"/>
      <c r="BD16" s="69"/>
      <c r="BE16" s="69"/>
      <c r="BF16" s="69"/>
      <c r="BG16" s="69"/>
      <c r="BR16" s="88"/>
    </row>
    <row r="17" spans="1:70" x14ac:dyDescent="0.4">
      <c r="A17" s="85" t="s">
        <v>195</v>
      </c>
      <c r="B17" s="76" t="s">
        <v>73</v>
      </c>
      <c r="C17" s="100" t="s">
        <v>2</v>
      </c>
      <c r="D17" s="129" t="s">
        <v>484</v>
      </c>
      <c r="E17" s="129" t="s">
        <v>485</v>
      </c>
      <c r="F17" s="129" t="s">
        <v>484</v>
      </c>
      <c r="G17" s="129" t="s">
        <v>484</v>
      </c>
      <c r="H17" s="129" t="s">
        <v>484</v>
      </c>
      <c r="I17" s="111">
        <v>4.8</v>
      </c>
      <c r="J17" s="82" t="s">
        <v>81</v>
      </c>
      <c r="K17" s="84">
        <v>9.93</v>
      </c>
      <c r="L17" s="86">
        <v>189000000</v>
      </c>
      <c r="M17" s="80">
        <v>0.4</v>
      </c>
      <c r="N17" s="81">
        <v>50</v>
      </c>
      <c r="O17" s="84">
        <v>6.65</v>
      </c>
      <c r="P17" s="94">
        <v>5.1668836589999998</v>
      </c>
      <c r="Q17" s="81">
        <f t="shared" si="0"/>
        <v>1.2870427203091008</v>
      </c>
      <c r="R17" s="81">
        <f t="shared" si="1"/>
        <v>30406384267.302505</v>
      </c>
      <c r="S17" s="81"/>
      <c r="T17" s="81" t="e">
        <f t="shared" si="2"/>
        <v>#DIV/0!</v>
      </c>
      <c r="U17" s="81"/>
      <c r="V17" s="81"/>
      <c r="W17" s="81"/>
      <c r="Y17" s="75"/>
      <c r="Z17" s="75"/>
      <c r="AA17" s="75"/>
      <c r="AB17" s="98"/>
      <c r="AD17" s="88"/>
      <c r="AE17" s="99"/>
      <c r="AF17" s="69"/>
      <c r="AH17" s="15"/>
      <c r="AI17" s="69"/>
      <c r="AJ17" s="69"/>
      <c r="AK17" s="69"/>
      <c r="AL17" s="69"/>
      <c r="AM17" s="69"/>
      <c r="AN17" s="69"/>
      <c r="AO17" s="69"/>
      <c r="AQ17" s="75"/>
      <c r="AR17" s="75"/>
      <c r="AS17" s="75"/>
      <c r="AT17" s="98"/>
      <c r="AW17" s="99"/>
      <c r="AX17" s="69"/>
      <c r="AZ17" s="15"/>
      <c r="BA17" s="69"/>
      <c r="BB17" s="69"/>
      <c r="BC17" s="69"/>
      <c r="BD17" s="69"/>
      <c r="BE17" s="69"/>
      <c r="BF17" s="69"/>
      <c r="BG17" s="69"/>
      <c r="BR17" s="88"/>
    </row>
    <row r="18" spans="1:70" x14ac:dyDescent="0.4">
      <c r="A18" s="85" t="s">
        <v>196</v>
      </c>
      <c r="B18" s="85" t="s">
        <v>73</v>
      </c>
      <c r="C18" s="100" t="s">
        <v>2</v>
      </c>
      <c r="D18" s="129" t="s">
        <v>484</v>
      </c>
      <c r="E18" s="129" t="s">
        <v>485</v>
      </c>
      <c r="F18" s="129" t="s">
        <v>484</v>
      </c>
      <c r="G18" s="129" t="s">
        <v>484</v>
      </c>
      <c r="H18" s="129" t="s">
        <v>484</v>
      </c>
      <c r="I18" s="111">
        <v>4.8</v>
      </c>
      <c r="J18" s="82" t="s">
        <v>81</v>
      </c>
      <c r="K18" s="84">
        <v>10.14</v>
      </c>
      <c r="L18" s="86">
        <v>164000000</v>
      </c>
      <c r="M18" s="80">
        <v>0.4</v>
      </c>
      <c r="N18" s="81">
        <v>50</v>
      </c>
      <c r="O18" s="84">
        <v>6.65</v>
      </c>
      <c r="P18" s="94">
        <v>5.1668836589999998</v>
      </c>
      <c r="Q18" s="81">
        <f t="shared" si="0"/>
        <v>1.2870427203091008</v>
      </c>
      <c r="R18" s="81">
        <f t="shared" si="1"/>
        <v>26384375766.336563</v>
      </c>
      <c r="S18" s="87"/>
      <c r="T18" s="81" t="e">
        <f t="shared" si="2"/>
        <v>#DIV/0!</v>
      </c>
      <c r="U18" s="81"/>
      <c r="V18" s="87"/>
      <c r="W18" s="87"/>
      <c r="Y18" s="75"/>
      <c r="Z18" s="75"/>
      <c r="AA18" s="75"/>
      <c r="AB18" s="98"/>
      <c r="AD18" s="88"/>
      <c r="AE18" s="99"/>
      <c r="AF18" s="69"/>
      <c r="AH18" s="15"/>
      <c r="AI18" s="69"/>
      <c r="AJ18" s="69"/>
      <c r="AK18" s="69"/>
      <c r="AL18" s="69"/>
      <c r="AM18" s="69"/>
      <c r="AN18" s="69"/>
      <c r="AO18" s="69"/>
      <c r="AQ18" s="75"/>
      <c r="AR18" s="75"/>
      <c r="AS18" s="75"/>
      <c r="AT18" s="98"/>
      <c r="AW18" s="99"/>
      <c r="AX18" s="69"/>
      <c r="AZ18" s="15"/>
      <c r="BA18" s="69"/>
      <c r="BB18" s="69"/>
      <c r="BC18" s="69"/>
      <c r="BD18" s="69"/>
      <c r="BE18" s="69"/>
      <c r="BF18" s="69"/>
      <c r="BG18" s="69"/>
      <c r="BR18" s="88"/>
    </row>
    <row r="19" spans="1:70" x14ac:dyDescent="0.4">
      <c r="A19" s="85" t="s">
        <v>197</v>
      </c>
      <c r="B19" s="76" t="s">
        <v>73</v>
      </c>
      <c r="C19" s="100" t="s">
        <v>2</v>
      </c>
      <c r="D19" s="129" t="s">
        <v>484</v>
      </c>
      <c r="E19" s="129" t="s">
        <v>485</v>
      </c>
      <c r="F19" s="129" t="s">
        <v>484</v>
      </c>
      <c r="G19" s="129" t="s">
        <v>484</v>
      </c>
      <c r="H19" s="129" t="s">
        <v>484</v>
      </c>
      <c r="I19" s="111">
        <v>4.8</v>
      </c>
      <c r="J19" s="82" t="s">
        <v>81</v>
      </c>
      <c r="K19" s="84">
        <v>10.199999999999999</v>
      </c>
      <c r="L19" s="86">
        <v>158000000</v>
      </c>
      <c r="M19" s="80">
        <v>0.4</v>
      </c>
      <c r="N19" s="81">
        <v>50</v>
      </c>
      <c r="O19" s="84">
        <v>6.65</v>
      </c>
      <c r="P19" s="94">
        <v>5.1668836589999998</v>
      </c>
      <c r="Q19" s="81">
        <f t="shared" si="0"/>
        <v>1.2870427203091008</v>
      </c>
      <c r="R19" s="81">
        <f t="shared" si="1"/>
        <v>25419093726.10474</v>
      </c>
      <c r="S19" s="81"/>
      <c r="T19" s="81" t="e">
        <f t="shared" si="2"/>
        <v>#DIV/0!</v>
      </c>
      <c r="U19" s="81" t="e">
        <f>AVERAGE(T17:T19)</f>
        <v>#DIV/0!</v>
      </c>
      <c r="V19" s="81" t="e">
        <f>_xlfn.STDEV.S(T17:T19)</f>
        <v>#DIV/0!</v>
      </c>
      <c r="W19" s="81">
        <f>MAX(K17:K19)-MIN(K17:K19)</f>
        <v>0.26999999999999957</v>
      </c>
      <c r="Y19" s="75"/>
      <c r="Z19" s="75"/>
      <c r="AA19" s="75"/>
      <c r="AB19" s="98"/>
      <c r="AD19" s="88"/>
      <c r="AE19" s="99"/>
      <c r="AF19" s="69"/>
      <c r="AH19" s="15"/>
      <c r="AI19" s="69"/>
      <c r="AJ19" s="69"/>
      <c r="AK19" s="69"/>
      <c r="AL19" s="69"/>
      <c r="AM19" s="69"/>
      <c r="AN19" s="69"/>
      <c r="AO19" s="69"/>
      <c r="AQ19" s="75"/>
      <c r="AR19" s="75"/>
      <c r="AS19" s="75"/>
      <c r="AT19" s="98"/>
      <c r="AW19" s="99"/>
      <c r="AX19" s="69"/>
      <c r="AZ19" s="15"/>
      <c r="BA19" s="69"/>
      <c r="BB19" s="69"/>
      <c r="BC19" s="69"/>
      <c r="BD19" s="69"/>
      <c r="BE19" s="69"/>
      <c r="BF19" s="69"/>
      <c r="BG19" s="69"/>
    </row>
    <row r="20" spans="1:70" x14ac:dyDescent="0.4">
      <c r="A20" s="85" t="s">
        <v>198</v>
      </c>
      <c r="B20" s="85" t="s">
        <v>74</v>
      </c>
      <c r="C20" s="100" t="s">
        <v>3</v>
      </c>
      <c r="D20" s="129" t="s">
        <v>484</v>
      </c>
      <c r="E20" s="129" t="s">
        <v>485</v>
      </c>
      <c r="F20" s="129" t="s">
        <v>484</v>
      </c>
      <c r="G20" s="129" t="s">
        <v>485</v>
      </c>
      <c r="H20" s="129" t="s">
        <v>484</v>
      </c>
      <c r="I20" s="111">
        <v>4.8</v>
      </c>
      <c r="J20" s="82" t="s">
        <v>81</v>
      </c>
      <c r="K20" s="84">
        <v>10.14</v>
      </c>
      <c r="L20" s="86">
        <v>164000000</v>
      </c>
      <c r="M20" s="80">
        <v>0.4</v>
      </c>
      <c r="N20" s="81">
        <v>50</v>
      </c>
      <c r="O20" s="84">
        <v>2.6</v>
      </c>
      <c r="P20" s="94">
        <v>2.9581238569999999</v>
      </c>
      <c r="Q20" s="81">
        <f t="shared" si="0"/>
        <v>0.87893547589207666</v>
      </c>
      <c r="R20" s="81">
        <f t="shared" si="1"/>
        <v>18018177255.787571</v>
      </c>
      <c r="S20" s="87"/>
      <c r="T20" s="81" t="e">
        <f t="shared" si="2"/>
        <v>#DIV/0!</v>
      </c>
      <c r="U20" s="81"/>
      <c r="V20" s="87"/>
      <c r="W20" s="87"/>
      <c r="Y20" s="75"/>
      <c r="Z20" s="75"/>
      <c r="AA20" s="75"/>
      <c r="AB20" s="98"/>
      <c r="AD20" s="88"/>
      <c r="AE20" s="99"/>
      <c r="AF20" s="69"/>
      <c r="AH20" s="15"/>
      <c r="AI20" s="69"/>
      <c r="AJ20" s="69"/>
      <c r="AK20" s="69"/>
      <c r="AL20" s="69"/>
      <c r="AM20" s="69"/>
      <c r="AN20" s="69"/>
      <c r="AO20" s="69"/>
      <c r="AQ20" s="75"/>
      <c r="AR20" s="75"/>
      <c r="AS20" s="75"/>
      <c r="AT20" s="98"/>
      <c r="AV20" s="88"/>
      <c r="AW20" s="99"/>
      <c r="AX20" s="69"/>
      <c r="AZ20" s="15"/>
      <c r="BA20" s="69"/>
      <c r="BB20" s="69"/>
      <c r="BC20" s="69"/>
      <c r="BD20" s="69"/>
      <c r="BE20" s="69"/>
      <c r="BF20" s="69"/>
      <c r="BG20" s="69"/>
      <c r="BL20" s="89"/>
    </row>
    <row r="21" spans="1:70" x14ac:dyDescent="0.4">
      <c r="A21" s="85" t="s">
        <v>199</v>
      </c>
      <c r="B21" s="90" t="s">
        <v>74</v>
      </c>
      <c r="C21" s="100" t="s">
        <v>3</v>
      </c>
      <c r="D21" s="129" t="s">
        <v>484</v>
      </c>
      <c r="E21" s="129" t="s">
        <v>485</v>
      </c>
      <c r="F21" s="129" t="s">
        <v>484</v>
      </c>
      <c r="G21" s="129" t="s">
        <v>485</v>
      </c>
      <c r="H21" s="129" t="s">
        <v>484</v>
      </c>
      <c r="I21" s="111">
        <v>4.8</v>
      </c>
      <c r="J21" s="82" t="s">
        <v>81</v>
      </c>
      <c r="K21" s="84">
        <v>10.210000000000001</v>
      </c>
      <c r="L21" s="86">
        <v>157000000</v>
      </c>
      <c r="M21" s="80">
        <v>0.4</v>
      </c>
      <c r="N21" s="81">
        <v>50</v>
      </c>
      <c r="O21" s="84">
        <v>2.6</v>
      </c>
      <c r="P21" s="94">
        <v>2.9581238569999999</v>
      </c>
      <c r="Q21" s="81">
        <f t="shared" si="0"/>
        <v>0.87893547589207666</v>
      </c>
      <c r="R21" s="81">
        <f t="shared" si="1"/>
        <v>17249108714.382004</v>
      </c>
      <c r="S21" s="91"/>
      <c r="T21" s="81" t="e">
        <f t="shared" si="2"/>
        <v>#DIV/0!</v>
      </c>
      <c r="U21" s="81"/>
      <c r="V21" s="91"/>
      <c r="W21" s="91"/>
      <c r="Y21" s="75"/>
      <c r="Z21" s="75"/>
      <c r="AA21" s="75"/>
      <c r="AB21" s="98"/>
      <c r="AD21" s="88"/>
      <c r="AE21" s="99"/>
      <c r="AF21" s="69"/>
      <c r="AH21" s="15"/>
      <c r="AI21" s="69"/>
      <c r="AJ21" s="69"/>
      <c r="AK21" s="69"/>
      <c r="AL21" s="69"/>
      <c r="AM21" s="69"/>
      <c r="AN21" s="69"/>
      <c r="AO21" s="69"/>
      <c r="AQ21" s="75"/>
      <c r="AR21" s="75"/>
      <c r="AS21" s="75"/>
      <c r="AT21" s="98"/>
      <c r="AV21" s="88"/>
      <c r="AW21" s="99"/>
      <c r="AX21" s="69"/>
      <c r="AZ21" s="15"/>
      <c r="BA21" s="69"/>
      <c r="BB21" s="69"/>
      <c r="BC21" s="69"/>
      <c r="BD21" s="69"/>
      <c r="BE21" s="69"/>
      <c r="BF21" s="69"/>
      <c r="BG21" s="69"/>
      <c r="BL21" s="89"/>
    </row>
    <row r="22" spans="1:70" x14ac:dyDescent="0.4">
      <c r="A22" s="85" t="s">
        <v>200</v>
      </c>
      <c r="B22" s="92" t="s">
        <v>74</v>
      </c>
      <c r="C22" s="100" t="s">
        <v>3</v>
      </c>
      <c r="D22" s="129" t="s">
        <v>484</v>
      </c>
      <c r="E22" s="129" t="s">
        <v>485</v>
      </c>
      <c r="F22" s="129" t="s">
        <v>484</v>
      </c>
      <c r="G22" s="129" t="s">
        <v>485</v>
      </c>
      <c r="H22" s="129" t="s">
        <v>484</v>
      </c>
      <c r="I22" s="111">
        <v>4.8</v>
      </c>
      <c r="J22" s="82" t="s">
        <v>81</v>
      </c>
      <c r="K22" s="84">
        <v>10.130000000000001</v>
      </c>
      <c r="L22" s="86">
        <v>165000000</v>
      </c>
      <c r="M22" s="80">
        <v>0.4</v>
      </c>
      <c r="N22" s="81">
        <v>50</v>
      </c>
      <c r="O22" s="84">
        <v>2.6</v>
      </c>
      <c r="P22" s="94">
        <v>2.9581238569999999</v>
      </c>
      <c r="Q22" s="81">
        <f t="shared" si="0"/>
        <v>0.87893547589207666</v>
      </c>
      <c r="R22" s="81">
        <f t="shared" si="1"/>
        <v>18128044190.274078</v>
      </c>
      <c r="S22" s="84"/>
      <c r="T22" s="81" t="e">
        <f t="shared" si="2"/>
        <v>#DIV/0!</v>
      </c>
      <c r="U22" s="81" t="e">
        <f>AVERAGE(T20:T22)</f>
        <v>#DIV/0!</v>
      </c>
      <c r="V22" s="81" t="e">
        <f>_xlfn.STDEV.S(T20:T22)</f>
        <v>#DIV/0!</v>
      </c>
      <c r="W22" s="81">
        <f>MAX(K20:K22)-MIN(K20:K22)</f>
        <v>8.0000000000000071E-2</v>
      </c>
      <c r="Y22" s="75"/>
      <c r="Z22" s="2"/>
      <c r="AA22" s="75"/>
      <c r="AB22" s="98"/>
      <c r="AD22" s="88"/>
      <c r="AE22" s="99"/>
      <c r="AF22" s="69"/>
      <c r="AH22" s="15"/>
      <c r="AI22" s="69"/>
      <c r="AJ22" s="69"/>
      <c r="AL22" s="69"/>
      <c r="AM22" s="69"/>
      <c r="AN22" s="69"/>
      <c r="AO22" s="69"/>
      <c r="AQ22" s="75"/>
      <c r="AR22" s="2"/>
      <c r="AS22" s="75"/>
      <c r="AT22" s="98"/>
      <c r="AV22" s="88"/>
      <c r="AW22" s="99"/>
      <c r="AX22" s="69"/>
      <c r="AZ22" s="15"/>
      <c r="BA22" s="69"/>
      <c r="BB22" s="69"/>
      <c r="BD22" s="69"/>
      <c r="BE22" s="69"/>
      <c r="BF22" s="69"/>
      <c r="BG22" s="69"/>
      <c r="BL22" s="89"/>
      <c r="BR22" s="88"/>
    </row>
    <row r="23" spans="1:70" x14ac:dyDescent="0.4">
      <c r="A23" s="85" t="s">
        <v>201</v>
      </c>
      <c r="B23" s="92" t="s">
        <v>82</v>
      </c>
      <c r="C23" s="100" t="s">
        <v>0</v>
      </c>
      <c r="D23" s="129" t="s">
        <v>484</v>
      </c>
      <c r="E23" s="129" t="s">
        <v>484</v>
      </c>
      <c r="F23" s="129" t="s">
        <v>484</v>
      </c>
      <c r="G23" s="129" t="s">
        <v>484</v>
      </c>
      <c r="H23" s="129" t="s">
        <v>484</v>
      </c>
      <c r="I23" s="111">
        <v>5.8</v>
      </c>
      <c r="J23" s="82" t="s">
        <v>81</v>
      </c>
      <c r="K23" s="84">
        <v>8.76</v>
      </c>
      <c r="L23" s="86">
        <v>410000000</v>
      </c>
      <c r="M23" s="80">
        <v>0.4</v>
      </c>
      <c r="N23" s="81">
        <v>50</v>
      </c>
      <c r="O23" s="84">
        <v>25.81</v>
      </c>
      <c r="P23" s="94">
        <v>7.9015254659999998</v>
      </c>
      <c r="Q23" s="81">
        <f t="shared" si="0"/>
        <v>3.2664578645047171</v>
      </c>
      <c r="R23" s="81">
        <f t="shared" si="1"/>
        <v>167405965555.86676</v>
      </c>
      <c r="S23" s="84"/>
      <c r="T23" s="81" t="e">
        <f t="shared" si="2"/>
        <v>#DIV/0!</v>
      </c>
      <c r="U23" s="81"/>
      <c r="V23" s="84"/>
      <c r="W23" s="84"/>
      <c r="Y23" s="75"/>
      <c r="Z23" s="2"/>
      <c r="AA23" s="75"/>
      <c r="AB23" s="98"/>
      <c r="AD23" s="88"/>
      <c r="AE23" s="99"/>
      <c r="AF23" s="69"/>
      <c r="AH23" s="15"/>
      <c r="AI23" s="69"/>
      <c r="AJ23" s="69"/>
      <c r="AL23" s="69"/>
      <c r="AM23" s="69"/>
      <c r="AQ23" s="75"/>
      <c r="AR23" s="2"/>
      <c r="AS23" s="75"/>
      <c r="AT23" s="98"/>
      <c r="AV23" s="88"/>
      <c r="AW23" s="99"/>
      <c r="AX23" s="69"/>
      <c r="AZ23" s="15"/>
      <c r="BA23" s="69"/>
      <c r="BB23" s="69"/>
      <c r="BD23" s="69"/>
      <c r="BE23" s="69"/>
      <c r="BR23" s="88"/>
    </row>
    <row r="24" spans="1:70" x14ac:dyDescent="0.4">
      <c r="A24" s="85" t="s">
        <v>202</v>
      </c>
      <c r="B24" s="92" t="s">
        <v>82</v>
      </c>
      <c r="C24" s="100" t="s">
        <v>0</v>
      </c>
      <c r="D24" s="129" t="s">
        <v>484</v>
      </c>
      <c r="E24" s="129" t="s">
        <v>484</v>
      </c>
      <c r="F24" s="129" t="s">
        <v>484</v>
      </c>
      <c r="G24" s="129" t="s">
        <v>484</v>
      </c>
      <c r="H24" s="129" t="s">
        <v>484</v>
      </c>
      <c r="I24" s="111">
        <v>5.8</v>
      </c>
      <c r="J24" s="82" t="s">
        <v>81</v>
      </c>
      <c r="K24" s="84">
        <v>8.75</v>
      </c>
      <c r="L24" s="86">
        <v>412000000</v>
      </c>
      <c r="M24" s="80">
        <v>0.4</v>
      </c>
      <c r="N24" s="81">
        <v>50</v>
      </c>
      <c r="O24" s="84">
        <v>25.81</v>
      </c>
      <c r="P24" s="94">
        <v>7.9015254659999998</v>
      </c>
      <c r="Q24" s="81">
        <f t="shared" si="0"/>
        <v>3.2664578645047171</v>
      </c>
      <c r="R24" s="81">
        <f t="shared" si="1"/>
        <v>168222580021.99292</v>
      </c>
      <c r="S24" s="84"/>
      <c r="T24" s="81" t="e">
        <f t="shared" si="2"/>
        <v>#DIV/0!</v>
      </c>
      <c r="U24" s="81"/>
      <c r="V24" s="84"/>
      <c r="W24" s="84"/>
      <c r="Y24" s="75"/>
      <c r="Z24" s="2"/>
      <c r="AA24" s="75"/>
      <c r="AB24" s="98"/>
      <c r="AD24" s="88"/>
      <c r="AE24" s="99"/>
      <c r="AF24" s="69"/>
      <c r="AH24" s="15"/>
      <c r="AI24" s="69"/>
      <c r="AJ24" s="69"/>
      <c r="AL24" s="69"/>
      <c r="AM24" s="69"/>
      <c r="AQ24" s="75"/>
      <c r="AR24" s="2"/>
      <c r="AS24" s="75"/>
      <c r="AT24" s="98"/>
      <c r="AV24" s="88"/>
      <c r="AW24" s="99"/>
      <c r="AX24" s="69"/>
      <c r="AZ24" s="15"/>
      <c r="BA24" s="69"/>
      <c r="BB24" s="69"/>
      <c r="BD24" s="69"/>
      <c r="BE24" s="69"/>
      <c r="BR24" s="88"/>
    </row>
    <row r="25" spans="1:70" x14ac:dyDescent="0.4">
      <c r="A25" s="85" t="s">
        <v>203</v>
      </c>
      <c r="B25" s="92" t="s">
        <v>82</v>
      </c>
      <c r="C25" s="100" t="s">
        <v>0</v>
      </c>
      <c r="D25" s="129" t="s">
        <v>484</v>
      </c>
      <c r="E25" s="129" t="s">
        <v>484</v>
      </c>
      <c r="F25" s="129" t="s">
        <v>484</v>
      </c>
      <c r="G25" s="129" t="s">
        <v>484</v>
      </c>
      <c r="H25" s="129" t="s">
        <v>484</v>
      </c>
      <c r="I25" s="111">
        <v>5.8</v>
      </c>
      <c r="J25" s="82" t="s">
        <v>81</v>
      </c>
      <c r="K25" s="84">
        <v>9</v>
      </c>
      <c r="L25" s="86">
        <v>349000000</v>
      </c>
      <c r="M25" s="80">
        <v>0.4</v>
      </c>
      <c r="N25" s="81">
        <v>50</v>
      </c>
      <c r="O25" s="84">
        <v>25.81</v>
      </c>
      <c r="P25" s="94">
        <v>7.9015254659999998</v>
      </c>
      <c r="Q25" s="81">
        <f t="shared" si="0"/>
        <v>3.2664578645047171</v>
      </c>
      <c r="R25" s="81">
        <f t="shared" si="1"/>
        <v>142499224339.01828</v>
      </c>
      <c r="S25" s="84"/>
      <c r="T25" s="81" t="e">
        <f t="shared" si="2"/>
        <v>#DIV/0!</v>
      </c>
      <c r="U25" s="81" t="e">
        <f>AVERAGE(T23:T25)</f>
        <v>#DIV/0!</v>
      </c>
      <c r="V25" s="81" t="e">
        <f>_xlfn.STDEV.S(T23:T25)</f>
        <v>#DIV/0!</v>
      </c>
      <c r="W25" s="81">
        <f>MAX(K23:K25)-MIN(K23:K25)</f>
        <v>0.25</v>
      </c>
      <c r="Y25" s="75"/>
      <c r="Z25" s="2"/>
      <c r="AA25" s="75"/>
      <c r="AB25" s="98"/>
      <c r="AD25" s="88"/>
      <c r="AE25" s="99"/>
      <c r="AF25" s="69"/>
      <c r="AH25" s="15"/>
      <c r="AI25" s="69"/>
      <c r="AJ25" s="69"/>
      <c r="AL25" s="69"/>
      <c r="AM25" s="69"/>
      <c r="AN25" s="69"/>
      <c r="AO25" s="69"/>
      <c r="AQ25" s="75"/>
      <c r="AR25" s="2"/>
      <c r="AS25" s="75"/>
      <c r="AT25" s="98"/>
      <c r="AV25" s="88"/>
      <c r="AW25" s="99"/>
      <c r="AX25" s="69"/>
      <c r="AZ25" s="15"/>
      <c r="BA25" s="69"/>
      <c r="BB25" s="69"/>
      <c r="BD25" s="69"/>
      <c r="BE25" s="69"/>
      <c r="BF25" s="69"/>
      <c r="BG25" s="69"/>
      <c r="BR25" s="88"/>
    </row>
    <row r="26" spans="1:70" x14ac:dyDescent="0.4">
      <c r="A26" s="85" t="s">
        <v>204</v>
      </c>
      <c r="B26" s="92" t="s">
        <v>83</v>
      </c>
      <c r="C26" s="100" t="s">
        <v>1</v>
      </c>
      <c r="D26" s="129" t="s">
        <v>484</v>
      </c>
      <c r="E26" s="129" t="s">
        <v>484</v>
      </c>
      <c r="F26" s="129" t="s">
        <v>484</v>
      </c>
      <c r="G26" s="129" t="s">
        <v>485</v>
      </c>
      <c r="H26" s="129" t="s">
        <v>484</v>
      </c>
      <c r="I26" s="111">
        <v>5.8</v>
      </c>
      <c r="J26" s="82" t="s">
        <v>81</v>
      </c>
      <c r="K26" s="84">
        <v>8.1199999999999992</v>
      </c>
      <c r="L26" s="86">
        <v>627000000</v>
      </c>
      <c r="M26" s="80">
        <v>0.4</v>
      </c>
      <c r="N26" s="81">
        <v>50</v>
      </c>
      <c r="O26" s="84">
        <v>38.130000000000003</v>
      </c>
      <c r="P26" s="94">
        <v>5.3672855950000002</v>
      </c>
      <c r="Q26" s="81">
        <f t="shared" si="0"/>
        <v>7.1041496348770314</v>
      </c>
      <c r="R26" s="81">
        <f t="shared" si="1"/>
        <v>556787727633.4873</v>
      </c>
      <c r="S26" s="84"/>
      <c r="T26" s="81" t="e">
        <f t="shared" si="2"/>
        <v>#DIV/0!</v>
      </c>
      <c r="U26" s="81"/>
      <c r="V26" s="84"/>
      <c r="W26" s="84"/>
      <c r="Y26" s="75"/>
      <c r="Z26" s="2"/>
      <c r="AA26" s="75"/>
      <c r="AB26" s="98"/>
      <c r="AD26" s="88"/>
      <c r="AE26" s="99"/>
      <c r="AF26" s="69"/>
      <c r="AH26" s="15"/>
      <c r="AI26" s="69"/>
      <c r="AJ26" s="69"/>
      <c r="AL26" s="69"/>
      <c r="AM26" s="69"/>
      <c r="AQ26" s="75"/>
      <c r="AR26" s="2"/>
      <c r="AS26" s="75"/>
      <c r="AT26" s="98"/>
      <c r="AV26" s="88"/>
      <c r="AW26" s="99"/>
      <c r="AX26" s="69"/>
      <c r="AZ26" s="15"/>
      <c r="BA26" s="69"/>
      <c r="BB26" s="69"/>
      <c r="BD26" s="69"/>
      <c r="BE26" s="69"/>
      <c r="BR26" s="88"/>
    </row>
    <row r="27" spans="1:70" x14ac:dyDescent="0.4">
      <c r="A27" s="85" t="s">
        <v>205</v>
      </c>
      <c r="B27" s="92" t="s">
        <v>83</v>
      </c>
      <c r="C27" s="100" t="s">
        <v>1</v>
      </c>
      <c r="D27" s="129" t="s">
        <v>484</v>
      </c>
      <c r="E27" s="129" t="s">
        <v>484</v>
      </c>
      <c r="F27" s="129" t="s">
        <v>484</v>
      </c>
      <c r="G27" s="129" t="s">
        <v>485</v>
      </c>
      <c r="H27" s="129" t="s">
        <v>484</v>
      </c>
      <c r="I27" s="111">
        <v>5.8</v>
      </c>
      <c r="J27" s="82" t="s">
        <v>81</v>
      </c>
      <c r="K27" s="84">
        <v>8.4700000000000006</v>
      </c>
      <c r="L27" s="86">
        <v>497000000</v>
      </c>
      <c r="M27" s="80">
        <v>0.4</v>
      </c>
      <c r="N27" s="81">
        <v>50</v>
      </c>
      <c r="O27" s="84">
        <v>38.130000000000003</v>
      </c>
      <c r="P27" s="94">
        <v>5.3672855950000002</v>
      </c>
      <c r="Q27" s="81">
        <f t="shared" si="0"/>
        <v>7.1041496348770314</v>
      </c>
      <c r="R27" s="81">
        <f t="shared" si="1"/>
        <v>441345296066.7356</v>
      </c>
      <c r="S27" s="84"/>
      <c r="T27" s="81" t="e">
        <f t="shared" si="2"/>
        <v>#DIV/0!</v>
      </c>
      <c r="U27" s="81"/>
      <c r="V27" s="84"/>
      <c r="W27" s="84"/>
      <c r="Y27" s="75"/>
      <c r="Z27" s="2"/>
      <c r="AA27" s="75"/>
      <c r="AB27" s="98"/>
      <c r="AD27" s="88"/>
      <c r="AE27" s="99"/>
      <c r="AF27" s="69"/>
      <c r="AH27" s="15"/>
      <c r="AI27" s="69"/>
      <c r="AJ27" s="69"/>
      <c r="AL27" s="69"/>
      <c r="AM27" s="69"/>
      <c r="AQ27" s="75"/>
      <c r="AR27" s="2"/>
      <c r="AS27" s="75"/>
      <c r="AT27" s="98"/>
      <c r="AV27" s="88"/>
      <c r="AW27" s="99"/>
      <c r="AX27" s="69"/>
      <c r="AZ27" s="15"/>
      <c r="BA27" s="69"/>
      <c r="BB27" s="69"/>
      <c r="BD27" s="69"/>
      <c r="BE27" s="69"/>
      <c r="BR27" s="88"/>
    </row>
    <row r="28" spans="1:70" x14ac:dyDescent="0.4">
      <c r="A28" s="85" t="s">
        <v>206</v>
      </c>
      <c r="B28" s="92" t="s">
        <v>83</v>
      </c>
      <c r="C28" s="100" t="s">
        <v>1</v>
      </c>
      <c r="D28" s="129" t="s">
        <v>484</v>
      </c>
      <c r="E28" s="129" t="s">
        <v>484</v>
      </c>
      <c r="F28" s="129" t="s">
        <v>484</v>
      </c>
      <c r="G28" s="129" t="s">
        <v>485</v>
      </c>
      <c r="H28" s="129" t="s">
        <v>484</v>
      </c>
      <c r="I28" s="111">
        <v>5.8</v>
      </c>
      <c r="J28" s="82" t="s">
        <v>81</v>
      </c>
      <c r="K28" s="84">
        <v>9.19</v>
      </c>
      <c r="L28" s="86">
        <v>308000000</v>
      </c>
      <c r="M28" s="80">
        <v>0.4</v>
      </c>
      <c r="N28" s="81">
        <v>50</v>
      </c>
      <c r="O28" s="84">
        <v>38.130000000000003</v>
      </c>
      <c r="P28" s="94">
        <v>5.3672855950000002</v>
      </c>
      <c r="Q28" s="81">
        <f t="shared" si="0"/>
        <v>7.1041496348770314</v>
      </c>
      <c r="R28" s="81">
        <f t="shared" si="1"/>
        <v>273509760942.76569</v>
      </c>
      <c r="S28" s="84"/>
      <c r="T28" s="81" t="e">
        <f t="shared" si="2"/>
        <v>#DIV/0!</v>
      </c>
      <c r="U28" s="81" t="e">
        <f>AVERAGE(T26:T28)</f>
        <v>#DIV/0!</v>
      </c>
      <c r="V28" s="81" t="e">
        <f>_xlfn.STDEV.S(T26:T28)</f>
        <v>#DIV/0!</v>
      </c>
      <c r="W28" s="81">
        <f>MAX(K26:K28)-MIN(K26:K28)</f>
        <v>1.0700000000000003</v>
      </c>
      <c r="Y28" s="75"/>
      <c r="Z28" s="2"/>
      <c r="AA28" s="75"/>
      <c r="AB28" s="98"/>
      <c r="AD28" s="88"/>
      <c r="AE28" s="99"/>
      <c r="AF28" s="69"/>
      <c r="AH28" s="15"/>
      <c r="AI28" s="69"/>
      <c r="AJ28" s="69"/>
      <c r="AL28" s="69"/>
      <c r="AM28" s="69"/>
      <c r="AN28" s="69"/>
      <c r="AO28" s="69"/>
      <c r="AQ28" s="75"/>
      <c r="AR28" s="2"/>
      <c r="AS28" s="75"/>
      <c r="AT28" s="98"/>
      <c r="AV28" s="88"/>
      <c r="AW28" s="99"/>
      <c r="AX28" s="69"/>
      <c r="AZ28" s="15"/>
      <c r="BA28" s="69"/>
      <c r="BB28" s="69"/>
      <c r="BD28" s="69"/>
      <c r="BE28" s="69"/>
      <c r="BF28" s="69"/>
      <c r="BG28" s="69"/>
      <c r="BR28" s="88"/>
    </row>
    <row r="29" spans="1:70" x14ac:dyDescent="0.4">
      <c r="A29" s="85" t="s">
        <v>207</v>
      </c>
      <c r="B29" s="92" t="s">
        <v>84</v>
      </c>
      <c r="C29" s="100" t="s">
        <v>2</v>
      </c>
      <c r="D29" s="129" t="s">
        <v>484</v>
      </c>
      <c r="E29" s="129" t="s">
        <v>485</v>
      </c>
      <c r="F29" s="129" t="s">
        <v>484</v>
      </c>
      <c r="G29" s="129" t="s">
        <v>484</v>
      </c>
      <c r="H29" s="129" t="s">
        <v>484</v>
      </c>
      <c r="I29" s="111">
        <v>5.8</v>
      </c>
      <c r="J29" s="82" t="s">
        <v>81</v>
      </c>
      <c r="K29" s="84">
        <v>7.61</v>
      </c>
      <c r="L29" s="86">
        <v>882000000</v>
      </c>
      <c r="M29" s="80">
        <v>0.4</v>
      </c>
      <c r="N29" s="81">
        <v>50</v>
      </c>
      <c r="O29" s="84">
        <v>50.72</v>
      </c>
      <c r="P29" s="94">
        <v>6.3145562860000002</v>
      </c>
      <c r="Q29" s="81">
        <f t="shared" si="0"/>
        <v>8.0322349984354862</v>
      </c>
      <c r="R29" s="81">
        <f t="shared" si="1"/>
        <v>885553908577.51233</v>
      </c>
      <c r="S29" s="84"/>
      <c r="T29" s="81" t="e">
        <f t="shared" si="2"/>
        <v>#DIV/0!</v>
      </c>
      <c r="U29" s="81"/>
      <c r="V29" s="84"/>
      <c r="W29" s="84"/>
      <c r="Y29" s="75"/>
      <c r="Z29" s="2"/>
      <c r="AA29" s="75"/>
      <c r="AB29" s="98"/>
      <c r="AD29" s="88"/>
      <c r="AE29" s="99"/>
      <c r="AF29" s="69"/>
      <c r="AH29" s="15"/>
      <c r="AI29" s="69"/>
      <c r="AJ29" s="69"/>
      <c r="AL29" s="69"/>
      <c r="AM29" s="69"/>
      <c r="AQ29" s="75"/>
      <c r="AR29" s="75"/>
      <c r="AS29" s="75"/>
      <c r="AT29" s="98"/>
      <c r="AW29" s="99"/>
      <c r="AZ29" s="15"/>
      <c r="BA29" s="69"/>
      <c r="BB29" s="69"/>
      <c r="BD29" s="69"/>
      <c r="BE29" s="69"/>
      <c r="BR29" s="88"/>
    </row>
    <row r="30" spans="1:70" x14ac:dyDescent="0.4">
      <c r="A30" s="85" t="s">
        <v>208</v>
      </c>
      <c r="B30" s="92" t="s">
        <v>84</v>
      </c>
      <c r="C30" s="100" t="s">
        <v>2</v>
      </c>
      <c r="D30" s="129" t="s">
        <v>484</v>
      </c>
      <c r="E30" s="129" t="s">
        <v>485</v>
      </c>
      <c r="F30" s="129" t="s">
        <v>484</v>
      </c>
      <c r="G30" s="129" t="s">
        <v>484</v>
      </c>
      <c r="H30" s="129" t="s">
        <v>484</v>
      </c>
      <c r="I30" s="111">
        <v>5.8</v>
      </c>
      <c r="J30" s="82" t="s">
        <v>81</v>
      </c>
      <c r="K30" s="84">
        <v>7.67</v>
      </c>
      <c r="L30" s="86">
        <v>848000000</v>
      </c>
      <c r="M30" s="80">
        <v>0.4</v>
      </c>
      <c r="N30" s="81">
        <v>50</v>
      </c>
      <c r="O30" s="84">
        <v>50.72</v>
      </c>
      <c r="P30" s="94">
        <v>6.3145562860000002</v>
      </c>
      <c r="Q30" s="81">
        <f t="shared" si="0"/>
        <v>8.0322349984354862</v>
      </c>
      <c r="R30" s="81">
        <f t="shared" si="1"/>
        <v>851416909834.1615</v>
      </c>
      <c r="S30" s="84"/>
      <c r="T30" s="81" t="e">
        <f t="shared" si="2"/>
        <v>#DIV/0!</v>
      </c>
      <c r="U30" s="81"/>
      <c r="V30" s="84"/>
      <c r="W30" s="84"/>
      <c r="Y30" s="75"/>
      <c r="Z30" s="2"/>
      <c r="AA30" s="75"/>
      <c r="AB30" s="98"/>
      <c r="AD30" s="88"/>
      <c r="AE30" s="99"/>
      <c r="AF30" s="69"/>
      <c r="AH30" s="15"/>
      <c r="AI30" s="69"/>
      <c r="AJ30" s="69"/>
      <c r="AL30" s="69"/>
      <c r="AM30" s="69"/>
      <c r="AQ30" s="75"/>
      <c r="AR30" s="75"/>
      <c r="AS30" s="75"/>
      <c r="AT30" s="98"/>
      <c r="AW30" s="99"/>
      <c r="AZ30" s="15"/>
      <c r="BA30" s="69"/>
      <c r="BB30" s="69"/>
      <c r="BD30" s="69"/>
      <c r="BE30" s="69"/>
      <c r="BR30" s="88"/>
    </row>
    <row r="31" spans="1:70" x14ac:dyDescent="0.4">
      <c r="A31" s="85" t="s">
        <v>209</v>
      </c>
      <c r="B31" s="92" t="s">
        <v>84</v>
      </c>
      <c r="C31" s="100" t="s">
        <v>2</v>
      </c>
      <c r="D31" s="129" t="s">
        <v>484</v>
      </c>
      <c r="E31" s="129" t="s">
        <v>485</v>
      </c>
      <c r="F31" s="129" t="s">
        <v>484</v>
      </c>
      <c r="G31" s="129" t="s">
        <v>484</v>
      </c>
      <c r="H31" s="129" t="s">
        <v>484</v>
      </c>
      <c r="I31" s="111">
        <v>5.8</v>
      </c>
      <c r="J31" s="82" t="s">
        <v>81</v>
      </c>
      <c r="K31" s="84">
        <v>8.4</v>
      </c>
      <c r="L31" s="86">
        <v>521000000</v>
      </c>
      <c r="M31" s="80">
        <v>0.4</v>
      </c>
      <c r="N31" s="81">
        <v>50</v>
      </c>
      <c r="O31" s="84">
        <v>50.72</v>
      </c>
      <c r="P31" s="94">
        <v>6.3145562860000002</v>
      </c>
      <c r="Q31" s="81">
        <f t="shared" si="0"/>
        <v>8.0322349984354862</v>
      </c>
      <c r="R31" s="81">
        <f t="shared" si="1"/>
        <v>523099304273.11102</v>
      </c>
      <c r="S31" s="84"/>
      <c r="T31" s="81" t="e">
        <f t="shared" si="2"/>
        <v>#DIV/0!</v>
      </c>
      <c r="U31" s="81" t="e">
        <f>AVERAGE(T29:T31)</f>
        <v>#DIV/0!</v>
      </c>
      <c r="V31" s="81" t="e">
        <f>_xlfn.STDEV.S(T29:T31)</f>
        <v>#DIV/0!</v>
      </c>
      <c r="W31" s="81">
        <f>MAX(K29:K31)-MIN(K29:K31)</f>
        <v>0.79</v>
      </c>
      <c r="Y31" s="75"/>
      <c r="Z31" s="2"/>
      <c r="AA31" s="75"/>
      <c r="AB31" s="98"/>
      <c r="AD31" s="88"/>
      <c r="AE31" s="99"/>
      <c r="AF31" s="69"/>
      <c r="AH31" s="15"/>
      <c r="AI31" s="69"/>
      <c r="AJ31" s="69"/>
      <c r="AL31" s="69"/>
      <c r="AM31" s="69"/>
      <c r="AN31" s="69"/>
      <c r="AO31" s="69"/>
      <c r="AQ31" s="75"/>
      <c r="AR31" s="75"/>
      <c r="AS31" s="75"/>
      <c r="AT31" s="98"/>
      <c r="AW31" s="99"/>
      <c r="AZ31" s="15"/>
      <c r="BA31" s="69"/>
      <c r="BB31" s="69"/>
      <c r="BD31" s="69"/>
      <c r="BE31" s="69"/>
      <c r="BF31" s="69"/>
      <c r="BG31" s="69"/>
    </row>
    <row r="32" spans="1:70" x14ac:dyDescent="0.4">
      <c r="A32" s="85" t="s">
        <v>210</v>
      </c>
      <c r="B32" s="92" t="s">
        <v>85</v>
      </c>
      <c r="C32" s="100" t="s">
        <v>3</v>
      </c>
      <c r="D32" s="129" t="s">
        <v>484</v>
      </c>
      <c r="E32" s="129" t="s">
        <v>485</v>
      </c>
      <c r="F32" s="129" t="s">
        <v>484</v>
      </c>
      <c r="G32" s="129" t="s">
        <v>485</v>
      </c>
      <c r="H32" s="129" t="s">
        <v>484</v>
      </c>
      <c r="I32" s="111">
        <v>5.8</v>
      </c>
      <c r="J32" s="82" t="s">
        <v>81</v>
      </c>
      <c r="K32" s="84">
        <v>8.67</v>
      </c>
      <c r="L32" s="86">
        <v>435000000</v>
      </c>
      <c r="M32" s="80">
        <v>0.4</v>
      </c>
      <c r="N32" s="81">
        <v>50</v>
      </c>
      <c r="O32" s="84">
        <v>69.39</v>
      </c>
      <c r="P32" s="94">
        <v>7.0441633360000004</v>
      </c>
      <c r="Q32" s="81">
        <f t="shared" si="0"/>
        <v>9.8507085497825546</v>
      </c>
      <c r="R32" s="81">
        <f t="shared" si="1"/>
        <v>535632277394.42639</v>
      </c>
      <c r="S32" s="84"/>
      <c r="T32" s="81" t="e">
        <f t="shared" si="2"/>
        <v>#DIV/0!</v>
      </c>
      <c r="U32" s="81"/>
      <c r="V32" s="84"/>
      <c r="W32" s="84"/>
      <c r="Y32" s="75"/>
      <c r="Z32" s="2"/>
      <c r="AA32" s="75"/>
      <c r="AB32" s="98"/>
      <c r="AD32" s="88"/>
      <c r="AE32" s="99"/>
      <c r="AF32" s="69"/>
      <c r="AH32" s="15"/>
      <c r="AI32" s="69"/>
      <c r="AJ32" s="69"/>
      <c r="AL32" s="69"/>
      <c r="AM32" s="69"/>
      <c r="AQ32" s="75"/>
      <c r="AR32" s="2"/>
      <c r="AS32" s="75"/>
      <c r="AT32" s="98"/>
      <c r="AV32" s="88"/>
      <c r="AW32" s="99"/>
      <c r="AX32" s="69"/>
      <c r="AZ32" s="15"/>
      <c r="BA32" s="69"/>
      <c r="BB32" s="69"/>
      <c r="BD32" s="69"/>
      <c r="BE32" s="69"/>
    </row>
    <row r="33" spans="1:70" x14ac:dyDescent="0.4">
      <c r="A33" s="85" t="s">
        <v>211</v>
      </c>
      <c r="B33" s="92" t="s">
        <v>85</v>
      </c>
      <c r="C33" s="100" t="s">
        <v>3</v>
      </c>
      <c r="D33" s="129" t="s">
        <v>484</v>
      </c>
      <c r="E33" s="129" t="s">
        <v>485</v>
      </c>
      <c r="F33" s="129" t="s">
        <v>484</v>
      </c>
      <c r="G33" s="129" t="s">
        <v>485</v>
      </c>
      <c r="H33" s="129" t="s">
        <v>484</v>
      </c>
      <c r="I33" s="111">
        <v>5.8</v>
      </c>
      <c r="J33" s="82" t="s">
        <v>81</v>
      </c>
      <c r="K33" s="84">
        <v>8.8000000000000007</v>
      </c>
      <c r="L33" s="86">
        <v>399000000</v>
      </c>
      <c r="M33" s="80">
        <v>0.4</v>
      </c>
      <c r="N33" s="81">
        <v>50</v>
      </c>
      <c r="O33" s="84">
        <v>69.39</v>
      </c>
      <c r="P33" s="94">
        <v>7.0441633360000004</v>
      </c>
      <c r="Q33" s="81">
        <f t="shared" si="0"/>
        <v>9.8507085497825546</v>
      </c>
      <c r="R33" s="81">
        <f t="shared" si="1"/>
        <v>491304088920.40485</v>
      </c>
      <c r="S33" s="84"/>
      <c r="T33" s="81" t="e">
        <f t="shared" si="2"/>
        <v>#DIV/0!</v>
      </c>
      <c r="U33" s="81"/>
      <c r="V33" s="84"/>
      <c r="W33" s="84"/>
      <c r="Y33" s="75"/>
      <c r="Z33" s="2"/>
      <c r="AA33" s="75"/>
      <c r="AB33" s="98"/>
      <c r="AD33" s="88"/>
      <c r="AE33" s="99"/>
      <c r="AF33" s="69"/>
      <c r="AH33" s="15"/>
      <c r="AI33" s="69"/>
      <c r="AJ33" s="69"/>
      <c r="AL33" s="69"/>
      <c r="AM33" s="69"/>
      <c r="AQ33" s="75"/>
      <c r="AR33" s="2"/>
      <c r="AS33" s="75"/>
      <c r="AT33" s="98"/>
      <c r="AV33" s="88"/>
      <c r="AW33" s="99"/>
      <c r="AX33" s="69"/>
      <c r="AZ33" s="15"/>
      <c r="BA33" s="69"/>
      <c r="BB33" s="69"/>
      <c r="BD33" s="69"/>
      <c r="BE33" s="69"/>
    </row>
    <row r="34" spans="1:70" x14ac:dyDescent="0.4">
      <c r="A34" s="85" t="s">
        <v>212</v>
      </c>
      <c r="B34" s="92" t="s">
        <v>85</v>
      </c>
      <c r="C34" s="100" t="s">
        <v>3</v>
      </c>
      <c r="D34" s="129" t="s">
        <v>484</v>
      </c>
      <c r="E34" s="129" t="s">
        <v>485</v>
      </c>
      <c r="F34" s="129" t="s">
        <v>484</v>
      </c>
      <c r="G34" s="129" t="s">
        <v>485</v>
      </c>
      <c r="H34" s="129" t="s">
        <v>484</v>
      </c>
      <c r="I34" s="111">
        <v>5.8</v>
      </c>
      <c r="J34" s="82" t="s">
        <v>81</v>
      </c>
      <c r="K34" s="84">
        <v>8.98</v>
      </c>
      <c r="L34" s="86">
        <v>354000000</v>
      </c>
      <c r="M34" s="80">
        <v>0.4</v>
      </c>
      <c r="N34" s="81">
        <v>50</v>
      </c>
      <c r="O34" s="84">
        <v>69.39</v>
      </c>
      <c r="P34" s="94">
        <v>7.0441633360000004</v>
      </c>
      <c r="Q34" s="81">
        <f t="shared" si="0"/>
        <v>9.8507085497825546</v>
      </c>
      <c r="R34" s="81">
        <f t="shared" si="1"/>
        <v>435893853327.87799</v>
      </c>
      <c r="S34" s="84"/>
      <c r="T34" s="81" t="e">
        <f t="shared" si="2"/>
        <v>#DIV/0!</v>
      </c>
      <c r="U34" s="81" t="e">
        <f>AVERAGE(T32:T34)</f>
        <v>#DIV/0!</v>
      </c>
      <c r="V34" s="81" t="e">
        <f>_xlfn.STDEV.S(T32:T34)</f>
        <v>#DIV/0!</v>
      </c>
      <c r="W34" s="81">
        <f>MAX(K32:K34)-MIN(K32:K34)</f>
        <v>0.3100000000000005</v>
      </c>
      <c r="Y34" s="75"/>
      <c r="Z34" s="2"/>
      <c r="AA34" s="75"/>
      <c r="AB34" s="98"/>
      <c r="AD34" s="88"/>
      <c r="AE34" s="99"/>
      <c r="AF34" s="69"/>
      <c r="AH34" s="15"/>
      <c r="AI34" s="69"/>
      <c r="AJ34" s="69"/>
      <c r="AL34" s="69"/>
      <c r="AM34" s="69"/>
      <c r="AN34" s="69"/>
      <c r="AO34" s="69"/>
      <c r="AQ34" s="75"/>
      <c r="AR34" s="2"/>
      <c r="AS34" s="75"/>
      <c r="AT34" s="98"/>
      <c r="AV34" s="88"/>
      <c r="AW34" s="99"/>
      <c r="AX34" s="69"/>
      <c r="AZ34" s="15"/>
      <c r="BA34" s="69"/>
      <c r="BB34" s="69"/>
      <c r="BD34" s="69"/>
      <c r="BE34" s="69"/>
      <c r="BF34" s="69"/>
      <c r="BG34" s="69"/>
      <c r="BR34" s="88"/>
    </row>
    <row r="35" spans="1:70" x14ac:dyDescent="0.4">
      <c r="A35" s="85" t="s">
        <v>213</v>
      </c>
      <c r="B35" s="92" t="s">
        <v>92</v>
      </c>
      <c r="C35" s="100" t="s">
        <v>0</v>
      </c>
      <c r="D35" s="129" t="s">
        <v>484</v>
      </c>
      <c r="E35" s="129" t="s">
        <v>484</v>
      </c>
      <c r="F35" s="129" t="s">
        <v>484</v>
      </c>
      <c r="G35" s="129" t="s">
        <v>484</v>
      </c>
      <c r="H35" s="129" t="s">
        <v>484</v>
      </c>
      <c r="I35" s="111">
        <v>4.8</v>
      </c>
      <c r="J35" s="82" t="s">
        <v>132</v>
      </c>
      <c r="K35" s="84">
        <v>13.77</v>
      </c>
      <c r="L35" s="86">
        <v>14800000</v>
      </c>
      <c r="M35" s="80">
        <v>0.4</v>
      </c>
      <c r="N35" s="81">
        <v>50</v>
      </c>
      <c r="O35" s="84">
        <v>0.72</v>
      </c>
      <c r="P35" s="94">
        <v>4.2003374000000003E-2</v>
      </c>
      <c r="Q35" s="81">
        <f t="shared" si="0"/>
        <v>17.141480110621586</v>
      </c>
      <c r="R35" s="81">
        <f t="shared" si="1"/>
        <v>31711738204.649933</v>
      </c>
      <c r="S35" s="84"/>
      <c r="T35" s="81" t="e">
        <f t="shared" si="2"/>
        <v>#DIV/0!</v>
      </c>
      <c r="U35" s="81"/>
      <c r="V35" s="84"/>
      <c r="W35" s="84"/>
      <c r="Y35" s="75"/>
      <c r="Z35" s="2"/>
      <c r="AA35" s="75"/>
      <c r="AB35" s="98"/>
      <c r="AD35" s="88"/>
      <c r="AE35" s="99"/>
      <c r="AF35" s="69"/>
      <c r="AH35" s="15"/>
      <c r="AI35" s="69"/>
      <c r="AJ35" s="69"/>
      <c r="AL35" s="69"/>
      <c r="AM35" s="69"/>
      <c r="AQ35" s="75"/>
      <c r="AR35" s="2"/>
      <c r="AS35" s="75"/>
      <c r="AT35" s="98"/>
      <c r="AV35" s="88"/>
      <c r="AW35" s="99"/>
      <c r="AX35" s="69"/>
      <c r="AZ35" s="15"/>
      <c r="BA35" s="69"/>
      <c r="BB35" s="69"/>
      <c r="BD35" s="69"/>
      <c r="BE35" s="69"/>
      <c r="BR35" s="88"/>
    </row>
    <row r="36" spans="1:70" x14ac:dyDescent="0.4">
      <c r="A36" s="85" t="s">
        <v>214</v>
      </c>
      <c r="B36" s="92" t="s">
        <v>92</v>
      </c>
      <c r="C36" s="100" t="s">
        <v>0</v>
      </c>
      <c r="D36" s="129" t="s">
        <v>484</v>
      </c>
      <c r="E36" s="129" t="s">
        <v>484</v>
      </c>
      <c r="F36" s="129" t="s">
        <v>484</v>
      </c>
      <c r="G36" s="129" t="s">
        <v>484</v>
      </c>
      <c r="H36" s="129" t="s">
        <v>484</v>
      </c>
      <c r="I36" s="111">
        <v>4.8</v>
      </c>
      <c r="J36" s="82" t="s">
        <v>132</v>
      </c>
      <c r="K36" s="84">
        <v>14.12</v>
      </c>
      <c r="L36" s="86">
        <v>11700000</v>
      </c>
      <c r="M36" s="80">
        <v>0.4</v>
      </c>
      <c r="N36" s="81">
        <v>50</v>
      </c>
      <c r="O36" s="84">
        <v>0.72</v>
      </c>
      <c r="P36" s="94">
        <v>4.2003374000000003E-2</v>
      </c>
      <c r="Q36" s="81">
        <f t="shared" si="0"/>
        <v>17.141480110621586</v>
      </c>
      <c r="R36" s="81">
        <f t="shared" si="1"/>
        <v>25069414661.784069</v>
      </c>
      <c r="S36" s="84"/>
      <c r="T36" s="81" t="e">
        <f t="shared" si="2"/>
        <v>#DIV/0!</v>
      </c>
      <c r="U36" s="81"/>
      <c r="V36" s="84"/>
      <c r="W36" s="84"/>
      <c r="Y36" s="75"/>
      <c r="Z36" s="2"/>
      <c r="AA36" s="75"/>
      <c r="AB36" s="98"/>
      <c r="AD36" s="88"/>
      <c r="AE36" s="99"/>
      <c r="AF36" s="69"/>
      <c r="AH36" s="15"/>
      <c r="AI36" s="69"/>
      <c r="AJ36" s="69"/>
      <c r="AL36" s="69"/>
      <c r="AM36" s="69"/>
      <c r="AQ36" s="75"/>
      <c r="AR36" s="2"/>
      <c r="AS36" s="75"/>
      <c r="AT36" s="98"/>
      <c r="AV36" s="88"/>
      <c r="AW36" s="99"/>
      <c r="AX36" s="69"/>
      <c r="AZ36" s="15"/>
      <c r="BA36" s="69"/>
      <c r="BB36" s="69"/>
      <c r="BD36" s="69"/>
      <c r="BE36" s="69"/>
      <c r="BR36" s="88"/>
    </row>
    <row r="37" spans="1:70" x14ac:dyDescent="0.4">
      <c r="A37" s="85" t="s">
        <v>215</v>
      </c>
      <c r="B37" s="92" t="s">
        <v>92</v>
      </c>
      <c r="C37" s="100" t="s">
        <v>0</v>
      </c>
      <c r="D37" s="129" t="s">
        <v>484</v>
      </c>
      <c r="E37" s="129" t="s">
        <v>484</v>
      </c>
      <c r="F37" s="129" t="s">
        <v>484</v>
      </c>
      <c r="G37" s="129" t="s">
        <v>484</v>
      </c>
      <c r="H37" s="129" t="s">
        <v>484</v>
      </c>
      <c r="I37" s="111">
        <v>4.8</v>
      </c>
      <c r="J37" s="82" t="s">
        <v>132</v>
      </c>
      <c r="K37" s="84">
        <v>13.95</v>
      </c>
      <c r="L37" s="86">
        <v>13100000</v>
      </c>
      <c r="M37" s="80">
        <v>0.4</v>
      </c>
      <c r="N37" s="81">
        <v>50</v>
      </c>
      <c r="O37" s="84">
        <v>0.72</v>
      </c>
      <c r="P37" s="94">
        <v>4.2003374000000003E-2</v>
      </c>
      <c r="Q37" s="81">
        <f t="shared" si="0"/>
        <v>17.141480110621586</v>
      </c>
      <c r="R37" s="81">
        <f t="shared" si="1"/>
        <v>28069173681.142845</v>
      </c>
      <c r="S37" s="84"/>
      <c r="T37" s="81" t="e">
        <f t="shared" si="2"/>
        <v>#DIV/0!</v>
      </c>
      <c r="U37" s="81" t="e">
        <f>AVERAGE(T35:T37)</f>
        <v>#DIV/0!</v>
      </c>
      <c r="V37" s="81" t="e">
        <f>_xlfn.STDEV.S(T35:T37)</f>
        <v>#DIV/0!</v>
      </c>
      <c r="W37" s="81">
        <f>MAX(K35:K37)-MIN(K35:K37)</f>
        <v>0.34999999999999964</v>
      </c>
      <c r="Y37" s="75"/>
      <c r="Z37" s="2"/>
      <c r="AA37" s="75"/>
      <c r="AB37" s="98"/>
      <c r="AD37" s="88"/>
      <c r="AE37" s="99"/>
      <c r="AF37" s="69"/>
      <c r="AH37" s="15"/>
      <c r="AI37" s="69"/>
      <c r="AJ37" s="69"/>
      <c r="AL37" s="69"/>
      <c r="AM37" s="69"/>
      <c r="AN37" s="69"/>
      <c r="AO37" s="69"/>
      <c r="AQ37" s="75"/>
      <c r="AR37" s="2"/>
      <c r="AS37" s="75"/>
      <c r="AT37" s="98"/>
      <c r="AV37" s="88"/>
      <c r="AW37" s="99"/>
      <c r="AX37" s="69"/>
      <c r="AZ37" s="15"/>
      <c r="BA37" s="69"/>
      <c r="BB37" s="69"/>
      <c r="BD37" s="69"/>
      <c r="BE37" s="69"/>
      <c r="BF37" s="69"/>
      <c r="BG37" s="69"/>
      <c r="BR37" s="88"/>
    </row>
    <row r="38" spans="1:70" x14ac:dyDescent="0.4">
      <c r="A38" s="85" t="s">
        <v>216</v>
      </c>
      <c r="B38" s="92" t="s">
        <v>93</v>
      </c>
      <c r="C38" s="100" t="s">
        <v>1</v>
      </c>
      <c r="D38" s="129" t="s">
        <v>484</v>
      </c>
      <c r="E38" s="129" t="s">
        <v>484</v>
      </c>
      <c r="F38" s="129" t="s">
        <v>484</v>
      </c>
      <c r="G38" s="129" t="s">
        <v>485</v>
      </c>
      <c r="H38" s="129" t="s">
        <v>484</v>
      </c>
      <c r="I38" s="111">
        <v>4.8</v>
      </c>
      <c r="J38" s="82" t="s">
        <v>132</v>
      </c>
      <c r="K38" s="84">
        <v>18.46</v>
      </c>
      <c r="L38" s="86">
        <v>655000</v>
      </c>
      <c r="M38" s="80">
        <v>0.4</v>
      </c>
      <c r="N38" s="81">
        <v>50</v>
      </c>
      <c r="O38" s="84">
        <v>-0.18</v>
      </c>
      <c r="P38" s="94">
        <v>-0.251168689</v>
      </c>
      <c r="Q38" s="81">
        <f t="shared" si="0"/>
        <v>0.71664983687516881</v>
      </c>
      <c r="R38" s="81">
        <f t="shared" si="1"/>
        <v>58675705.394154437</v>
      </c>
      <c r="S38" s="84"/>
      <c r="T38" s="81" t="e">
        <f t="shared" si="2"/>
        <v>#DIV/0!</v>
      </c>
      <c r="U38" s="81"/>
      <c r="V38" s="84"/>
      <c r="W38" s="84"/>
      <c r="Y38" s="75"/>
      <c r="Z38" s="2"/>
      <c r="AA38" s="75"/>
      <c r="AB38" s="98"/>
      <c r="AD38" s="88"/>
      <c r="AE38" s="99"/>
      <c r="AF38" s="69"/>
      <c r="AH38" s="15"/>
      <c r="AI38" s="69"/>
      <c r="AJ38" s="69"/>
      <c r="AL38" s="69"/>
      <c r="AM38" s="69"/>
      <c r="AQ38" s="75"/>
      <c r="AR38" s="2"/>
      <c r="AS38" s="75"/>
      <c r="AT38" s="98"/>
      <c r="AV38" s="88"/>
      <c r="AW38" s="99"/>
      <c r="AX38" s="69"/>
      <c r="AZ38" s="15"/>
      <c r="BA38" s="69"/>
      <c r="BB38" s="69"/>
      <c r="BD38" s="69"/>
      <c r="BE38" s="69"/>
      <c r="BR38" s="88"/>
    </row>
    <row r="39" spans="1:70" x14ac:dyDescent="0.4">
      <c r="A39" s="85" t="s">
        <v>217</v>
      </c>
      <c r="B39" s="92" t="s">
        <v>93</v>
      </c>
      <c r="C39" s="100" t="s">
        <v>1</v>
      </c>
      <c r="D39" s="129" t="s">
        <v>484</v>
      </c>
      <c r="E39" s="129" t="s">
        <v>484</v>
      </c>
      <c r="F39" s="129" t="s">
        <v>484</v>
      </c>
      <c r="G39" s="129" t="s">
        <v>485</v>
      </c>
      <c r="H39" s="129" t="s">
        <v>484</v>
      </c>
      <c r="I39" s="111">
        <v>4.8</v>
      </c>
      <c r="J39" s="82" t="s">
        <v>132</v>
      </c>
      <c r="K39" s="84">
        <v>18.55</v>
      </c>
      <c r="L39" s="86">
        <v>615000</v>
      </c>
      <c r="M39" s="80">
        <v>0.4</v>
      </c>
      <c r="N39" s="81">
        <v>50</v>
      </c>
      <c r="O39" s="84">
        <v>-0.18</v>
      </c>
      <c r="P39" s="94">
        <v>-0.251168689</v>
      </c>
      <c r="Q39" s="81">
        <f t="shared" si="0"/>
        <v>0.71664983687516881</v>
      </c>
      <c r="R39" s="81">
        <f t="shared" si="1"/>
        <v>55092456.209778599</v>
      </c>
      <c r="S39" s="84"/>
      <c r="T39" s="81" t="e">
        <f t="shared" si="2"/>
        <v>#DIV/0!</v>
      </c>
      <c r="U39" s="81"/>
      <c r="V39" s="84"/>
      <c r="W39" s="84"/>
      <c r="Y39" s="75"/>
      <c r="Z39" s="2"/>
      <c r="AA39" s="75"/>
      <c r="AB39" s="98"/>
      <c r="AD39" s="88"/>
      <c r="AE39" s="99"/>
      <c r="AF39" s="69"/>
      <c r="AH39" s="15"/>
      <c r="AI39" s="69"/>
      <c r="AJ39" s="69"/>
      <c r="AL39" s="69"/>
      <c r="AM39" s="69"/>
      <c r="AQ39" s="75"/>
      <c r="AR39" s="2"/>
      <c r="AS39" s="75"/>
      <c r="AT39" s="98"/>
      <c r="AV39" s="88"/>
      <c r="AW39" s="99"/>
      <c r="AX39" s="69"/>
      <c r="AZ39" s="15"/>
      <c r="BA39" s="69"/>
      <c r="BB39" s="69"/>
      <c r="BD39" s="69"/>
      <c r="BE39" s="69"/>
      <c r="BR39" s="88"/>
    </row>
    <row r="40" spans="1:70" x14ac:dyDescent="0.4">
      <c r="A40" s="85" t="s">
        <v>218</v>
      </c>
      <c r="B40" s="92" t="s">
        <v>93</v>
      </c>
      <c r="C40" s="100" t="s">
        <v>1</v>
      </c>
      <c r="D40" s="129" t="s">
        <v>484</v>
      </c>
      <c r="E40" s="129" t="s">
        <v>484</v>
      </c>
      <c r="F40" s="129" t="s">
        <v>484</v>
      </c>
      <c r="G40" s="129" t="s">
        <v>485</v>
      </c>
      <c r="H40" s="129" t="s">
        <v>484</v>
      </c>
      <c r="I40" s="111">
        <v>4.8</v>
      </c>
      <c r="J40" s="82" t="s">
        <v>132</v>
      </c>
      <c r="K40" s="84">
        <v>18.559999999999999</v>
      </c>
      <c r="L40" s="86">
        <v>614000</v>
      </c>
      <c r="M40" s="80">
        <v>0.4</v>
      </c>
      <c r="N40" s="81">
        <v>50</v>
      </c>
      <c r="O40" s="84">
        <v>-0.18</v>
      </c>
      <c r="P40" s="94">
        <v>-0.251168689</v>
      </c>
      <c r="Q40" s="81">
        <f t="shared" si="0"/>
        <v>0.71664983687516881</v>
      </c>
      <c r="R40" s="81">
        <f t="shared" si="1"/>
        <v>55002874.980169207</v>
      </c>
      <c r="S40" s="84"/>
      <c r="T40" s="81" t="e">
        <f t="shared" si="2"/>
        <v>#DIV/0!</v>
      </c>
      <c r="U40" s="81" t="e">
        <f>AVERAGE(T38:T40)</f>
        <v>#DIV/0!</v>
      </c>
      <c r="V40" s="81" t="e">
        <f>_xlfn.STDEV.S(T38:T40)</f>
        <v>#DIV/0!</v>
      </c>
      <c r="W40" s="81">
        <f>MAX(K38:K40)-MIN(K38:K40)</f>
        <v>9.9999999999997868E-2</v>
      </c>
      <c r="Y40" s="75"/>
      <c r="Z40" s="2"/>
      <c r="AA40" s="75"/>
      <c r="AB40" s="98"/>
      <c r="AD40" s="88"/>
      <c r="AE40" s="99"/>
      <c r="AF40" s="69"/>
      <c r="AH40" s="15"/>
      <c r="AI40" s="69"/>
      <c r="AJ40" s="69"/>
      <c r="AL40" s="69"/>
      <c r="AM40" s="69"/>
      <c r="AN40" s="69"/>
      <c r="AO40" s="69"/>
      <c r="AQ40" s="75"/>
      <c r="AR40" s="2"/>
      <c r="AS40" s="75"/>
      <c r="AT40" s="98"/>
      <c r="AV40" s="88"/>
      <c r="AW40" s="99"/>
      <c r="AX40" s="69"/>
      <c r="AZ40" s="15"/>
      <c r="BA40" s="69"/>
      <c r="BB40" s="69"/>
      <c r="BD40" s="69"/>
      <c r="BE40" s="69"/>
      <c r="BF40" s="69"/>
      <c r="BG40" s="69"/>
      <c r="BR40" s="88"/>
    </row>
    <row r="41" spans="1:70" x14ac:dyDescent="0.4">
      <c r="A41" s="85" t="s">
        <v>219</v>
      </c>
      <c r="B41" s="92" t="s">
        <v>94</v>
      </c>
      <c r="C41" s="100" t="s">
        <v>2</v>
      </c>
      <c r="D41" s="129" t="s">
        <v>484</v>
      </c>
      <c r="E41" s="129" t="s">
        <v>485</v>
      </c>
      <c r="F41" s="129" t="s">
        <v>484</v>
      </c>
      <c r="G41" s="129" t="s">
        <v>484</v>
      </c>
      <c r="H41" s="129" t="s">
        <v>484</v>
      </c>
      <c r="I41" s="111">
        <v>4.8</v>
      </c>
      <c r="J41" s="82" t="s">
        <v>132</v>
      </c>
      <c r="K41" s="84">
        <v>19.010000000000002</v>
      </c>
      <c r="L41" s="86">
        <v>453000</v>
      </c>
      <c r="M41" s="80">
        <v>0.4</v>
      </c>
      <c r="N41" s="81">
        <v>50</v>
      </c>
      <c r="O41" s="84">
        <v>-0.18</v>
      </c>
      <c r="P41" s="94">
        <v>-0.24969175199999999</v>
      </c>
      <c r="Q41" s="81">
        <f t="shared" si="0"/>
        <v>0.72088885018516746</v>
      </c>
      <c r="R41" s="81">
        <f t="shared" si="1"/>
        <v>40820331.141735107</v>
      </c>
      <c r="S41" s="84"/>
      <c r="T41" s="81" t="e">
        <f t="shared" si="2"/>
        <v>#DIV/0!</v>
      </c>
      <c r="U41" s="81"/>
      <c r="V41" s="84"/>
      <c r="W41" s="84"/>
      <c r="Y41" s="75"/>
      <c r="Z41" s="2"/>
      <c r="AA41" s="75"/>
      <c r="AB41" s="98"/>
      <c r="AD41" s="88"/>
      <c r="AE41" s="99"/>
      <c r="AF41" s="69"/>
      <c r="AH41" s="15"/>
      <c r="AI41" s="69"/>
      <c r="AJ41" s="69"/>
      <c r="AL41" s="69"/>
      <c r="AM41" s="69"/>
      <c r="AQ41" s="75"/>
      <c r="AR41" s="75"/>
      <c r="AS41" s="75"/>
      <c r="AT41" s="98"/>
      <c r="AW41" s="99"/>
      <c r="AZ41" s="15"/>
      <c r="BA41" s="69"/>
      <c r="BB41" s="69"/>
      <c r="BD41" s="69"/>
      <c r="BE41" s="69"/>
      <c r="BR41" s="88"/>
    </row>
    <row r="42" spans="1:70" x14ac:dyDescent="0.4">
      <c r="A42" s="85" t="s">
        <v>220</v>
      </c>
      <c r="B42" s="92" t="s">
        <v>94</v>
      </c>
      <c r="C42" s="100" t="s">
        <v>2</v>
      </c>
      <c r="D42" s="129" t="s">
        <v>484</v>
      </c>
      <c r="E42" s="129" t="s">
        <v>485</v>
      </c>
      <c r="F42" s="129" t="s">
        <v>484</v>
      </c>
      <c r="G42" s="129" t="s">
        <v>484</v>
      </c>
      <c r="H42" s="129" t="s">
        <v>484</v>
      </c>
      <c r="I42" s="111">
        <v>4.8</v>
      </c>
      <c r="J42" s="82" t="s">
        <v>132</v>
      </c>
      <c r="K42" s="84">
        <v>18.98</v>
      </c>
      <c r="L42" s="86">
        <v>463000</v>
      </c>
      <c r="M42" s="80">
        <v>0.4</v>
      </c>
      <c r="N42" s="81">
        <v>50</v>
      </c>
      <c r="O42" s="84">
        <v>-0.18</v>
      </c>
      <c r="P42" s="94">
        <v>-0.24969175199999999</v>
      </c>
      <c r="Q42" s="81">
        <f t="shared" si="0"/>
        <v>0.72088885018516746</v>
      </c>
      <c r="R42" s="81">
        <f t="shared" si="1"/>
        <v>41721442.204466559</v>
      </c>
      <c r="S42" s="84"/>
      <c r="T42" s="81" t="e">
        <f t="shared" si="2"/>
        <v>#DIV/0!</v>
      </c>
      <c r="U42" s="81"/>
      <c r="V42" s="84"/>
      <c r="W42" s="84"/>
      <c r="Y42" s="75"/>
      <c r="Z42" s="2"/>
      <c r="AA42" s="75"/>
      <c r="AB42" s="98"/>
      <c r="AD42" s="88"/>
      <c r="AE42" s="99"/>
      <c r="AF42" s="69"/>
      <c r="AH42" s="15"/>
      <c r="AI42" s="69"/>
      <c r="AJ42" s="69"/>
      <c r="AL42" s="69"/>
      <c r="AM42" s="69"/>
      <c r="AQ42" s="75"/>
      <c r="AR42" s="75"/>
      <c r="AS42" s="75"/>
      <c r="AT42" s="98"/>
      <c r="AW42" s="99"/>
      <c r="AZ42" s="15"/>
      <c r="BA42" s="69"/>
      <c r="BB42" s="69"/>
      <c r="BD42" s="69"/>
      <c r="BE42" s="69"/>
      <c r="BR42" s="88"/>
    </row>
    <row r="43" spans="1:70" x14ac:dyDescent="0.4">
      <c r="A43" s="85" t="s">
        <v>221</v>
      </c>
      <c r="B43" s="92" t="s">
        <v>94</v>
      </c>
      <c r="C43" s="100" t="s">
        <v>2</v>
      </c>
      <c r="D43" s="129" t="s">
        <v>484</v>
      </c>
      <c r="E43" s="129" t="s">
        <v>485</v>
      </c>
      <c r="F43" s="129" t="s">
        <v>484</v>
      </c>
      <c r="G43" s="129" t="s">
        <v>484</v>
      </c>
      <c r="H43" s="129" t="s">
        <v>484</v>
      </c>
      <c r="I43" s="111">
        <v>4.8</v>
      </c>
      <c r="J43" s="82" t="s">
        <v>132</v>
      </c>
      <c r="K43" s="84">
        <v>19.09</v>
      </c>
      <c r="L43" s="86">
        <v>429000</v>
      </c>
      <c r="M43" s="80">
        <v>0.4</v>
      </c>
      <c r="N43" s="81">
        <v>50</v>
      </c>
      <c r="O43" s="84">
        <v>-0.18</v>
      </c>
      <c r="P43" s="94">
        <v>-0.24969175199999999</v>
      </c>
      <c r="Q43" s="81">
        <f t="shared" si="0"/>
        <v>0.72088885018516746</v>
      </c>
      <c r="R43" s="81">
        <f t="shared" si="1"/>
        <v>38657664.591179602</v>
      </c>
      <c r="S43" s="84"/>
      <c r="T43" s="81" t="e">
        <f t="shared" si="2"/>
        <v>#DIV/0!</v>
      </c>
      <c r="U43" s="81" t="e">
        <f>AVERAGE(T41:T43)</f>
        <v>#DIV/0!</v>
      </c>
      <c r="V43" s="81" t="e">
        <f>_xlfn.STDEV.S(T41:T43)</f>
        <v>#DIV/0!</v>
      </c>
      <c r="W43" s="81">
        <f>MAX(K41:K43)-MIN(K41:K43)</f>
        <v>0.10999999999999943</v>
      </c>
      <c r="Y43" s="75"/>
      <c r="Z43" s="2"/>
      <c r="AA43" s="75"/>
      <c r="AB43" s="98"/>
      <c r="AD43" s="88"/>
      <c r="AE43" s="99"/>
      <c r="AF43" s="69"/>
      <c r="AH43" s="15"/>
      <c r="AI43" s="69"/>
      <c r="AJ43" s="69"/>
      <c r="AL43" s="69"/>
      <c r="AM43" s="69"/>
      <c r="AN43" s="69"/>
      <c r="AO43" s="69"/>
      <c r="AQ43" s="75"/>
      <c r="AR43" s="75"/>
      <c r="AS43" s="75"/>
      <c r="AT43" s="98"/>
      <c r="AW43" s="99"/>
      <c r="AZ43" s="15"/>
      <c r="BA43" s="69"/>
      <c r="BB43" s="69"/>
      <c r="BD43" s="69"/>
      <c r="BE43" s="69"/>
      <c r="BF43" s="69"/>
      <c r="BG43" s="69"/>
    </row>
    <row r="44" spans="1:70" x14ac:dyDescent="0.4">
      <c r="A44" s="85" t="s">
        <v>222</v>
      </c>
      <c r="B44" s="92" t="s">
        <v>95</v>
      </c>
      <c r="C44" s="100" t="s">
        <v>3</v>
      </c>
      <c r="D44" s="129" t="s">
        <v>484</v>
      </c>
      <c r="E44" s="129" t="s">
        <v>485</v>
      </c>
      <c r="F44" s="129" t="s">
        <v>484</v>
      </c>
      <c r="G44" s="129" t="s">
        <v>485</v>
      </c>
      <c r="H44" s="129" t="s">
        <v>484</v>
      </c>
      <c r="I44" s="111">
        <v>4.8</v>
      </c>
      <c r="J44" s="82" t="s">
        <v>132</v>
      </c>
      <c r="K44" s="84">
        <v>19.2</v>
      </c>
      <c r="L44" s="86">
        <v>400000</v>
      </c>
      <c r="M44" s="80">
        <v>0.4</v>
      </c>
      <c r="N44" s="81">
        <v>50</v>
      </c>
      <c r="O44" s="84">
        <v>-0.2</v>
      </c>
      <c r="P44" s="94">
        <v>-0.25744567299999999</v>
      </c>
      <c r="Q44" s="81">
        <f t="shared" si="0"/>
        <v>0.7768629306113839</v>
      </c>
      <c r="R44" s="81">
        <f t="shared" si="1"/>
        <v>38843146.530569196</v>
      </c>
      <c r="S44" s="84"/>
      <c r="T44" s="81" t="e">
        <f t="shared" si="2"/>
        <v>#DIV/0!</v>
      </c>
      <c r="U44" s="81"/>
      <c r="V44" s="84"/>
      <c r="W44" s="84"/>
      <c r="Y44" s="75"/>
      <c r="Z44" s="2"/>
      <c r="AA44" s="75"/>
      <c r="AB44" s="98"/>
      <c r="AD44" s="88"/>
      <c r="AE44" s="99"/>
      <c r="AF44" s="69"/>
      <c r="AH44" s="15"/>
      <c r="AI44" s="69"/>
      <c r="AJ44" s="69"/>
      <c r="AL44" s="69"/>
      <c r="AM44" s="69"/>
      <c r="AQ44" s="75"/>
      <c r="AR44" s="2"/>
      <c r="AS44" s="75"/>
      <c r="AT44" s="98"/>
      <c r="AV44" s="88"/>
      <c r="AW44" s="99"/>
      <c r="AX44" s="69"/>
      <c r="AZ44" s="15"/>
      <c r="BA44" s="69"/>
      <c r="BB44" s="69"/>
      <c r="BD44" s="69"/>
      <c r="BE44" s="69"/>
    </row>
    <row r="45" spans="1:70" x14ac:dyDescent="0.4">
      <c r="A45" s="85" t="s">
        <v>223</v>
      </c>
      <c r="B45" s="92" t="s">
        <v>95</v>
      </c>
      <c r="C45" s="100" t="s">
        <v>3</v>
      </c>
      <c r="D45" s="129" t="s">
        <v>484</v>
      </c>
      <c r="E45" s="129" t="s">
        <v>485</v>
      </c>
      <c r="F45" s="129" t="s">
        <v>484</v>
      </c>
      <c r="G45" s="129" t="s">
        <v>485</v>
      </c>
      <c r="H45" s="129" t="s">
        <v>484</v>
      </c>
      <c r="I45" s="111">
        <v>4.8</v>
      </c>
      <c r="J45" s="82" t="s">
        <v>132</v>
      </c>
      <c r="K45" s="84">
        <v>19.420000000000002</v>
      </c>
      <c r="L45" s="86">
        <v>346000</v>
      </c>
      <c r="M45" s="80">
        <v>0.4</v>
      </c>
      <c r="N45" s="81">
        <v>50</v>
      </c>
      <c r="O45" s="84">
        <v>-0.2</v>
      </c>
      <c r="P45" s="94">
        <v>-0.25744567299999999</v>
      </c>
      <c r="Q45" s="81">
        <f t="shared" si="0"/>
        <v>0.7768629306113839</v>
      </c>
      <c r="R45" s="81">
        <f t="shared" si="1"/>
        <v>33599321.748942353</v>
      </c>
      <c r="S45" s="84"/>
      <c r="T45" s="81" t="e">
        <f t="shared" si="2"/>
        <v>#DIV/0!</v>
      </c>
      <c r="U45" s="81"/>
      <c r="V45" s="84"/>
      <c r="W45" s="84"/>
      <c r="Y45" s="75"/>
      <c r="Z45" s="2"/>
      <c r="AA45" s="75"/>
      <c r="AB45" s="98"/>
      <c r="AD45" s="88"/>
      <c r="AE45" s="99"/>
      <c r="AF45" s="69"/>
      <c r="AH45" s="15"/>
      <c r="AI45" s="69"/>
      <c r="AJ45" s="69"/>
      <c r="AL45" s="69"/>
      <c r="AM45" s="69"/>
      <c r="AQ45" s="75"/>
      <c r="AR45" s="2"/>
      <c r="AS45" s="75"/>
      <c r="AT45" s="98"/>
      <c r="AV45" s="88"/>
      <c r="AW45" s="99"/>
      <c r="AX45" s="69"/>
      <c r="AZ45" s="15"/>
      <c r="BA45" s="69"/>
      <c r="BB45" s="69"/>
      <c r="BD45" s="69"/>
      <c r="BE45" s="69"/>
    </row>
    <row r="46" spans="1:70" x14ac:dyDescent="0.4">
      <c r="A46" s="85" t="s">
        <v>224</v>
      </c>
      <c r="B46" s="92" t="s">
        <v>95</v>
      </c>
      <c r="C46" s="100" t="s">
        <v>3</v>
      </c>
      <c r="D46" s="129" t="s">
        <v>484</v>
      </c>
      <c r="E46" s="129" t="s">
        <v>485</v>
      </c>
      <c r="F46" s="129" t="s">
        <v>484</v>
      </c>
      <c r="G46" s="129" t="s">
        <v>485</v>
      </c>
      <c r="H46" s="129" t="s">
        <v>484</v>
      </c>
      <c r="I46" s="111">
        <v>4.8</v>
      </c>
      <c r="J46" s="82" t="s">
        <v>132</v>
      </c>
      <c r="K46" s="84">
        <v>19.329999999999998</v>
      </c>
      <c r="L46" s="86">
        <v>366000</v>
      </c>
      <c r="M46" s="80">
        <v>0.4</v>
      </c>
      <c r="N46" s="81">
        <v>50</v>
      </c>
      <c r="O46" s="84">
        <v>-0.2</v>
      </c>
      <c r="P46" s="94">
        <v>-0.25744567299999999</v>
      </c>
      <c r="Q46" s="81">
        <f t="shared" si="0"/>
        <v>0.7768629306113839</v>
      </c>
      <c r="R46" s="81">
        <f t="shared" si="1"/>
        <v>35541479.075470813</v>
      </c>
      <c r="S46" s="84"/>
      <c r="T46" s="81" t="e">
        <f t="shared" si="2"/>
        <v>#DIV/0!</v>
      </c>
      <c r="U46" s="81" t="e">
        <f>AVERAGE(T44:T46)</f>
        <v>#DIV/0!</v>
      </c>
      <c r="V46" s="81" t="e">
        <f>_xlfn.STDEV.S(T44:T46)</f>
        <v>#DIV/0!</v>
      </c>
      <c r="W46" s="81">
        <f>MAX(K44:K46)-MIN(K44:K46)</f>
        <v>0.22000000000000242</v>
      </c>
      <c r="Y46" s="75"/>
      <c r="Z46" s="2"/>
      <c r="AA46" s="75"/>
      <c r="AB46" s="98"/>
      <c r="AD46" s="88"/>
      <c r="AE46" s="99"/>
      <c r="AF46" s="69"/>
      <c r="AH46" s="15"/>
      <c r="AI46" s="69"/>
      <c r="AJ46" s="69"/>
      <c r="AL46" s="69"/>
      <c r="AM46" s="69"/>
      <c r="AN46" s="69"/>
      <c r="AO46" s="69"/>
      <c r="AQ46" s="75"/>
      <c r="AR46" s="2"/>
      <c r="AS46" s="75"/>
      <c r="AT46" s="98"/>
      <c r="AV46" s="88"/>
      <c r="AW46" s="99"/>
      <c r="AX46" s="69"/>
      <c r="AZ46" s="15"/>
      <c r="BA46" s="69"/>
      <c r="BB46" s="69"/>
      <c r="BD46" s="69"/>
      <c r="BE46" s="69"/>
      <c r="BF46" s="69"/>
      <c r="BG46" s="69"/>
      <c r="BR46" s="88"/>
    </row>
    <row r="47" spans="1:70" x14ac:dyDescent="0.4">
      <c r="A47" s="85" t="s">
        <v>225</v>
      </c>
      <c r="B47" s="92" t="s">
        <v>102</v>
      </c>
      <c r="C47" s="100" t="s">
        <v>0</v>
      </c>
      <c r="D47" s="129" t="s">
        <v>484</v>
      </c>
      <c r="E47" s="129" t="s">
        <v>484</v>
      </c>
      <c r="F47" s="129" t="s">
        <v>484</v>
      </c>
      <c r="G47" s="129" t="s">
        <v>484</v>
      </c>
      <c r="H47" s="129" t="s">
        <v>484</v>
      </c>
      <c r="I47" s="111">
        <v>5.8</v>
      </c>
      <c r="J47" s="82" t="s">
        <v>132</v>
      </c>
      <c r="K47" s="84">
        <v>8.1199999999999992</v>
      </c>
      <c r="L47" s="86">
        <v>629000000</v>
      </c>
      <c r="M47" s="80">
        <v>0.4</v>
      </c>
      <c r="N47" s="81">
        <v>50</v>
      </c>
      <c r="O47" s="84">
        <v>23.67</v>
      </c>
      <c r="P47" s="94">
        <v>5.9598143969999997</v>
      </c>
      <c r="Q47" s="81">
        <f t="shared" si="0"/>
        <v>3.9716001914279082</v>
      </c>
      <c r="R47" s="81">
        <f t="shared" si="1"/>
        <v>312267065051.01929</v>
      </c>
      <c r="S47" s="84"/>
      <c r="T47" s="81" t="e">
        <f t="shared" si="2"/>
        <v>#DIV/0!</v>
      </c>
      <c r="U47" s="81"/>
      <c r="V47" s="84"/>
      <c r="W47" s="84"/>
      <c r="Y47" s="75"/>
      <c r="Z47" s="2"/>
      <c r="AA47" s="75"/>
      <c r="AB47" s="98"/>
      <c r="AD47" s="88"/>
      <c r="AE47" s="99"/>
      <c r="AF47" s="69"/>
      <c r="AH47" s="15"/>
      <c r="AI47" s="69"/>
      <c r="AJ47" s="69"/>
      <c r="AL47" s="69"/>
      <c r="AM47" s="69"/>
      <c r="AQ47" s="75"/>
      <c r="AR47" s="2"/>
      <c r="AS47" s="75"/>
      <c r="AT47" s="98"/>
      <c r="AV47" s="88"/>
      <c r="AW47" s="99"/>
      <c r="AX47" s="69"/>
      <c r="AZ47" s="15"/>
      <c r="BA47" s="69"/>
      <c r="BB47" s="69"/>
      <c r="BD47" s="69"/>
      <c r="BE47" s="69"/>
      <c r="BR47" s="88"/>
    </row>
    <row r="48" spans="1:70" x14ac:dyDescent="0.4">
      <c r="A48" s="85" t="s">
        <v>226</v>
      </c>
      <c r="B48" s="92" t="s">
        <v>102</v>
      </c>
      <c r="C48" s="100" t="s">
        <v>0</v>
      </c>
      <c r="D48" s="129" t="s">
        <v>484</v>
      </c>
      <c r="E48" s="129" t="s">
        <v>484</v>
      </c>
      <c r="F48" s="129" t="s">
        <v>484</v>
      </c>
      <c r="G48" s="129" t="s">
        <v>484</v>
      </c>
      <c r="H48" s="129" t="s">
        <v>484</v>
      </c>
      <c r="I48" s="111">
        <v>5.8</v>
      </c>
      <c r="J48" s="82" t="s">
        <v>132</v>
      </c>
      <c r="K48" s="84">
        <v>8.77</v>
      </c>
      <c r="L48" s="86">
        <v>407000000</v>
      </c>
      <c r="M48" s="80">
        <v>0.4</v>
      </c>
      <c r="N48" s="81">
        <v>50</v>
      </c>
      <c r="O48" s="84">
        <v>23.67</v>
      </c>
      <c r="P48" s="94">
        <v>5.9598143969999997</v>
      </c>
      <c r="Q48" s="81">
        <f t="shared" si="0"/>
        <v>3.9716001914279082</v>
      </c>
      <c r="R48" s="81">
        <f t="shared" si="1"/>
        <v>202055159738.89484</v>
      </c>
      <c r="S48" s="84"/>
      <c r="T48" s="81" t="e">
        <f t="shared" si="2"/>
        <v>#DIV/0!</v>
      </c>
      <c r="U48" s="81"/>
      <c r="V48" s="84"/>
      <c r="W48" s="84"/>
      <c r="Y48" s="75"/>
      <c r="Z48" s="2"/>
      <c r="AA48" s="75"/>
      <c r="AB48" s="98"/>
      <c r="AD48" s="88"/>
      <c r="AE48" s="99"/>
      <c r="AF48" s="69"/>
      <c r="AH48" s="15"/>
      <c r="AI48" s="69"/>
      <c r="AJ48" s="69"/>
      <c r="AL48" s="69"/>
      <c r="AM48" s="69"/>
      <c r="AQ48" s="75"/>
      <c r="AR48" s="2"/>
      <c r="AS48" s="75"/>
      <c r="AT48" s="98"/>
      <c r="AV48" s="88"/>
      <c r="AW48" s="99"/>
      <c r="AX48" s="69"/>
      <c r="AZ48" s="15"/>
      <c r="BA48" s="69"/>
      <c r="BB48" s="69"/>
      <c r="BD48" s="69"/>
      <c r="BE48" s="69"/>
      <c r="BR48" s="88"/>
    </row>
    <row r="49" spans="1:70" x14ac:dyDescent="0.4">
      <c r="A49" s="85" t="s">
        <v>227</v>
      </c>
      <c r="B49" s="92" t="s">
        <v>102</v>
      </c>
      <c r="C49" s="100" t="s">
        <v>0</v>
      </c>
      <c r="D49" s="129" t="s">
        <v>484</v>
      </c>
      <c r="E49" s="129" t="s">
        <v>484</v>
      </c>
      <c r="F49" s="129" t="s">
        <v>484</v>
      </c>
      <c r="G49" s="129" t="s">
        <v>484</v>
      </c>
      <c r="H49" s="129" t="s">
        <v>484</v>
      </c>
      <c r="I49" s="111">
        <v>5.8</v>
      </c>
      <c r="J49" s="82" t="s">
        <v>132</v>
      </c>
      <c r="K49" s="84">
        <v>8.9600000000000009</v>
      </c>
      <c r="L49" s="86">
        <v>359000000</v>
      </c>
      <c r="M49" s="80">
        <v>0.4</v>
      </c>
      <c r="N49" s="81">
        <v>50</v>
      </c>
      <c r="O49" s="84">
        <v>23.67</v>
      </c>
      <c r="P49" s="94">
        <v>5.9598143969999997</v>
      </c>
      <c r="Q49" s="81">
        <f t="shared" si="0"/>
        <v>3.9716001914279082</v>
      </c>
      <c r="R49" s="81">
        <f t="shared" si="1"/>
        <v>178225558590.32736</v>
      </c>
      <c r="S49" s="84"/>
      <c r="T49" s="81" t="e">
        <f t="shared" si="2"/>
        <v>#DIV/0!</v>
      </c>
      <c r="U49" s="81" t="e">
        <f>AVERAGE(T47:T49)</f>
        <v>#DIV/0!</v>
      </c>
      <c r="V49" s="81" t="e">
        <f>_xlfn.STDEV.S(T47:T49)</f>
        <v>#DIV/0!</v>
      </c>
      <c r="W49" s="81">
        <f>MAX(K47:K49)-MIN(K47:K49)</f>
        <v>0.84000000000000163</v>
      </c>
      <c r="Y49" s="75"/>
      <c r="Z49" s="2"/>
      <c r="AA49" s="75"/>
      <c r="AB49" s="98"/>
      <c r="AD49" s="88"/>
      <c r="AE49" s="99"/>
      <c r="AF49" s="69"/>
      <c r="AH49" s="15"/>
      <c r="AI49" s="69"/>
      <c r="AJ49" s="69"/>
      <c r="AL49" s="69"/>
      <c r="AM49" s="69"/>
      <c r="AN49" s="69"/>
      <c r="AO49" s="69"/>
      <c r="AQ49" s="75"/>
      <c r="AR49" s="2"/>
      <c r="AS49" s="75"/>
      <c r="AT49" s="98"/>
      <c r="AV49" s="88"/>
      <c r="AW49" s="99"/>
      <c r="AX49" s="69"/>
      <c r="AZ49" s="15"/>
      <c r="BA49" s="69"/>
      <c r="BB49" s="69"/>
      <c r="BD49" s="69"/>
      <c r="BE49" s="69"/>
      <c r="BF49" s="69"/>
      <c r="BG49" s="69"/>
      <c r="BR49" s="88"/>
    </row>
    <row r="50" spans="1:70" x14ac:dyDescent="0.4">
      <c r="A50" s="85" t="s">
        <v>228</v>
      </c>
      <c r="B50" s="92" t="s">
        <v>103</v>
      </c>
      <c r="C50" s="100" t="s">
        <v>1</v>
      </c>
      <c r="D50" s="129" t="s">
        <v>484</v>
      </c>
      <c r="E50" s="129" t="s">
        <v>484</v>
      </c>
      <c r="F50" s="129" t="s">
        <v>484</v>
      </c>
      <c r="G50" s="129" t="s">
        <v>485</v>
      </c>
      <c r="H50" s="129" t="s">
        <v>484</v>
      </c>
      <c r="I50" s="111">
        <v>5.8</v>
      </c>
      <c r="J50" s="82" t="s">
        <v>132</v>
      </c>
      <c r="K50" s="84">
        <v>10.97</v>
      </c>
      <c r="L50" s="86">
        <v>94200000</v>
      </c>
      <c r="M50" s="80">
        <v>0.4</v>
      </c>
      <c r="N50" s="81">
        <v>50</v>
      </c>
      <c r="O50" s="84">
        <v>6.15</v>
      </c>
      <c r="P50" s="94">
        <v>3.2833269989999998</v>
      </c>
      <c r="Q50" s="81">
        <f t="shared" si="0"/>
        <v>1.8731000603574059</v>
      </c>
      <c r="R50" s="81">
        <f t="shared" si="1"/>
        <v>22055753210.708454</v>
      </c>
      <c r="S50" s="84"/>
      <c r="T50" s="81" t="e">
        <f t="shared" si="2"/>
        <v>#DIV/0!</v>
      </c>
      <c r="U50" s="81"/>
      <c r="V50" s="84"/>
      <c r="W50" s="84"/>
      <c r="Y50" s="75"/>
      <c r="Z50" s="2"/>
      <c r="AA50" s="75"/>
      <c r="AB50" s="98"/>
      <c r="AD50" s="88"/>
      <c r="AE50" s="99"/>
      <c r="AF50" s="69"/>
      <c r="AH50" s="15"/>
      <c r="AI50" s="69"/>
      <c r="AJ50" s="69"/>
      <c r="AL50" s="69"/>
      <c r="AM50" s="69"/>
      <c r="AQ50" s="75"/>
      <c r="AR50" s="2"/>
      <c r="AS50" s="75"/>
      <c r="AT50" s="98"/>
      <c r="AV50" s="88"/>
      <c r="AW50" s="99"/>
      <c r="AX50" s="69"/>
      <c r="AZ50" s="15"/>
      <c r="BA50" s="69"/>
      <c r="BB50" s="69"/>
      <c r="BD50" s="69"/>
      <c r="BE50" s="69"/>
      <c r="BR50" s="88"/>
    </row>
    <row r="51" spans="1:70" x14ac:dyDescent="0.4">
      <c r="A51" s="85" t="s">
        <v>229</v>
      </c>
      <c r="B51" s="92" t="s">
        <v>103</v>
      </c>
      <c r="C51" s="100" t="s">
        <v>1</v>
      </c>
      <c r="D51" s="129" t="s">
        <v>484</v>
      </c>
      <c r="E51" s="129" t="s">
        <v>484</v>
      </c>
      <c r="F51" s="129" t="s">
        <v>484</v>
      </c>
      <c r="G51" s="129" t="s">
        <v>485</v>
      </c>
      <c r="H51" s="129" t="s">
        <v>484</v>
      </c>
      <c r="I51" s="111">
        <v>5.8</v>
      </c>
      <c r="J51" s="82" t="s">
        <v>132</v>
      </c>
      <c r="K51" s="84">
        <v>11.79</v>
      </c>
      <c r="L51" s="86">
        <v>54700000</v>
      </c>
      <c r="M51" s="80">
        <v>0.4</v>
      </c>
      <c r="N51" s="81">
        <v>50</v>
      </c>
      <c r="O51" s="84">
        <v>6.15</v>
      </c>
      <c r="P51" s="94">
        <v>3.2833269989999998</v>
      </c>
      <c r="Q51" s="81">
        <f t="shared" si="0"/>
        <v>1.8731000603574059</v>
      </c>
      <c r="R51" s="81">
        <f t="shared" si="1"/>
        <v>12807321662.693762</v>
      </c>
      <c r="S51" s="84"/>
      <c r="T51" s="81" t="e">
        <f t="shared" si="2"/>
        <v>#DIV/0!</v>
      </c>
      <c r="U51" s="81"/>
      <c r="V51" s="84"/>
      <c r="W51" s="84"/>
      <c r="Y51" s="75"/>
      <c r="Z51" s="2"/>
      <c r="AA51" s="75"/>
      <c r="AB51" s="98"/>
      <c r="AD51" s="88"/>
      <c r="AE51" s="99"/>
      <c r="AF51" s="69"/>
      <c r="AH51" s="15"/>
      <c r="AI51" s="69"/>
      <c r="AJ51" s="69"/>
      <c r="AL51" s="69"/>
      <c r="AM51" s="69"/>
      <c r="AQ51" s="75"/>
      <c r="AR51" s="2"/>
      <c r="AS51" s="75"/>
      <c r="AT51" s="98"/>
      <c r="AV51" s="88"/>
      <c r="AW51" s="99"/>
      <c r="AX51" s="69"/>
      <c r="AZ51" s="15"/>
      <c r="BA51" s="69"/>
      <c r="BB51" s="69"/>
      <c r="BD51" s="69"/>
      <c r="BE51" s="69"/>
      <c r="BR51" s="88"/>
    </row>
    <row r="52" spans="1:70" x14ac:dyDescent="0.4">
      <c r="A52" s="85" t="s">
        <v>230</v>
      </c>
      <c r="B52" s="92" t="s">
        <v>103</v>
      </c>
      <c r="C52" s="100" t="s">
        <v>1</v>
      </c>
      <c r="D52" s="129" t="s">
        <v>484</v>
      </c>
      <c r="E52" s="129" t="s">
        <v>484</v>
      </c>
      <c r="F52" s="129" t="s">
        <v>484</v>
      </c>
      <c r="G52" s="129" t="s">
        <v>485</v>
      </c>
      <c r="H52" s="129" t="s">
        <v>484</v>
      </c>
      <c r="I52" s="111">
        <v>5.8</v>
      </c>
      <c r="J52" s="82" t="s">
        <v>132</v>
      </c>
      <c r="K52" s="84">
        <v>11.32</v>
      </c>
      <c r="L52" s="86">
        <v>75200000</v>
      </c>
      <c r="M52" s="80">
        <v>0.4</v>
      </c>
      <c r="N52" s="81">
        <v>50</v>
      </c>
      <c r="O52" s="84">
        <v>6.15</v>
      </c>
      <c r="P52" s="94">
        <v>3.2833269989999998</v>
      </c>
      <c r="Q52" s="81">
        <f t="shared" si="0"/>
        <v>1.8731000603574059</v>
      </c>
      <c r="R52" s="81">
        <f t="shared" si="1"/>
        <v>17607140567.359615</v>
      </c>
      <c r="S52" s="84"/>
      <c r="T52" s="81" t="e">
        <f t="shared" si="2"/>
        <v>#DIV/0!</v>
      </c>
      <c r="U52" s="81" t="e">
        <f>AVERAGE(T50:T52)</f>
        <v>#DIV/0!</v>
      </c>
      <c r="V52" s="81" t="e">
        <f>_xlfn.STDEV.S(T50:T52)</f>
        <v>#DIV/0!</v>
      </c>
      <c r="W52" s="81">
        <f>MAX(K50:K52)-MIN(K50:K52)</f>
        <v>0.81999999999999851</v>
      </c>
      <c r="Y52" s="75"/>
      <c r="Z52" s="2"/>
      <c r="AA52" s="75"/>
      <c r="AB52" s="98"/>
      <c r="AD52" s="88"/>
      <c r="AE52" s="99"/>
      <c r="AF52" s="69"/>
      <c r="AH52" s="15"/>
      <c r="AI52" s="69"/>
      <c r="AJ52" s="69"/>
      <c r="AL52" s="69"/>
      <c r="AM52" s="69"/>
      <c r="AN52" s="69"/>
      <c r="AO52" s="69"/>
      <c r="AQ52" s="75"/>
      <c r="AR52" s="2"/>
      <c r="AS52" s="75"/>
      <c r="AT52" s="98"/>
      <c r="AV52" s="88"/>
      <c r="AW52" s="99"/>
      <c r="AX52" s="69"/>
      <c r="AZ52" s="15"/>
      <c r="BA52" s="69"/>
      <c r="BB52" s="69"/>
      <c r="BD52" s="69"/>
      <c r="BE52" s="69"/>
      <c r="BF52" s="69"/>
      <c r="BG52" s="69"/>
      <c r="BR52" s="88"/>
    </row>
    <row r="53" spans="1:70" x14ac:dyDescent="0.4">
      <c r="A53" s="85" t="s">
        <v>231</v>
      </c>
      <c r="B53" s="92" t="s">
        <v>104</v>
      </c>
      <c r="C53" s="100" t="s">
        <v>2</v>
      </c>
      <c r="D53" s="129" t="s">
        <v>484</v>
      </c>
      <c r="E53" s="129" t="s">
        <v>485</v>
      </c>
      <c r="F53" s="129" t="s">
        <v>484</v>
      </c>
      <c r="G53" s="129" t="s">
        <v>484</v>
      </c>
      <c r="H53" s="129" t="s">
        <v>484</v>
      </c>
      <c r="I53" s="111">
        <v>5.8</v>
      </c>
      <c r="J53" s="82" t="s">
        <v>132</v>
      </c>
      <c r="K53" s="84">
        <v>9.07</v>
      </c>
      <c r="L53" s="86">
        <v>334000000</v>
      </c>
      <c r="M53" s="80">
        <v>0.4</v>
      </c>
      <c r="N53" s="81">
        <v>50</v>
      </c>
      <c r="O53" s="84">
        <v>21.96</v>
      </c>
      <c r="P53" s="94">
        <v>6.384433885</v>
      </c>
      <c r="Q53" s="81">
        <f t="shared" si="0"/>
        <v>3.4396158524868179</v>
      </c>
      <c r="R53" s="81">
        <f t="shared" si="1"/>
        <v>143603961841.32465</v>
      </c>
      <c r="S53" s="84"/>
      <c r="T53" s="81" t="e">
        <f t="shared" si="2"/>
        <v>#DIV/0!</v>
      </c>
      <c r="U53" s="81"/>
      <c r="V53" s="84"/>
      <c r="W53" s="84"/>
      <c r="Y53" s="75"/>
      <c r="Z53" s="2"/>
      <c r="AA53" s="75"/>
      <c r="AB53" s="98"/>
      <c r="AD53" s="88"/>
      <c r="AE53" s="99"/>
      <c r="AF53" s="69"/>
      <c r="AH53" s="15"/>
      <c r="AI53" s="69"/>
      <c r="AJ53" s="69"/>
      <c r="AL53" s="69"/>
      <c r="AM53" s="69"/>
      <c r="AQ53" s="75"/>
      <c r="AR53" s="75"/>
      <c r="AS53" s="75"/>
      <c r="AT53" s="98"/>
      <c r="AW53" s="99"/>
      <c r="AZ53" s="15"/>
      <c r="BA53" s="69"/>
      <c r="BB53" s="69"/>
      <c r="BD53" s="69"/>
      <c r="BE53" s="69"/>
      <c r="BR53" s="88"/>
    </row>
    <row r="54" spans="1:70" x14ac:dyDescent="0.4">
      <c r="A54" s="85" t="s">
        <v>232</v>
      </c>
      <c r="B54" s="92" t="s">
        <v>104</v>
      </c>
      <c r="C54" s="100" t="s">
        <v>2</v>
      </c>
      <c r="D54" s="129" t="s">
        <v>484</v>
      </c>
      <c r="E54" s="129" t="s">
        <v>485</v>
      </c>
      <c r="F54" s="129" t="s">
        <v>484</v>
      </c>
      <c r="G54" s="129" t="s">
        <v>484</v>
      </c>
      <c r="H54" s="129" t="s">
        <v>484</v>
      </c>
      <c r="I54" s="111">
        <v>5.8</v>
      </c>
      <c r="J54" s="82" t="s">
        <v>132</v>
      </c>
      <c r="K54" s="84">
        <v>9.6999999999999993</v>
      </c>
      <c r="L54" s="86">
        <v>220000000</v>
      </c>
      <c r="M54" s="80">
        <v>0.4</v>
      </c>
      <c r="N54" s="81">
        <v>50</v>
      </c>
      <c r="O54" s="84">
        <v>21.96</v>
      </c>
      <c r="P54" s="94">
        <v>6.384433885</v>
      </c>
      <c r="Q54" s="81">
        <f t="shared" si="0"/>
        <v>3.4396158524868179</v>
      </c>
      <c r="R54" s="81">
        <f t="shared" si="1"/>
        <v>94589435943.387482</v>
      </c>
      <c r="S54" s="84"/>
      <c r="T54" s="81" t="e">
        <f t="shared" si="2"/>
        <v>#DIV/0!</v>
      </c>
      <c r="U54" s="81"/>
      <c r="V54" s="84"/>
      <c r="W54" s="84"/>
      <c r="Y54" s="75"/>
      <c r="Z54" s="2"/>
      <c r="AA54" s="75"/>
      <c r="AB54" s="98"/>
      <c r="AD54" s="88"/>
      <c r="AE54" s="99"/>
      <c r="AF54" s="69"/>
      <c r="AH54" s="15"/>
      <c r="AI54" s="69"/>
      <c r="AJ54" s="69"/>
      <c r="AL54" s="69"/>
      <c r="AM54" s="69"/>
      <c r="AQ54" s="75"/>
      <c r="AR54" s="75"/>
      <c r="AS54" s="75"/>
      <c r="AT54" s="98"/>
      <c r="AW54" s="99"/>
      <c r="AZ54" s="15"/>
      <c r="BA54" s="69"/>
      <c r="BB54" s="69"/>
      <c r="BD54" s="69"/>
      <c r="BE54" s="69"/>
      <c r="BR54" s="88"/>
    </row>
    <row r="55" spans="1:70" x14ac:dyDescent="0.4">
      <c r="A55" s="85" t="s">
        <v>233</v>
      </c>
      <c r="B55" s="92" t="s">
        <v>104</v>
      </c>
      <c r="C55" s="100" t="s">
        <v>2</v>
      </c>
      <c r="D55" s="129" t="s">
        <v>484</v>
      </c>
      <c r="E55" s="129" t="s">
        <v>485</v>
      </c>
      <c r="F55" s="129" t="s">
        <v>484</v>
      </c>
      <c r="G55" s="129" t="s">
        <v>484</v>
      </c>
      <c r="H55" s="129" t="s">
        <v>484</v>
      </c>
      <c r="I55" s="111">
        <v>5.8</v>
      </c>
      <c r="J55" s="82" t="s">
        <v>132</v>
      </c>
      <c r="K55" s="84">
        <v>9.77</v>
      </c>
      <c r="L55" s="86">
        <v>209000000</v>
      </c>
      <c r="M55" s="80">
        <v>0.4</v>
      </c>
      <c r="N55" s="81">
        <v>50</v>
      </c>
      <c r="O55" s="84">
        <v>21.96</v>
      </c>
      <c r="P55" s="94">
        <v>6.384433885</v>
      </c>
      <c r="Q55" s="81">
        <f t="shared" si="0"/>
        <v>3.4396158524868179</v>
      </c>
      <c r="R55" s="81">
        <f t="shared" si="1"/>
        <v>89859964146.218109</v>
      </c>
      <c r="S55" s="84"/>
      <c r="T55" s="81" t="e">
        <f t="shared" si="2"/>
        <v>#DIV/0!</v>
      </c>
      <c r="U55" s="81" t="e">
        <f>AVERAGE(T53:T55)</f>
        <v>#DIV/0!</v>
      </c>
      <c r="V55" s="81" t="e">
        <f>_xlfn.STDEV.S(T53:T55)</f>
        <v>#DIV/0!</v>
      </c>
      <c r="W55" s="81">
        <f>MAX(K53:K55)-MIN(K53:K55)</f>
        <v>0.69999999999999929</v>
      </c>
      <c r="Y55" s="75"/>
      <c r="Z55" s="2"/>
      <c r="AA55" s="75"/>
      <c r="AB55" s="98"/>
      <c r="AD55" s="88"/>
      <c r="AE55" s="99"/>
      <c r="AF55" s="69"/>
      <c r="AH55" s="15"/>
      <c r="AI55" s="69"/>
      <c r="AJ55" s="69"/>
      <c r="AL55" s="69"/>
      <c r="AM55" s="69"/>
      <c r="AN55" s="69"/>
      <c r="AO55" s="69"/>
      <c r="AQ55" s="75"/>
      <c r="AR55" s="75"/>
      <c r="AS55" s="75"/>
      <c r="AT55" s="98"/>
      <c r="AW55" s="99"/>
      <c r="AZ55" s="15"/>
      <c r="BA55" s="69"/>
      <c r="BB55" s="69"/>
      <c r="BD55" s="69"/>
      <c r="BE55" s="69"/>
      <c r="BF55" s="69"/>
      <c r="BG55" s="69"/>
    </row>
    <row r="56" spans="1:70" x14ac:dyDescent="0.4">
      <c r="A56" s="85" t="s">
        <v>234</v>
      </c>
      <c r="B56" s="92" t="s">
        <v>105</v>
      </c>
      <c r="C56" s="100" t="s">
        <v>3</v>
      </c>
      <c r="D56" s="129" t="s">
        <v>484</v>
      </c>
      <c r="E56" s="129" t="s">
        <v>485</v>
      </c>
      <c r="F56" s="129" t="s">
        <v>484</v>
      </c>
      <c r="G56" s="129" t="s">
        <v>485</v>
      </c>
      <c r="H56" s="129" t="s">
        <v>484</v>
      </c>
      <c r="I56" s="111">
        <v>5.8</v>
      </c>
      <c r="J56" s="82" t="s">
        <v>132</v>
      </c>
      <c r="K56" s="84"/>
      <c r="L56" s="84"/>
      <c r="M56" s="80">
        <v>0.4</v>
      </c>
      <c r="N56" s="81">
        <v>50</v>
      </c>
      <c r="O56" s="84">
        <v>23.46</v>
      </c>
      <c r="P56" s="94">
        <v>6.0713231670000001</v>
      </c>
      <c r="Q56" s="81">
        <f t="shared" si="0"/>
        <v>3.8640670830230572</v>
      </c>
      <c r="R56" s="81">
        <f t="shared" si="1"/>
        <v>0</v>
      </c>
      <c r="S56" s="84"/>
      <c r="T56" s="81" t="e">
        <f t="shared" si="2"/>
        <v>#DIV/0!</v>
      </c>
      <c r="U56" s="81"/>
      <c r="V56" s="84"/>
      <c r="W56" s="84"/>
      <c r="Y56" s="75"/>
      <c r="Z56" s="2"/>
      <c r="AA56" s="75"/>
      <c r="AB56" s="98"/>
      <c r="AD56" s="88"/>
      <c r="AE56" s="99"/>
      <c r="AF56" s="69"/>
      <c r="AH56" s="15"/>
      <c r="AI56" s="69"/>
      <c r="AJ56" s="69"/>
      <c r="AL56" s="69"/>
      <c r="AM56" s="69"/>
      <c r="AQ56" s="75"/>
      <c r="AR56" s="2"/>
      <c r="AS56" s="75"/>
      <c r="AT56" s="98"/>
      <c r="AV56" s="88"/>
      <c r="AW56" s="99"/>
      <c r="AX56" s="69"/>
      <c r="AZ56" s="15"/>
      <c r="BA56" s="69"/>
      <c r="BB56" s="69"/>
      <c r="BD56" s="69"/>
      <c r="BE56" s="69"/>
    </row>
    <row r="57" spans="1:70" x14ac:dyDescent="0.4">
      <c r="A57" s="85" t="s">
        <v>235</v>
      </c>
      <c r="B57" s="92" t="s">
        <v>105</v>
      </c>
      <c r="C57" s="100" t="s">
        <v>3</v>
      </c>
      <c r="D57" s="129" t="s">
        <v>484</v>
      </c>
      <c r="E57" s="129" t="s">
        <v>485</v>
      </c>
      <c r="F57" s="129" t="s">
        <v>484</v>
      </c>
      <c r="G57" s="129" t="s">
        <v>485</v>
      </c>
      <c r="H57" s="129" t="s">
        <v>484</v>
      </c>
      <c r="I57" s="111">
        <v>5.8</v>
      </c>
      <c r="J57" s="82" t="s">
        <v>132</v>
      </c>
      <c r="K57" s="84">
        <v>9.9600000000000009</v>
      </c>
      <c r="L57" s="86">
        <v>185000000</v>
      </c>
      <c r="M57" s="80">
        <v>0.4</v>
      </c>
      <c r="N57" s="81">
        <v>50</v>
      </c>
      <c r="O57" s="84">
        <v>23.46</v>
      </c>
      <c r="P57" s="94">
        <v>6.0713231670000001</v>
      </c>
      <c r="Q57" s="81">
        <f t="shared" si="0"/>
        <v>3.8640670830230572</v>
      </c>
      <c r="R57" s="81">
        <f t="shared" si="1"/>
        <v>89356551294.908188</v>
      </c>
      <c r="S57" s="84"/>
      <c r="T57" s="81" t="e">
        <f t="shared" si="2"/>
        <v>#DIV/0!</v>
      </c>
      <c r="U57" s="81"/>
      <c r="V57" s="84"/>
      <c r="W57" s="84"/>
      <c r="Y57" s="75"/>
      <c r="Z57" s="2"/>
      <c r="AA57" s="75"/>
      <c r="AB57" s="98"/>
      <c r="AD57" s="88"/>
      <c r="AE57" s="99"/>
      <c r="AF57" s="69"/>
      <c r="AH57" s="15"/>
      <c r="AI57" s="69"/>
      <c r="AJ57" s="69"/>
      <c r="AL57" s="69"/>
      <c r="AM57" s="69"/>
      <c r="AQ57" s="75"/>
      <c r="AR57" s="2"/>
      <c r="AS57" s="75"/>
      <c r="AT57" s="98"/>
      <c r="AV57" s="88"/>
      <c r="AW57" s="99"/>
      <c r="AX57" s="69"/>
      <c r="AZ57" s="15"/>
      <c r="BA57" s="69"/>
      <c r="BB57" s="69"/>
      <c r="BD57" s="69"/>
      <c r="BE57" s="69"/>
    </row>
    <row r="58" spans="1:70" x14ac:dyDescent="0.4">
      <c r="A58" s="85" t="s">
        <v>236</v>
      </c>
      <c r="B58" s="92" t="s">
        <v>105</v>
      </c>
      <c r="C58" s="100" t="s">
        <v>3</v>
      </c>
      <c r="D58" s="129" t="s">
        <v>484</v>
      </c>
      <c r="E58" s="129" t="s">
        <v>485</v>
      </c>
      <c r="F58" s="129" t="s">
        <v>484</v>
      </c>
      <c r="G58" s="129" t="s">
        <v>485</v>
      </c>
      <c r="H58" s="129" t="s">
        <v>484</v>
      </c>
      <c r="I58" s="111">
        <v>5.8</v>
      </c>
      <c r="J58" s="82" t="s">
        <v>132</v>
      </c>
      <c r="K58" s="84">
        <v>10</v>
      </c>
      <c r="L58" s="86">
        <v>179000000</v>
      </c>
      <c r="M58" s="80">
        <v>0.4</v>
      </c>
      <c r="N58" s="81">
        <v>50</v>
      </c>
      <c r="O58" s="84">
        <v>23.46</v>
      </c>
      <c r="P58" s="94">
        <v>6.0713231670000001</v>
      </c>
      <c r="Q58" s="81">
        <f t="shared" si="0"/>
        <v>3.8640670830230572</v>
      </c>
      <c r="R58" s="81">
        <f t="shared" si="1"/>
        <v>86458500982.640915</v>
      </c>
      <c r="S58" s="84"/>
      <c r="T58" s="81" t="e">
        <f t="shared" si="2"/>
        <v>#DIV/0!</v>
      </c>
      <c r="U58" s="81" t="e">
        <f>AVERAGE(T56:T58)</f>
        <v>#DIV/0!</v>
      </c>
      <c r="V58" s="81" t="e">
        <f>_xlfn.STDEV.S(T56:T58)</f>
        <v>#DIV/0!</v>
      </c>
      <c r="W58" s="81">
        <f>MAX(K56:K58)-MIN(K56:K58)</f>
        <v>3.9999999999999147E-2</v>
      </c>
      <c r="Y58" s="75"/>
      <c r="Z58" s="2"/>
      <c r="AA58" s="75"/>
      <c r="AB58" s="98"/>
      <c r="AD58" s="88"/>
      <c r="AE58" s="99"/>
      <c r="AF58" s="69"/>
      <c r="AH58" s="15"/>
      <c r="AI58" s="69"/>
      <c r="AJ58" s="69"/>
      <c r="AL58" s="69"/>
      <c r="AM58" s="69"/>
      <c r="AN58" s="69"/>
      <c r="AO58" s="69"/>
      <c r="AQ58" s="75"/>
      <c r="AR58" s="2"/>
      <c r="AS58" s="75"/>
      <c r="AT58" s="98"/>
      <c r="AV58" s="88"/>
      <c r="AW58" s="99"/>
      <c r="AX58" s="69"/>
      <c r="AZ58" s="15"/>
      <c r="BA58" s="69"/>
      <c r="BB58" s="69"/>
      <c r="BD58" s="69"/>
      <c r="BE58" s="69"/>
      <c r="BF58" s="69"/>
      <c r="BG58" s="69"/>
      <c r="BR58" s="88"/>
    </row>
    <row r="59" spans="1:70" x14ac:dyDescent="0.4">
      <c r="A59" s="85" t="s">
        <v>237</v>
      </c>
      <c r="B59" s="92" t="s">
        <v>112</v>
      </c>
      <c r="C59" s="100" t="s">
        <v>0</v>
      </c>
      <c r="D59" s="129" t="s">
        <v>484</v>
      </c>
      <c r="E59" s="129" t="s">
        <v>484</v>
      </c>
      <c r="F59" s="129" t="s">
        <v>484</v>
      </c>
      <c r="G59" s="129" t="s">
        <v>484</v>
      </c>
      <c r="H59" s="129" t="s">
        <v>484</v>
      </c>
      <c r="I59" s="111">
        <v>4.8</v>
      </c>
      <c r="J59" s="82" t="s">
        <v>133</v>
      </c>
      <c r="K59" s="84">
        <v>11.57</v>
      </c>
      <c r="L59" s="86">
        <v>63600000</v>
      </c>
      <c r="M59" s="80">
        <v>0.4</v>
      </c>
      <c r="N59" s="81">
        <v>50</v>
      </c>
      <c r="O59" s="84">
        <v>3.5</v>
      </c>
      <c r="P59" s="94">
        <v>2.827784136</v>
      </c>
      <c r="Q59" s="81">
        <f t="shared" si="0"/>
        <v>1.2377182386173482</v>
      </c>
      <c r="R59" s="81">
        <f t="shared" si="1"/>
        <v>9839859997.0079174</v>
      </c>
      <c r="S59" s="84"/>
      <c r="T59" s="81" t="e">
        <f t="shared" si="2"/>
        <v>#DIV/0!</v>
      </c>
      <c r="U59" s="81"/>
      <c r="V59" s="84"/>
      <c r="W59" s="84"/>
      <c r="Y59" s="75"/>
      <c r="Z59" s="2"/>
      <c r="AA59" s="75"/>
      <c r="AB59" s="98"/>
      <c r="AD59" s="88"/>
      <c r="AE59" s="99"/>
      <c r="AF59" s="69"/>
      <c r="AH59" s="15"/>
      <c r="AI59" s="69"/>
      <c r="AJ59" s="69"/>
      <c r="AL59" s="69"/>
      <c r="AM59" s="69"/>
      <c r="AQ59" s="75"/>
      <c r="AR59" s="2"/>
      <c r="AS59" s="75"/>
      <c r="AT59" s="98"/>
      <c r="AV59" s="88"/>
      <c r="AW59" s="99"/>
      <c r="AX59" s="69"/>
      <c r="AZ59" s="15"/>
      <c r="BA59" s="69"/>
      <c r="BB59" s="69"/>
      <c r="BD59" s="69"/>
      <c r="BE59" s="69"/>
      <c r="BR59" s="88"/>
    </row>
    <row r="60" spans="1:70" x14ac:dyDescent="0.4">
      <c r="A60" s="85" t="s">
        <v>238</v>
      </c>
      <c r="B60" s="92" t="s">
        <v>112</v>
      </c>
      <c r="C60" s="100" t="s">
        <v>0</v>
      </c>
      <c r="D60" s="129" t="s">
        <v>484</v>
      </c>
      <c r="E60" s="129" t="s">
        <v>484</v>
      </c>
      <c r="F60" s="129" t="s">
        <v>484</v>
      </c>
      <c r="G60" s="129" t="s">
        <v>484</v>
      </c>
      <c r="H60" s="129" t="s">
        <v>484</v>
      </c>
      <c r="I60" s="111">
        <v>4.8</v>
      </c>
      <c r="J60" s="82" t="s">
        <v>133</v>
      </c>
      <c r="K60" s="84">
        <v>11.61</v>
      </c>
      <c r="L60" s="86">
        <v>62000000</v>
      </c>
      <c r="M60" s="80">
        <v>0.4</v>
      </c>
      <c r="N60" s="81">
        <v>50</v>
      </c>
      <c r="O60" s="84">
        <v>3.5</v>
      </c>
      <c r="P60" s="94">
        <v>2.827784136</v>
      </c>
      <c r="Q60" s="81">
        <f t="shared" si="0"/>
        <v>1.2377182386173482</v>
      </c>
      <c r="R60" s="81">
        <f t="shared" si="1"/>
        <v>9592316349.2844486</v>
      </c>
      <c r="S60" s="84"/>
      <c r="T60" s="81" t="e">
        <f t="shared" si="2"/>
        <v>#DIV/0!</v>
      </c>
      <c r="U60" s="81"/>
      <c r="V60" s="84"/>
      <c r="W60" s="84"/>
      <c r="Y60" s="75"/>
      <c r="Z60" s="2"/>
      <c r="AA60" s="75"/>
      <c r="AB60" s="98"/>
      <c r="AD60" s="88"/>
      <c r="AE60" s="99"/>
      <c r="AF60" s="69"/>
      <c r="AH60" s="15"/>
      <c r="AI60" s="69"/>
      <c r="AJ60" s="69"/>
      <c r="AL60" s="69"/>
      <c r="AM60" s="69"/>
      <c r="AQ60" s="75"/>
      <c r="AR60" s="2"/>
      <c r="AS60" s="75"/>
      <c r="AT60" s="98"/>
      <c r="AV60" s="88"/>
      <c r="AW60" s="99"/>
      <c r="AX60" s="69"/>
      <c r="AZ60" s="15"/>
      <c r="BA60" s="69"/>
      <c r="BB60" s="69"/>
      <c r="BD60" s="69"/>
      <c r="BE60" s="69"/>
      <c r="BR60" s="88"/>
    </row>
    <row r="61" spans="1:70" x14ac:dyDescent="0.4">
      <c r="A61" s="85" t="s">
        <v>239</v>
      </c>
      <c r="B61" s="92" t="s">
        <v>112</v>
      </c>
      <c r="C61" s="100" t="s">
        <v>0</v>
      </c>
      <c r="D61" s="129" t="s">
        <v>484</v>
      </c>
      <c r="E61" s="129" t="s">
        <v>484</v>
      </c>
      <c r="F61" s="129" t="s">
        <v>484</v>
      </c>
      <c r="G61" s="129" t="s">
        <v>484</v>
      </c>
      <c r="H61" s="129" t="s">
        <v>484</v>
      </c>
      <c r="I61" s="111">
        <v>4.8</v>
      </c>
      <c r="J61" s="82" t="s">
        <v>133</v>
      </c>
      <c r="K61" s="84">
        <v>11.66</v>
      </c>
      <c r="L61" s="86">
        <v>59900000</v>
      </c>
      <c r="M61" s="80">
        <v>0.4</v>
      </c>
      <c r="N61" s="81">
        <v>50</v>
      </c>
      <c r="O61" s="84">
        <v>3.5</v>
      </c>
      <c r="P61" s="94">
        <v>2.827784136</v>
      </c>
      <c r="Q61" s="81">
        <f t="shared" si="0"/>
        <v>1.2377182386173482</v>
      </c>
      <c r="R61" s="81">
        <f t="shared" si="1"/>
        <v>9267415311.6473942</v>
      </c>
      <c r="S61" s="84"/>
      <c r="T61" s="81" t="e">
        <f t="shared" si="2"/>
        <v>#DIV/0!</v>
      </c>
      <c r="U61" s="81" t="e">
        <f>AVERAGE(T59:T61)</f>
        <v>#DIV/0!</v>
      </c>
      <c r="V61" s="81" t="e">
        <f>_xlfn.STDEV.S(T59:T61)</f>
        <v>#DIV/0!</v>
      </c>
      <c r="W61" s="81">
        <f>MAX(K59:K61)-MIN(K59:K61)</f>
        <v>8.9999999999999858E-2</v>
      </c>
      <c r="Y61" s="75"/>
      <c r="Z61" s="2"/>
      <c r="AA61" s="75"/>
      <c r="AB61" s="98"/>
      <c r="AD61" s="88"/>
      <c r="AE61" s="99"/>
      <c r="AF61" s="69"/>
      <c r="AH61" s="15"/>
      <c r="AI61" s="69"/>
      <c r="AJ61" s="69"/>
      <c r="AL61" s="69"/>
      <c r="AM61" s="69"/>
      <c r="AN61" s="69"/>
      <c r="AO61" s="69"/>
      <c r="AQ61" s="75"/>
      <c r="AR61" s="2"/>
      <c r="AS61" s="75"/>
      <c r="AT61" s="98"/>
      <c r="AV61" s="88"/>
      <c r="AW61" s="99"/>
      <c r="AX61" s="69"/>
      <c r="AZ61" s="15"/>
      <c r="BA61" s="69"/>
      <c r="BB61" s="69"/>
      <c r="BD61" s="69"/>
      <c r="BE61" s="69"/>
      <c r="BF61" s="69"/>
      <c r="BG61" s="69"/>
      <c r="BR61" s="88"/>
    </row>
    <row r="62" spans="1:70" x14ac:dyDescent="0.4">
      <c r="A62" s="85" t="s">
        <v>240</v>
      </c>
      <c r="B62" s="92" t="s">
        <v>113</v>
      </c>
      <c r="C62" s="100" t="s">
        <v>1</v>
      </c>
      <c r="D62" s="129" t="s">
        <v>484</v>
      </c>
      <c r="E62" s="129" t="s">
        <v>484</v>
      </c>
      <c r="F62" s="129" t="s">
        <v>484</v>
      </c>
      <c r="G62" s="129" t="s">
        <v>485</v>
      </c>
      <c r="H62" s="129" t="s">
        <v>484</v>
      </c>
      <c r="I62" s="111">
        <v>4.8</v>
      </c>
      <c r="J62" s="82" t="s">
        <v>133</v>
      </c>
      <c r="K62" s="84">
        <v>11.45</v>
      </c>
      <c r="L62" s="86">
        <v>69000000</v>
      </c>
      <c r="M62" s="80">
        <v>0.4</v>
      </c>
      <c r="N62" s="81">
        <v>50</v>
      </c>
      <c r="O62" s="84">
        <v>3.02</v>
      </c>
      <c r="P62" s="94">
        <v>3.1959107699999998</v>
      </c>
      <c r="Q62" s="81">
        <f t="shared" si="0"/>
        <v>0.9449575464836899</v>
      </c>
      <c r="R62" s="81">
        <f t="shared" si="1"/>
        <v>8150258838.4218245</v>
      </c>
      <c r="S62" s="84"/>
      <c r="T62" s="81" t="e">
        <f t="shared" si="2"/>
        <v>#DIV/0!</v>
      </c>
      <c r="U62" s="81"/>
      <c r="V62" s="84"/>
      <c r="W62" s="84"/>
      <c r="Y62" s="75"/>
      <c r="Z62" s="2"/>
      <c r="AA62" s="75"/>
      <c r="AB62" s="98"/>
      <c r="AD62" s="88"/>
      <c r="AE62" s="99"/>
      <c r="AF62" s="69"/>
      <c r="AH62" s="15"/>
      <c r="AI62" s="69"/>
      <c r="AJ62" s="69"/>
      <c r="AL62" s="69"/>
      <c r="AM62" s="69"/>
      <c r="AQ62" s="75"/>
      <c r="AR62" s="2"/>
      <c r="AS62" s="75"/>
      <c r="AT62" s="98"/>
      <c r="AV62" s="88"/>
      <c r="AW62" s="99"/>
      <c r="AX62" s="69"/>
      <c r="AZ62" s="15"/>
      <c r="BA62" s="69"/>
      <c r="BB62" s="69"/>
      <c r="BD62" s="69"/>
      <c r="BE62" s="69"/>
      <c r="BR62" s="88"/>
    </row>
    <row r="63" spans="1:70" x14ac:dyDescent="0.4">
      <c r="A63" s="85" t="s">
        <v>241</v>
      </c>
      <c r="B63" s="92" t="s">
        <v>113</v>
      </c>
      <c r="C63" s="100" t="s">
        <v>1</v>
      </c>
      <c r="D63" s="129" t="s">
        <v>484</v>
      </c>
      <c r="E63" s="129" t="s">
        <v>484</v>
      </c>
      <c r="F63" s="129" t="s">
        <v>484</v>
      </c>
      <c r="G63" s="129" t="s">
        <v>485</v>
      </c>
      <c r="H63" s="129" t="s">
        <v>484</v>
      </c>
      <c r="I63" s="111">
        <v>4.8</v>
      </c>
      <c r="J63" s="82" t="s">
        <v>133</v>
      </c>
      <c r="K63" s="84">
        <v>11.55</v>
      </c>
      <c r="L63" s="86">
        <v>64200000</v>
      </c>
      <c r="M63" s="80">
        <v>0.4</v>
      </c>
      <c r="N63" s="81">
        <v>50</v>
      </c>
      <c r="O63" s="84">
        <v>3.02</v>
      </c>
      <c r="P63" s="94">
        <v>3.1959107699999998</v>
      </c>
      <c r="Q63" s="81">
        <f t="shared" si="0"/>
        <v>0.9449575464836899</v>
      </c>
      <c r="R63" s="81">
        <f t="shared" si="1"/>
        <v>7583284310.5316114</v>
      </c>
      <c r="S63" s="84"/>
      <c r="T63" s="81" t="e">
        <f t="shared" si="2"/>
        <v>#DIV/0!</v>
      </c>
      <c r="U63" s="81"/>
      <c r="V63" s="84"/>
      <c r="W63" s="84"/>
      <c r="Y63" s="75"/>
      <c r="Z63" s="2"/>
      <c r="AA63" s="75"/>
      <c r="AB63" s="98"/>
      <c r="AD63" s="88"/>
      <c r="AE63" s="99"/>
      <c r="AF63" s="69"/>
      <c r="AH63" s="15"/>
      <c r="AI63" s="69"/>
      <c r="AJ63" s="69"/>
      <c r="AL63" s="69"/>
      <c r="AM63" s="69"/>
      <c r="AQ63" s="75"/>
      <c r="AR63" s="2"/>
      <c r="AS63" s="75"/>
      <c r="AT63" s="98"/>
      <c r="AV63" s="88"/>
      <c r="AW63" s="99"/>
      <c r="AX63" s="69"/>
      <c r="AZ63" s="15"/>
      <c r="BA63" s="69"/>
      <c r="BB63" s="69"/>
      <c r="BD63" s="69"/>
      <c r="BE63" s="69"/>
      <c r="BR63" s="88"/>
    </row>
    <row r="64" spans="1:70" x14ac:dyDescent="0.4">
      <c r="A64" s="85" t="s">
        <v>242</v>
      </c>
      <c r="B64" s="92" t="s">
        <v>113</v>
      </c>
      <c r="C64" s="100" t="s">
        <v>1</v>
      </c>
      <c r="D64" s="129" t="s">
        <v>484</v>
      </c>
      <c r="E64" s="129" t="s">
        <v>484</v>
      </c>
      <c r="F64" s="129" t="s">
        <v>484</v>
      </c>
      <c r="G64" s="129" t="s">
        <v>485</v>
      </c>
      <c r="H64" s="129" t="s">
        <v>484</v>
      </c>
      <c r="I64" s="111">
        <v>4.8</v>
      </c>
      <c r="J64" s="82" t="s">
        <v>133</v>
      </c>
      <c r="K64" s="84">
        <v>11.61</v>
      </c>
      <c r="L64" s="86">
        <v>62000000</v>
      </c>
      <c r="M64" s="80">
        <v>0.4</v>
      </c>
      <c r="N64" s="81">
        <v>50</v>
      </c>
      <c r="O64" s="84">
        <v>3.02</v>
      </c>
      <c r="P64" s="94">
        <v>3.1959107699999998</v>
      </c>
      <c r="Q64" s="81">
        <f t="shared" si="0"/>
        <v>0.9449575464836899</v>
      </c>
      <c r="R64" s="81">
        <f t="shared" si="1"/>
        <v>7323420985.2485962</v>
      </c>
      <c r="S64" s="84"/>
      <c r="T64" s="81" t="e">
        <f t="shared" si="2"/>
        <v>#DIV/0!</v>
      </c>
      <c r="U64" s="81" t="e">
        <f>AVERAGE(T62:T64)</f>
        <v>#DIV/0!</v>
      </c>
      <c r="V64" s="81" t="e">
        <f>_xlfn.STDEV.S(T62:T64)</f>
        <v>#DIV/0!</v>
      </c>
      <c r="W64" s="81">
        <f>MAX(K62:K64)-MIN(K62:K64)</f>
        <v>0.16000000000000014</v>
      </c>
      <c r="Y64" s="75"/>
      <c r="Z64" s="2"/>
      <c r="AA64" s="75"/>
      <c r="AB64" s="98"/>
      <c r="AD64" s="88"/>
      <c r="AE64" s="99"/>
      <c r="AF64" s="69"/>
      <c r="AH64" s="15"/>
      <c r="AI64" s="69"/>
      <c r="AJ64" s="69"/>
      <c r="AL64" s="69"/>
      <c r="AM64" s="69"/>
      <c r="AN64" s="69"/>
      <c r="AO64" s="69"/>
      <c r="AQ64" s="75"/>
      <c r="AR64" s="2"/>
      <c r="AS64" s="75"/>
      <c r="AT64" s="98"/>
      <c r="AV64" s="88"/>
      <c r="AW64" s="99"/>
      <c r="AX64" s="69"/>
      <c r="AZ64" s="15"/>
      <c r="BA64" s="69"/>
      <c r="BB64" s="69"/>
      <c r="BD64" s="69"/>
      <c r="BE64" s="69"/>
      <c r="BF64" s="69"/>
      <c r="BG64" s="69"/>
      <c r="BR64" s="88"/>
    </row>
    <row r="65" spans="1:70" x14ac:dyDescent="0.4">
      <c r="A65" s="85" t="s">
        <v>243</v>
      </c>
      <c r="B65" s="92" t="s">
        <v>114</v>
      </c>
      <c r="C65" s="100" t="s">
        <v>2</v>
      </c>
      <c r="D65" s="129" t="s">
        <v>484</v>
      </c>
      <c r="E65" s="129" t="s">
        <v>485</v>
      </c>
      <c r="F65" s="129" t="s">
        <v>484</v>
      </c>
      <c r="G65" s="129" t="s">
        <v>484</v>
      </c>
      <c r="H65" s="129" t="s">
        <v>484</v>
      </c>
      <c r="I65" s="111">
        <v>4.8</v>
      </c>
      <c r="J65" s="82" t="s">
        <v>133</v>
      </c>
      <c r="K65" s="84">
        <v>10.86</v>
      </c>
      <c r="L65" s="86">
        <v>102000000</v>
      </c>
      <c r="M65" s="80">
        <v>0.4</v>
      </c>
      <c r="N65" s="81">
        <v>50</v>
      </c>
      <c r="O65" s="84">
        <v>4.87</v>
      </c>
      <c r="P65" s="94">
        <v>5.485071349</v>
      </c>
      <c r="Q65" s="81">
        <f t="shared" si="0"/>
        <v>0.88786447616362629</v>
      </c>
      <c r="R65" s="81">
        <f t="shared" si="1"/>
        <v>11320272071.086235</v>
      </c>
      <c r="S65" s="84"/>
      <c r="T65" s="81" t="e">
        <f t="shared" si="2"/>
        <v>#DIV/0!</v>
      </c>
      <c r="U65" s="81"/>
      <c r="V65" s="84"/>
      <c r="W65" s="84"/>
      <c r="Y65" s="75"/>
      <c r="Z65" s="2"/>
      <c r="AA65" s="75"/>
      <c r="AB65" s="98"/>
      <c r="AD65" s="88"/>
      <c r="AE65" s="99"/>
      <c r="AF65" s="69"/>
      <c r="AH65" s="15"/>
      <c r="AI65" s="69"/>
      <c r="AJ65" s="69"/>
      <c r="AL65" s="69"/>
      <c r="AM65" s="69"/>
      <c r="AQ65" s="75"/>
      <c r="AR65" s="75"/>
      <c r="AS65" s="75"/>
      <c r="AT65" s="98"/>
      <c r="AW65" s="99"/>
      <c r="AZ65" s="15"/>
      <c r="BA65" s="69"/>
      <c r="BB65" s="69"/>
      <c r="BD65" s="69"/>
      <c r="BE65" s="69"/>
      <c r="BR65" s="88"/>
    </row>
    <row r="66" spans="1:70" x14ac:dyDescent="0.4">
      <c r="A66" s="85" t="s">
        <v>244</v>
      </c>
      <c r="B66" s="92" t="s">
        <v>114</v>
      </c>
      <c r="C66" s="100" t="s">
        <v>2</v>
      </c>
      <c r="D66" s="129" t="s">
        <v>484</v>
      </c>
      <c r="E66" s="129" t="s">
        <v>485</v>
      </c>
      <c r="F66" s="129" t="s">
        <v>484</v>
      </c>
      <c r="G66" s="129" t="s">
        <v>484</v>
      </c>
      <c r="H66" s="129" t="s">
        <v>484</v>
      </c>
      <c r="I66" s="111">
        <v>4.8</v>
      </c>
      <c r="J66" s="82" t="s">
        <v>133</v>
      </c>
      <c r="K66" s="84">
        <v>10.89</v>
      </c>
      <c r="L66" s="86">
        <v>99600000</v>
      </c>
      <c r="M66" s="80">
        <v>0.4</v>
      </c>
      <c r="N66" s="81">
        <v>50</v>
      </c>
      <c r="O66" s="84">
        <v>4.87</v>
      </c>
      <c r="P66" s="94">
        <v>5.485071349</v>
      </c>
      <c r="Q66" s="81">
        <f t="shared" si="0"/>
        <v>0.88786447616362629</v>
      </c>
      <c r="R66" s="81">
        <f t="shared" si="1"/>
        <v>11053912728.237146</v>
      </c>
      <c r="S66" s="84"/>
      <c r="T66" s="81" t="e">
        <f t="shared" si="2"/>
        <v>#DIV/0!</v>
      </c>
      <c r="U66" s="81"/>
      <c r="V66" s="84"/>
      <c r="W66" s="84"/>
      <c r="Y66" s="75"/>
      <c r="Z66" s="2"/>
      <c r="AA66" s="75"/>
      <c r="AB66" s="98"/>
      <c r="AD66" s="88"/>
      <c r="AE66" s="99"/>
      <c r="AF66" s="69"/>
      <c r="AH66" s="15"/>
      <c r="AI66" s="69"/>
      <c r="AJ66" s="69"/>
      <c r="AL66" s="69"/>
      <c r="AM66" s="69"/>
      <c r="AQ66" s="75"/>
      <c r="AR66" s="75"/>
      <c r="AS66" s="75"/>
      <c r="AT66" s="98"/>
      <c r="AW66" s="99"/>
      <c r="AZ66" s="15"/>
      <c r="BA66" s="69"/>
      <c r="BB66" s="69"/>
      <c r="BD66" s="69"/>
      <c r="BE66" s="69"/>
      <c r="BR66" s="88"/>
    </row>
    <row r="67" spans="1:70" x14ac:dyDescent="0.4">
      <c r="A67" s="85" t="s">
        <v>245</v>
      </c>
      <c r="B67" s="92" t="s">
        <v>114</v>
      </c>
      <c r="C67" s="100" t="s">
        <v>2</v>
      </c>
      <c r="D67" s="129" t="s">
        <v>484</v>
      </c>
      <c r="E67" s="129" t="s">
        <v>485</v>
      </c>
      <c r="F67" s="129" t="s">
        <v>484</v>
      </c>
      <c r="G67" s="129" t="s">
        <v>484</v>
      </c>
      <c r="H67" s="129" t="s">
        <v>484</v>
      </c>
      <c r="I67" s="111">
        <v>4.8</v>
      </c>
      <c r="J67" s="82" t="s">
        <v>133</v>
      </c>
      <c r="K67" s="84">
        <v>10.92</v>
      </c>
      <c r="L67" s="86">
        <v>97500000</v>
      </c>
      <c r="M67" s="80">
        <v>0.4</v>
      </c>
      <c r="N67" s="81">
        <v>50</v>
      </c>
      <c r="O67" s="84">
        <v>4.87</v>
      </c>
      <c r="P67" s="94">
        <v>5.485071349</v>
      </c>
      <c r="Q67" s="81">
        <f t="shared" si="0"/>
        <v>0.88786447616362629</v>
      </c>
      <c r="R67" s="81">
        <f t="shared" si="1"/>
        <v>10820848303.244194</v>
      </c>
      <c r="S67" s="84"/>
      <c r="T67" s="81" t="e">
        <f t="shared" si="2"/>
        <v>#DIV/0!</v>
      </c>
      <c r="U67" s="81" t="e">
        <f>AVERAGE(T65:T67)</f>
        <v>#DIV/0!</v>
      </c>
      <c r="V67" s="81" t="e">
        <f>_xlfn.STDEV.S(T65:T67)</f>
        <v>#DIV/0!</v>
      </c>
      <c r="W67" s="81">
        <f>MAX(K65:K67)-MIN(K65:K67)</f>
        <v>6.0000000000000497E-2</v>
      </c>
      <c r="Y67" s="75"/>
      <c r="Z67" s="2"/>
      <c r="AA67" s="75"/>
      <c r="AB67" s="98"/>
      <c r="AD67" s="88"/>
      <c r="AE67" s="99"/>
      <c r="AF67" s="69"/>
      <c r="AH67" s="15"/>
      <c r="AI67" s="69"/>
      <c r="AJ67" s="69"/>
      <c r="AL67" s="69"/>
      <c r="AM67" s="69"/>
      <c r="AN67" s="69"/>
      <c r="AO67" s="69"/>
      <c r="AQ67" s="75"/>
      <c r="AR67" s="75"/>
      <c r="AS67" s="75"/>
      <c r="AT67" s="98"/>
      <c r="AW67" s="99"/>
      <c r="AZ67" s="15"/>
      <c r="BA67" s="69"/>
      <c r="BB67" s="69"/>
      <c r="BD67" s="69"/>
      <c r="BE67" s="69"/>
      <c r="BF67" s="69"/>
      <c r="BG67" s="69"/>
    </row>
    <row r="68" spans="1:70" x14ac:dyDescent="0.4">
      <c r="A68" s="85" t="s">
        <v>246</v>
      </c>
      <c r="B68" s="92" t="s">
        <v>115</v>
      </c>
      <c r="C68" s="100" t="s">
        <v>3</v>
      </c>
      <c r="D68" s="129" t="s">
        <v>484</v>
      </c>
      <c r="E68" s="129" t="s">
        <v>485</v>
      </c>
      <c r="F68" s="129" t="s">
        <v>484</v>
      </c>
      <c r="G68" s="129" t="s">
        <v>485</v>
      </c>
      <c r="H68" s="129" t="s">
        <v>484</v>
      </c>
      <c r="I68" s="111">
        <v>4.8</v>
      </c>
      <c r="J68" s="82" t="s">
        <v>133</v>
      </c>
      <c r="K68" s="84">
        <v>11.42</v>
      </c>
      <c r="L68" s="86">
        <v>70000000</v>
      </c>
      <c r="M68" s="80">
        <v>0.4</v>
      </c>
      <c r="N68" s="81">
        <v>50</v>
      </c>
      <c r="O68" s="84">
        <v>4.04</v>
      </c>
      <c r="P68" s="94">
        <v>3.981826055</v>
      </c>
      <c r="Q68" s="81">
        <f t="shared" si="0"/>
        <v>1.0146098659751726</v>
      </c>
      <c r="R68" s="81">
        <f t="shared" si="1"/>
        <v>8877836327.2827587</v>
      </c>
      <c r="S68" s="84"/>
      <c r="T68" s="81" t="e">
        <f t="shared" si="2"/>
        <v>#DIV/0!</v>
      </c>
      <c r="U68" s="81"/>
      <c r="V68" s="84"/>
      <c r="W68" s="84"/>
      <c r="Y68" s="75"/>
      <c r="Z68" s="2"/>
      <c r="AA68" s="75"/>
      <c r="AB68" s="98"/>
      <c r="AD68" s="88"/>
      <c r="AE68" s="99"/>
      <c r="AF68" s="69"/>
      <c r="AH68" s="15"/>
      <c r="AI68" s="69"/>
      <c r="AJ68" s="69"/>
      <c r="AL68" s="69"/>
      <c r="AM68" s="69"/>
      <c r="AQ68" s="75"/>
      <c r="AR68" s="2"/>
      <c r="AS68" s="75"/>
      <c r="AT68" s="98"/>
      <c r="AV68" s="88"/>
      <c r="AW68" s="99"/>
      <c r="AX68" s="69"/>
      <c r="AZ68" s="15"/>
      <c r="BA68" s="69"/>
      <c r="BB68" s="69"/>
      <c r="BD68" s="69"/>
      <c r="BE68" s="69"/>
    </row>
    <row r="69" spans="1:70" x14ac:dyDescent="0.4">
      <c r="A69" s="85" t="s">
        <v>247</v>
      </c>
      <c r="B69" s="92" t="s">
        <v>115</v>
      </c>
      <c r="C69" s="100" t="s">
        <v>3</v>
      </c>
      <c r="D69" s="129" t="s">
        <v>484</v>
      </c>
      <c r="E69" s="129" t="s">
        <v>485</v>
      </c>
      <c r="F69" s="129" t="s">
        <v>484</v>
      </c>
      <c r="G69" s="129" t="s">
        <v>485</v>
      </c>
      <c r="H69" s="129" t="s">
        <v>484</v>
      </c>
      <c r="I69" s="111">
        <v>4.8</v>
      </c>
      <c r="J69" s="82" t="s">
        <v>133</v>
      </c>
      <c r="K69" s="84">
        <v>11.47</v>
      </c>
      <c r="L69" s="86">
        <v>68000000</v>
      </c>
      <c r="M69" s="80">
        <v>0.4</v>
      </c>
      <c r="N69" s="81">
        <v>50</v>
      </c>
      <c r="O69" s="84">
        <v>4.04</v>
      </c>
      <c r="P69" s="94">
        <v>3.981826055</v>
      </c>
      <c r="Q69" s="81">
        <f t="shared" si="0"/>
        <v>1.0146098659751726</v>
      </c>
      <c r="R69" s="81">
        <f t="shared" si="1"/>
        <v>8624183860.7889652</v>
      </c>
      <c r="S69" s="84"/>
      <c r="T69" s="81" t="e">
        <f t="shared" si="2"/>
        <v>#DIV/0!</v>
      </c>
      <c r="U69" s="81"/>
      <c r="V69" s="84"/>
      <c r="W69" s="84"/>
      <c r="Y69" s="75"/>
      <c r="Z69" s="2"/>
      <c r="AA69" s="75"/>
      <c r="AB69" s="98"/>
      <c r="AD69" s="88"/>
      <c r="AE69" s="99"/>
      <c r="AF69" s="69"/>
      <c r="AH69" s="15"/>
      <c r="AI69" s="69"/>
      <c r="AJ69" s="69"/>
      <c r="AL69" s="69"/>
      <c r="AM69" s="69"/>
      <c r="AQ69" s="75"/>
      <c r="AR69" s="2"/>
      <c r="AS69" s="75"/>
      <c r="AT69" s="98"/>
      <c r="AV69" s="88"/>
      <c r="AW69" s="99"/>
      <c r="AX69" s="69"/>
      <c r="AZ69" s="15"/>
      <c r="BA69" s="69"/>
      <c r="BB69" s="69"/>
      <c r="BD69" s="69"/>
      <c r="BE69" s="69"/>
    </row>
    <row r="70" spans="1:70" x14ac:dyDescent="0.4">
      <c r="A70" s="85" t="s">
        <v>248</v>
      </c>
      <c r="B70" s="92" t="s">
        <v>115</v>
      </c>
      <c r="C70" s="100" t="s">
        <v>3</v>
      </c>
      <c r="D70" s="129" t="s">
        <v>484</v>
      </c>
      <c r="E70" s="129" t="s">
        <v>485</v>
      </c>
      <c r="F70" s="129" t="s">
        <v>484</v>
      </c>
      <c r="G70" s="129" t="s">
        <v>485</v>
      </c>
      <c r="H70" s="129" t="s">
        <v>484</v>
      </c>
      <c r="I70" s="111">
        <v>4.8</v>
      </c>
      <c r="J70" s="82" t="s">
        <v>133</v>
      </c>
      <c r="K70" s="84">
        <v>11.5</v>
      </c>
      <c r="L70" s="86">
        <v>66400000</v>
      </c>
      <c r="M70" s="80">
        <v>0.4</v>
      </c>
      <c r="N70" s="81">
        <v>50</v>
      </c>
      <c r="O70" s="84">
        <v>4.04</v>
      </c>
      <c r="P70" s="94">
        <v>3.981826055</v>
      </c>
      <c r="Q70" s="81">
        <f t="shared" si="0"/>
        <v>1.0146098659751726</v>
      </c>
      <c r="R70" s="81">
        <f t="shared" si="1"/>
        <v>8421261887.5939322</v>
      </c>
      <c r="S70" s="84"/>
      <c r="T70" s="81" t="e">
        <f t="shared" si="2"/>
        <v>#DIV/0!</v>
      </c>
      <c r="U70" s="81" t="e">
        <f>AVERAGE(T68:T70)</f>
        <v>#DIV/0!</v>
      </c>
      <c r="V70" s="81" t="e">
        <f>_xlfn.STDEV.S(T68:T70)</f>
        <v>#DIV/0!</v>
      </c>
      <c r="W70" s="81">
        <f>MAX(K68:K70)-MIN(K68:K70)</f>
        <v>8.0000000000000071E-2</v>
      </c>
      <c r="Y70" s="75"/>
      <c r="Z70" s="2"/>
      <c r="AA70" s="75"/>
      <c r="AB70" s="98"/>
      <c r="AD70" s="88"/>
      <c r="AE70" s="99"/>
      <c r="AF70" s="69"/>
      <c r="AH70" s="15"/>
      <c r="AI70" s="69"/>
      <c r="AJ70" s="69"/>
      <c r="AL70" s="69"/>
      <c r="AM70" s="69"/>
      <c r="AN70" s="69"/>
      <c r="AO70" s="69"/>
      <c r="AQ70" s="75"/>
      <c r="AR70" s="2"/>
      <c r="AS70" s="75"/>
      <c r="AT70" s="98"/>
      <c r="AV70" s="88"/>
      <c r="AW70" s="99"/>
      <c r="AX70" s="69"/>
      <c r="AZ70" s="15"/>
      <c r="BA70" s="69"/>
      <c r="BB70" s="69"/>
      <c r="BD70" s="69"/>
      <c r="BE70" s="69"/>
      <c r="BF70" s="69"/>
      <c r="BG70" s="69"/>
      <c r="BR70" s="88"/>
    </row>
    <row r="71" spans="1:70" x14ac:dyDescent="0.4">
      <c r="A71" s="85" t="s">
        <v>249</v>
      </c>
      <c r="B71" s="92" t="s">
        <v>122</v>
      </c>
      <c r="C71" s="100" t="s">
        <v>0</v>
      </c>
      <c r="D71" s="129" t="s">
        <v>484</v>
      </c>
      <c r="E71" s="129" t="s">
        <v>484</v>
      </c>
      <c r="F71" s="129" t="s">
        <v>484</v>
      </c>
      <c r="G71" s="129" t="s">
        <v>484</v>
      </c>
      <c r="H71" s="129" t="s">
        <v>484</v>
      </c>
      <c r="I71" s="111">
        <v>5.8</v>
      </c>
      <c r="J71" s="82" t="s">
        <v>133</v>
      </c>
      <c r="K71" s="84">
        <v>9.02</v>
      </c>
      <c r="L71" s="86">
        <v>345000000</v>
      </c>
      <c r="M71" s="80">
        <v>0.4</v>
      </c>
      <c r="N71" s="81">
        <v>50</v>
      </c>
      <c r="O71" s="84">
        <v>40.74</v>
      </c>
      <c r="P71" s="94">
        <v>6.9645010279999999</v>
      </c>
      <c r="Q71" s="81">
        <f t="shared" si="0"/>
        <v>5.8496653006740003</v>
      </c>
      <c r="R71" s="81">
        <f t="shared" si="1"/>
        <v>252266816091.56625</v>
      </c>
      <c r="S71" s="84"/>
      <c r="T71" s="81" t="e">
        <f t="shared" si="2"/>
        <v>#DIV/0!</v>
      </c>
      <c r="U71" s="81"/>
      <c r="V71" s="84"/>
      <c r="W71" s="84"/>
      <c r="Y71" s="75"/>
      <c r="Z71" s="2"/>
      <c r="AA71" s="75"/>
      <c r="AB71" s="98"/>
      <c r="AD71" s="88"/>
      <c r="AE71" s="99"/>
      <c r="AF71" s="69"/>
      <c r="AH71" s="15"/>
      <c r="AI71" s="69"/>
      <c r="AJ71" s="69"/>
      <c r="AL71" s="69"/>
      <c r="AM71" s="69"/>
      <c r="AQ71" s="75"/>
      <c r="AR71" s="2"/>
      <c r="AS71" s="75"/>
      <c r="AT71" s="98"/>
      <c r="AV71" s="88"/>
      <c r="AW71" s="99"/>
      <c r="AX71" s="69"/>
      <c r="AZ71" s="15"/>
      <c r="BA71" s="69"/>
      <c r="BB71" s="69"/>
      <c r="BD71" s="69"/>
      <c r="BE71" s="69"/>
      <c r="BR71" s="88"/>
    </row>
    <row r="72" spans="1:70" x14ac:dyDescent="0.4">
      <c r="A72" s="85" t="s">
        <v>250</v>
      </c>
      <c r="B72" s="92" t="s">
        <v>122</v>
      </c>
      <c r="C72" s="100" t="s">
        <v>0</v>
      </c>
      <c r="D72" s="129" t="s">
        <v>484</v>
      </c>
      <c r="E72" s="129" t="s">
        <v>484</v>
      </c>
      <c r="F72" s="129" t="s">
        <v>484</v>
      </c>
      <c r="G72" s="129" t="s">
        <v>484</v>
      </c>
      <c r="H72" s="129" t="s">
        <v>484</v>
      </c>
      <c r="I72" s="111">
        <v>5.8</v>
      </c>
      <c r="J72" s="82" t="s">
        <v>133</v>
      </c>
      <c r="K72" s="84">
        <v>9.6300000000000008</v>
      </c>
      <c r="L72" s="86">
        <v>231000000</v>
      </c>
      <c r="M72" s="80">
        <v>0.4</v>
      </c>
      <c r="N72" s="81">
        <v>50</v>
      </c>
      <c r="O72" s="84">
        <v>40.74</v>
      </c>
      <c r="P72" s="94">
        <v>6.9645010279999999</v>
      </c>
      <c r="Q72" s="81">
        <f t="shared" si="0"/>
        <v>5.8496653006740003</v>
      </c>
      <c r="R72" s="81">
        <f t="shared" si="1"/>
        <v>168909085556.96176</v>
      </c>
      <c r="S72" s="84"/>
      <c r="T72" s="81" t="e">
        <f t="shared" si="2"/>
        <v>#DIV/0!</v>
      </c>
      <c r="U72" s="81"/>
      <c r="V72" s="84"/>
      <c r="W72" s="84"/>
      <c r="Y72" s="75"/>
      <c r="Z72" s="2"/>
      <c r="AA72" s="75"/>
      <c r="AB72" s="98"/>
      <c r="AD72" s="88"/>
      <c r="AE72" s="99"/>
      <c r="AF72" s="69"/>
      <c r="AH72" s="15"/>
      <c r="AI72" s="69"/>
      <c r="AJ72" s="69"/>
      <c r="AL72" s="69"/>
      <c r="AM72" s="69"/>
      <c r="AQ72" s="75"/>
      <c r="AR72" s="2"/>
      <c r="AS72" s="75"/>
      <c r="AT72" s="98"/>
      <c r="AV72" s="88"/>
      <c r="AW72" s="99"/>
      <c r="AX72" s="69"/>
      <c r="AZ72" s="15"/>
      <c r="BA72" s="69"/>
      <c r="BB72" s="69"/>
      <c r="BD72" s="69"/>
      <c r="BE72" s="69"/>
      <c r="BR72" s="88"/>
    </row>
    <row r="73" spans="1:70" x14ac:dyDescent="0.4">
      <c r="A73" s="85" t="s">
        <v>251</v>
      </c>
      <c r="B73" s="92" t="s">
        <v>122</v>
      </c>
      <c r="C73" s="100" t="s">
        <v>0</v>
      </c>
      <c r="D73" s="129" t="s">
        <v>484</v>
      </c>
      <c r="E73" s="129" t="s">
        <v>484</v>
      </c>
      <c r="F73" s="129" t="s">
        <v>484</v>
      </c>
      <c r="G73" s="129" t="s">
        <v>484</v>
      </c>
      <c r="H73" s="129" t="s">
        <v>484</v>
      </c>
      <c r="I73" s="111">
        <v>5.8</v>
      </c>
      <c r="J73" s="82" t="s">
        <v>133</v>
      </c>
      <c r="K73" s="84">
        <v>9.84</v>
      </c>
      <c r="L73" s="86">
        <v>200000000</v>
      </c>
      <c r="M73" s="80">
        <v>0.4</v>
      </c>
      <c r="N73" s="81">
        <v>50</v>
      </c>
      <c r="O73" s="84">
        <v>40.74</v>
      </c>
      <c r="P73" s="94">
        <v>6.9645010279999999</v>
      </c>
      <c r="Q73" s="81">
        <f t="shared" si="0"/>
        <v>5.8496653006740003</v>
      </c>
      <c r="R73" s="81">
        <f t="shared" si="1"/>
        <v>146241632516.85001</v>
      </c>
      <c r="S73" s="84"/>
      <c r="T73" s="81" t="e">
        <f t="shared" si="2"/>
        <v>#DIV/0!</v>
      </c>
      <c r="U73" s="81" t="e">
        <f>AVERAGE(T71:T73)</f>
        <v>#DIV/0!</v>
      </c>
      <c r="V73" s="81" t="e">
        <f>_xlfn.STDEV.S(T71:T73)</f>
        <v>#DIV/0!</v>
      </c>
      <c r="W73" s="81">
        <f>MAX(K71:K73)-MIN(K71:K73)</f>
        <v>0.82000000000000028</v>
      </c>
      <c r="Y73" s="75"/>
      <c r="Z73" s="2"/>
      <c r="AA73" s="75"/>
      <c r="AB73" s="98"/>
      <c r="AD73" s="88"/>
      <c r="AE73" s="99"/>
      <c r="AF73" s="69"/>
      <c r="AH73" s="15"/>
      <c r="AI73" s="69"/>
      <c r="AJ73" s="69"/>
      <c r="AL73" s="69"/>
      <c r="AM73" s="69"/>
      <c r="AN73" s="69"/>
      <c r="AO73" s="69"/>
      <c r="AQ73" s="75"/>
      <c r="AR73" s="2"/>
      <c r="AS73" s="75"/>
      <c r="AT73" s="98"/>
      <c r="AV73" s="88"/>
      <c r="AW73" s="99"/>
      <c r="AX73" s="69"/>
      <c r="AZ73" s="15"/>
      <c r="BA73" s="69"/>
      <c r="BB73" s="69"/>
      <c r="BD73" s="69"/>
      <c r="BE73" s="69"/>
      <c r="BF73" s="69"/>
      <c r="BG73" s="69"/>
      <c r="BR73" s="88"/>
    </row>
    <row r="74" spans="1:70" x14ac:dyDescent="0.4">
      <c r="A74" s="85" t="s">
        <v>252</v>
      </c>
      <c r="B74" s="92" t="s">
        <v>123</v>
      </c>
      <c r="C74" s="100" t="s">
        <v>1</v>
      </c>
      <c r="D74" s="129" t="s">
        <v>484</v>
      </c>
      <c r="E74" s="129" t="s">
        <v>484</v>
      </c>
      <c r="F74" s="129" t="s">
        <v>484</v>
      </c>
      <c r="G74" s="129" t="s">
        <v>485</v>
      </c>
      <c r="H74" s="129" t="s">
        <v>484</v>
      </c>
      <c r="I74" s="111">
        <v>5.8</v>
      </c>
      <c r="J74" s="82" t="s">
        <v>133</v>
      </c>
      <c r="K74" s="84">
        <v>8.6199999999999992</v>
      </c>
      <c r="L74" s="86">
        <v>450000000</v>
      </c>
      <c r="M74" s="80">
        <v>0.4</v>
      </c>
      <c r="N74" s="81">
        <v>50</v>
      </c>
      <c r="O74" s="84">
        <v>67.64</v>
      </c>
      <c r="P74" s="94">
        <v>7.3428739140000001</v>
      </c>
      <c r="Q74" s="81">
        <f t="shared" si="0"/>
        <v>9.2116521122658614</v>
      </c>
      <c r="R74" s="81">
        <f t="shared" si="1"/>
        <v>518155431314.95465</v>
      </c>
      <c r="S74" s="84"/>
      <c r="T74" s="81" t="e">
        <f t="shared" si="2"/>
        <v>#DIV/0!</v>
      </c>
      <c r="U74" s="81"/>
      <c r="V74" s="84"/>
      <c r="W74" s="84"/>
      <c r="Y74" s="75"/>
      <c r="Z74" s="2"/>
      <c r="AA74" s="75"/>
      <c r="AB74" s="98"/>
      <c r="AD74" s="88"/>
      <c r="AE74" s="99"/>
      <c r="AF74" s="69"/>
      <c r="AH74" s="15"/>
      <c r="AI74" s="69"/>
      <c r="AJ74" s="69"/>
      <c r="AL74" s="69"/>
      <c r="AM74" s="69"/>
      <c r="AQ74" s="75"/>
      <c r="AR74" s="2"/>
      <c r="AS74" s="75"/>
      <c r="AT74" s="98"/>
      <c r="AV74" s="88"/>
      <c r="AW74" s="99"/>
      <c r="AX74" s="69"/>
      <c r="AZ74" s="15"/>
      <c r="BA74" s="69"/>
      <c r="BB74" s="69"/>
      <c r="BD74" s="69"/>
      <c r="BE74" s="69"/>
      <c r="BR74" s="88"/>
    </row>
    <row r="75" spans="1:70" x14ac:dyDescent="0.4">
      <c r="A75" s="85" t="s">
        <v>253</v>
      </c>
      <c r="B75" s="92" t="s">
        <v>123</v>
      </c>
      <c r="C75" s="100" t="s">
        <v>1</v>
      </c>
      <c r="D75" s="129" t="s">
        <v>484</v>
      </c>
      <c r="E75" s="129" t="s">
        <v>484</v>
      </c>
      <c r="F75" s="129" t="s">
        <v>484</v>
      </c>
      <c r="G75" s="129" t="s">
        <v>485</v>
      </c>
      <c r="H75" s="129" t="s">
        <v>484</v>
      </c>
      <c r="I75" s="111">
        <v>5.8</v>
      </c>
      <c r="J75" s="82" t="s">
        <v>133</v>
      </c>
      <c r="K75" s="84"/>
      <c r="L75" s="84"/>
      <c r="M75" s="80">
        <v>0.4</v>
      </c>
      <c r="N75" s="81">
        <v>50</v>
      </c>
      <c r="O75" s="84">
        <v>67.64</v>
      </c>
      <c r="P75" s="94">
        <v>7.3428739140000001</v>
      </c>
      <c r="Q75" s="81">
        <f t="shared" ref="Q75:Q138" si="3">O75/P75</f>
        <v>9.2116521122658614</v>
      </c>
      <c r="R75" s="81">
        <f t="shared" ref="R75:R138" si="4">(L75*N75*Q75)/M75</f>
        <v>0</v>
      </c>
      <c r="S75" s="84"/>
      <c r="T75" s="81" t="e">
        <f t="shared" ref="T75:T138" si="5">R75/S75</f>
        <v>#DIV/0!</v>
      </c>
      <c r="U75" s="81"/>
      <c r="V75" s="84"/>
      <c r="W75" s="84"/>
      <c r="Y75" s="75"/>
      <c r="Z75" s="2"/>
      <c r="AA75" s="75"/>
      <c r="AB75" s="98"/>
      <c r="AD75" s="88"/>
      <c r="AE75" s="99"/>
      <c r="AF75" s="69"/>
      <c r="AH75" s="15"/>
      <c r="AI75" s="69"/>
      <c r="AJ75" s="69"/>
      <c r="AL75" s="69"/>
      <c r="AM75" s="69"/>
      <c r="AQ75" s="75"/>
      <c r="AR75" s="2"/>
      <c r="AS75" s="75"/>
      <c r="AT75" s="98"/>
      <c r="AV75" s="88"/>
      <c r="AW75" s="99"/>
      <c r="AX75" s="69"/>
      <c r="AZ75" s="15"/>
      <c r="BA75" s="69"/>
      <c r="BB75" s="69"/>
      <c r="BD75" s="69"/>
      <c r="BE75" s="69"/>
      <c r="BR75" s="88"/>
    </row>
    <row r="76" spans="1:70" x14ac:dyDescent="0.4">
      <c r="A76" s="85" t="s">
        <v>254</v>
      </c>
      <c r="B76" s="92" t="s">
        <v>123</v>
      </c>
      <c r="C76" s="100" t="s">
        <v>1</v>
      </c>
      <c r="D76" s="129" t="s">
        <v>484</v>
      </c>
      <c r="E76" s="129" t="s">
        <v>484</v>
      </c>
      <c r="F76" s="129" t="s">
        <v>484</v>
      </c>
      <c r="G76" s="129" t="s">
        <v>485</v>
      </c>
      <c r="H76" s="129" t="s">
        <v>484</v>
      </c>
      <c r="I76" s="111">
        <v>5.8</v>
      </c>
      <c r="J76" s="82" t="s">
        <v>133</v>
      </c>
      <c r="K76" s="84">
        <v>9.07</v>
      </c>
      <c r="L76" s="86">
        <v>333000000</v>
      </c>
      <c r="M76" s="80">
        <v>0.4</v>
      </c>
      <c r="N76" s="81">
        <v>50</v>
      </c>
      <c r="O76" s="84">
        <v>67.64</v>
      </c>
      <c r="P76" s="94">
        <v>7.3428739140000001</v>
      </c>
      <c r="Q76" s="81">
        <f t="shared" si="3"/>
        <v>9.2116521122658614</v>
      </c>
      <c r="R76" s="81">
        <f t="shared" si="4"/>
        <v>383435019173.06647</v>
      </c>
      <c r="S76" s="84"/>
      <c r="T76" s="81" t="e">
        <f t="shared" si="5"/>
        <v>#DIV/0!</v>
      </c>
      <c r="U76" s="81" t="e">
        <f>AVERAGE(T74:T76)</f>
        <v>#DIV/0!</v>
      </c>
      <c r="V76" s="81" t="e">
        <f>_xlfn.STDEV.S(T74:T76)</f>
        <v>#DIV/0!</v>
      </c>
      <c r="W76" s="81">
        <f>MAX(K74:K76)-MIN(K74:K76)</f>
        <v>0.45000000000000107</v>
      </c>
      <c r="Y76" s="75"/>
      <c r="Z76" s="2"/>
      <c r="AA76" s="75"/>
      <c r="AB76" s="98"/>
      <c r="AD76" s="88"/>
      <c r="AE76" s="99"/>
      <c r="AF76" s="69"/>
      <c r="AH76" s="15"/>
      <c r="AI76" s="69"/>
      <c r="AJ76" s="69"/>
      <c r="AL76" s="69"/>
      <c r="AM76" s="69"/>
      <c r="AN76" s="69"/>
      <c r="AO76" s="69"/>
      <c r="AQ76" s="75"/>
      <c r="AR76" s="2"/>
      <c r="AS76" s="75"/>
      <c r="AT76" s="98"/>
      <c r="AV76" s="88"/>
      <c r="AW76" s="99"/>
      <c r="AX76" s="69"/>
      <c r="AZ76" s="15"/>
      <c r="BA76" s="69"/>
      <c r="BB76" s="69"/>
      <c r="BD76" s="69"/>
      <c r="BE76" s="69"/>
      <c r="BF76" s="69"/>
      <c r="BG76" s="69"/>
      <c r="BR76" s="88"/>
    </row>
    <row r="77" spans="1:70" x14ac:dyDescent="0.4">
      <c r="A77" s="85" t="s">
        <v>255</v>
      </c>
      <c r="B77" s="92" t="s">
        <v>124</v>
      </c>
      <c r="C77" s="100" t="s">
        <v>2</v>
      </c>
      <c r="D77" s="129" t="s">
        <v>484</v>
      </c>
      <c r="E77" s="129" t="s">
        <v>485</v>
      </c>
      <c r="F77" s="129" t="s">
        <v>484</v>
      </c>
      <c r="G77" s="129" t="s">
        <v>484</v>
      </c>
      <c r="H77" s="129" t="s">
        <v>484</v>
      </c>
      <c r="I77" s="111">
        <v>5.8</v>
      </c>
      <c r="J77" s="82" t="s">
        <v>133</v>
      </c>
      <c r="K77" s="84">
        <v>8.15</v>
      </c>
      <c r="L77" s="86">
        <v>617000000</v>
      </c>
      <c r="M77" s="80">
        <v>0.4</v>
      </c>
      <c r="N77" s="81">
        <v>50</v>
      </c>
      <c r="O77" s="84">
        <v>39.68</v>
      </c>
      <c r="P77" s="94">
        <v>7.8670020550000004</v>
      </c>
      <c r="Q77" s="81">
        <f t="shared" si="3"/>
        <v>5.0438527564360722</v>
      </c>
      <c r="R77" s="81">
        <f t="shared" si="4"/>
        <v>389007143840.13202</v>
      </c>
      <c r="S77" s="84"/>
      <c r="T77" s="81" t="e">
        <f t="shared" si="5"/>
        <v>#DIV/0!</v>
      </c>
      <c r="U77" s="81"/>
      <c r="V77" s="84"/>
      <c r="W77" s="84"/>
      <c r="Y77" s="75"/>
      <c r="Z77" s="2"/>
      <c r="AA77" s="75"/>
      <c r="AB77" s="98"/>
      <c r="AD77" s="88"/>
      <c r="AE77" s="99"/>
      <c r="AF77" s="69"/>
      <c r="AH77" s="15"/>
      <c r="AI77" s="69"/>
      <c r="AJ77" s="69"/>
      <c r="AL77" s="69"/>
      <c r="AM77" s="69"/>
      <c r="AQ77" s="75"/>
      <c r="AR77" s="75"/>
      <c r="AS77" s="75"/>
      <c r="AT77" s="98"/>
      <c r="AW77" s="99"/>
      <c r="AZ77" s="15"/>
      <c r="BA77" s="69"/>
      <c r="BB77" s="69"/>
      <c r="BD77" s="69"/>
      <c r="BE77" s="69"/>
      <c r="BR77" s="88"/>
    </row>
    <row r="78" spans="1:70" x14ac:dyDescent="0.4">
      <c r="A78" s="85" t="s">
        <v>256</v>
      </c>
      <c r="B78" s="92" t="s">
        <v>124</v>
      </c>
      <c r="C78" s="100" t="s">
        <v>2</v>
      </c>
      <c r="D78" s="129" t="s">
        <v>484</v>
      </c>
      <c r="E78" s="129" t="s">
        <v>485</v>
      </c>
      <c r="F78" s="129" t="s">
        <v>484</v>
      </c>
      <c r="G78" s="129" t="s">
        <v>484</v>
      </c>
      <c r="H78" s="129" t="s">
        <v>484</v>
      </c>
      <c r="I78" s="111">
        <v>5.8</v>
      </c>
      <c r="J78" s="82" t="s">
        <v>133</v>
      </c>
      <c r="K78" s="84">
        <v>8.0299999999999994</v>
      </c>
      <c r="L78" s="86">
        <v>666000000</v>
      </c>
      <c r="M78" s="80">
        <v>0.4</v>
      </c>
      <c r="N78" s="81">
        <v>50</v>
      </c>
      <c r="O78" s="84">
        <v>39.68</v>
      </c>
      <c r="P78" s="94">
        <v>7.8670020550000004</v>
      </c>
      <c r="Q78" s="81">
        <f t="shared" si="3"/>
        <v>5.0438527564360722</v>
      </c>
      <c r="R78" s="81">
        <f t="shared" si="4"/>
        <v>419900741973.30298</v>
      </c>
      <c r="S78" s="84"/>
      <c r="T78" s="81" t="e">
        <f t="shared" si="5"/>
        <v>#DIV/0!</v>
      </c>
      <c r="U78" s="81"/>
      <c r="V78" s="84"/>
      <c r="W78" s="84"/>
      <c r="Y78" s="75"/>
      <c r="Z78" s="2"/>
      <c r="AA78" s="75"/>
      <c r="AB78" s="98"/>
      <c r="AD78" s="88"/>
      <c r="AE78" s="99"/>
      <c r="AF78" s="69"/>
      <c r="AH78" s="15"/>
      <c r="AI78" s="69"/>
      <c r="AJ78" s="69"/>
      <c r="AL78" s="69"/>
      <c r="AM78" s="69"/>
      <c r="AQ78" s="75"/>
      <c r="AR78" s="75"/>
      <c r="AS78" s="75"/>
      <c r="AT78" s="98"/>
      <c r="AW78" s="99"/>
      <c r="AZ78" s="15"/>
      <c r="BA78" s="69"/>
      <c r="BB78" s="69"/>
      <c r="BD78" s="69"/>
      <c r="BE78" s="69"/>
      <c r="BR78" s="88"/>
    </row>
    <row r="79" spans="1:70" x14ac:dyDescent="0.4">
      <c r="A79" s="85" t="s">
        <v>257</v>
      </c>
      <c r="B79" s="92" t="s">
        <v>124</v>
      </c>
      <c r="C79" s="100" t="s">
        <v>2</v>
      </c>
      <c r="D79" s="129" t="s">
        <v>484</v>
      </c>
      <c r="E79" s="129" t="s">
        <v>485</v>
      </c>
      <c r="F79" s="129" t="s">
        <v>484</v>
      </c>
      <c r="G79" s="129" t="s">
        <v>484</v>
      </c>
      <c r="H79" s="129" t="s">
        <v>484</v>
      </c>
      <c r="I79" s="111">
        <v>5.8</v>
      </c>
      <c r="J79" s="82" t="s">
        <v>133</v>
      </c>
      <c r="K79" s="84">
        <v>8.57</v>
      </c>
      <c r="L79" s="86">
        <v>467000000</v>
      </c>
      <c r="M79" s="80">
        <v>0.4</v>
      </c>
      <c r="N79" s="81">
        <v>50</v>
      </c>
      <c r="O79" s="84">
        <v>39.68</v>
      </c>
      <c r="P79" s="94">
        <v>7.8670020550000004</v>
      </c>
      <c r="Q79" s="81">
        <f t="shared" si="3"/>
        <v>5.0438527564360722</v>
      </c>
      <c r="R79" s="81">
        <f t="shared" si="4"/>
        <v>294434904656.95569</v>
      </c>
      <c r="S79" s="84"/>
      <c r="T79" s="81" t="e">
        <f t="shared" si="5"/>
        <v>#DIV/0!</v>
      </c>
      <c r="U79" s="81" t="e">
        <f>AVERAGE(T77:T79)</f>
        <v>#DIV/0!</v>
      </c>
      <c r="V79" s="81" t="e">
        <f>_xlfn.STDEV.S(T77:T79)</f>
        <v>#DIV/0!</v>
      </c>
      <c r="W79" s="81">
        <f>MAX(K77:K79)-MIN(K77:K79)</f>
        <v>0.54000000000000092</v>
      </c>
      <c r="Y79" s="75"/>
      <c r="Z79" s="2"/>
      <c r="AA79" s="75"/>
      <c r="AB79" s="98"/>
      <c r="AD79" s="88"/>
      <c r="AE79" s="99"/>
      <c r="AF79" s="69"/>
      <c r="AH79" s="15"/>
      <c r="AI79" s="69"/>
      <c r="AJ79" s="69"/>
      <c r="AL79" s="69"/>
      <c r="AM79" s="69"/>
      <c r="AN79" s="69"/>
      <c r="AO79" s="69"/>
      <c r="AQ79" s="75"/>
      <c r="AR79" s="75"/>
      <c r="AS79" s="75"/>
      <c r="AT79" s="98"/>
      <c r="AW79" s="99"/>
      <c r="AZ79" s="15"/>
      <c r="BA79" s="69"/>
      <c r="BB79" s="69"/>
      <c r="BD79" s="69"/>
      <c r="BE79" s="69"/>
      <c r="BF79" s="69"/>
      <c r="BG79" s="69"/>
    </row>
    <row r="80" spans="1:70" x14ac:dyDescent="0.4">
      <c r="A80" s="85" t="s">
        <v>258</v>
      </c>
      <c r="B80" s="92" t="s">
        <v>125</v>
      </c>
      <c r="C80" s="100" t="s">
        <v>3</v>
      </c>
      <c r="D80" s="129" t="s">
        <v>484</v>
      </c>
      <c r="E80" s="129" t="s">
        <v>485</v>
      </c>
      <c r="F80" s="129" t="s">
        <v>484</v>
      </c>
      <c r="G80" s="129" t="s">
        <v>485</v>
      </c>
      <c r="H80" s="129" t="s">
        <v>484</v>
      </c>
      <c r="I80" s="111">
        <v>5.8</v>
      </c>
      <c r="J80" s="82" t="s">
        <v>133</v>
      </c>
      <c r="K80" s="84">
        <v>7.67</v>
      </c>
      <c r="L80" s="86">
        <v>844000000</v>
      </c>
      <c r="M80" s="80">
        <v>0.4</v>
      </c>
      <c r="N80" s="81">
        <v>50</v>
      </c>
      <c r="O80" s="84">
        <v>46.37</v>
      </c>
      <c r="P80" s="94">
        <v>8.8434422589999997</v>
      </c>
      <c r="Q80" s="81">
        <f t="shared" si="3"/>
        <v>5.243433342125245</v>
      </c>
      <c r="R80" s="81">
        <f t="shared" si="4"/>
        <v>553182217594.21326</v>
      </c>
      <c r="S80" s="84"/>
      <c r="T80" s="81" t="e">
        <f t="shared" si="5"/>
        <v>#DIV/0!</v>
      </c>
      <c r="U80" s="81"/>
      <c r="V80" s="84"/>
      <c r="W80" s="84"/>
      <c r="Y80" s="75"/>
      <c r="Z80" s="2"/>
      <c r="AA80" s="75"/>
      <c r="AB80" s="98"/>
      <c r="AD80" s="88"/>
      <c r="AE80" s="99"/>
      <c r="AF80" s="69"/>
      <c r="AH80" s="15"/>
      <c r="AI80" s="69"/>
      <c r="AJ80" s="69"/>
      <c r="AL80" s="69"/>
      <c r="AM80" s="69"/>
      <c r="AQ80" s="75"/>
      <c r="AR80" s="2"/>
      <c r="AS80" s="75"/>
      <c r="AT80" s="98"/>
      <c r="AV80" s="88"/>
      <c r="AW80" s="99"/>
      <c r="AZ80" s="15"/>
      <c r="BA80" s="69"/>
      <c r="BB80" s="69"/>
      <c r="BD80" s="69"/>
      <c r="BE80" s="69"/>
    </row>
    <row r="81" spans="1:70" x14ac:dyDescent="0.4">
      <c r="A81" s="85" t="s">
        <v>259</v>
      </c>
      <c r="B81" s="92" t="s">
        <v>125</v>
      </c>
      <c r="C81" s="100" t="s">
        <v>3</v>
      </c>
      <c r="D81" s="129" t="s">
        <v>484</v>
      </c>
      <c r="E81" s="129" t="s">
        <v>485</v>
      </c>
      <c r="F81" s="129" t="s">
        <v>484</v>
      </c>
      <c r="G81" s="129" t="s">
        <v>485</v>
      </c>
      <c r="H81" s="129" t="s">
        <v>484</v>
      </c>
      <c r="I81" s="111">
        <v>5.8</v>
      </c>
      <c r="J81" s="82" t="s">
        <v>133</v>
      </c>
      <c r="K81" s="84">
        <v>7.94</v>
      </c>
      <c r="L81" s="86">
        <v>709000000</v>
      </c>
      <c r="M81" s="80">
        <v>0.4</v>
      </c>
      <c r="N81" s="81">
        <v>50</v>
      </c>
      <c r="O81" s="84">
        <v>46.37</v>
      </c>
      <c r="P81" s="94">
        <v>8.8434422589999997</v>
      </c>
      <c r="Q81" s="81">
        <f t="shared" si="3"/>
        <v>5.243433342125245</v>
      </c>
      <c r="R81" s="81">
        <f t="shared" si="4"/>
        <v>464699279945.84979</v>
      </c>
      <c r="S81" s="84"/>
      <c r="T81" s="81" t="e">
        <f t="shared" si="5"/>
        <v>#DIV/0!</v>
      </c>
      <c r="U81" s="81"/>
      <c r="V81" s="84"/>
      <c r="W81" s="84"/>
      <c r="Y81" s="75"/>
      <c r="Z81" s="2"/>
      <c r="AA81" s="75"/>
      <c r="AB81" s="98"/>
      <c r="AD81" s="88"/>
      <c r="AE81" s="99"/>
      <c r="AF81" s="69"/>
      <c r="AH81" s="15"/>
      <c r="AI81" s="69"/>
      <c r="AJ81" s="69"/>
      <c r="AL81" s="69"/>
      <c r="AM81" s="69"/>
      <c r="AQ81" s="75"/>
      <c r="AR81" s="2"/>
      <c r="AS81" s="75"/>
      <c r="AT81" s="98"/>
      <c r="AV81" s="88"/>
      <c r="AW81" s="99"/>
      <c r="AZ81" s="15"/>
      <c r="BA81" s="69"/>
      <c r="BB81" s="69"/>
      <c r="BD81" s="69"/>
      <c r="BE81" s="69"/>
    </row>
    <row r="82" spans="1:70" x14ac:dyDescent="0.4">
      <c r="A82" s="85" t="s">
        <v>260</v>
      </c>
      <c r="B82" s="92" t="s">
        <v>125</v>
      </c>
      <c r="C82" s="100" t="s">
        <v>3</v>
      </c>
      <c r="D82" s="129" t="s">
        <v>484</v>
      </c>
      <c r="E82" s="129" t="s">
        <v>485</v>
      </c>
      <c r="F82" s="129" t="s">
        <v>484</v>
      </c>
      <c r="G82" s="129" t="s">
        <v>485</v>
      </c>
      <c r="H82" s="129" t="s">
        <v>484</v>
      </c>
      <c r="I82" s="111">
        <v>5.8</v>
      </c>
      <c r="J82" s="82" t="s">
        <v>133</v>
      </c>
      <c r="K82" s="84">
        <v>7.97</v>
      </c>
      <c r="L82" s="86">
        <v>693000000</v>
      </c>
      <c r="M82" s="80">
        <v>0.4</v>
      </c>
      <c r="N82" s="81">
        <v>50</v>
      </c>
      <c r="O82" s="84">
        <v>46.37</v>
      </c>
      <c r="P82" s="94">
        <v>8.8434422589999997</v>
      </c>
      <c r="Q82" s="81">
        <f t="shared" si="3"/>
        <v>5.243433342125245</v>
      </c>
      <c r="R82" s="81">
        <f t="shared" si="4"/>
        <v>454212413261.5993</v>
      </c>
      <c r="S82" s="84"/>
      <c r="T82" s="81" t="e">
        <f t="shared" si="5"/>
        <v>#DIV/0!</v>
      </c>
      <c r="U82" s="81" t="e">
        <f>AVERAGE(T80:T82)</f>
        <v>#DIV/0!</v>
      </c>
      <c r="V82" s="81" t="e">
        <f>_xlfn.STDEV.S(T80:T82)</f>
        <v>#DIV/0!</v>
      </c>
      <c r="W82" s="81">
        <f>MAX(K80:K82)-MIN(K80:K82)</f>
        <v>0.29999999999999982</v>
      </c>
      <c r="Y82" s="75"/>
      <c r="Z82" s="2"/>
      <c r="AA82" s="75"/>
      <c r="AB82" s="98"/>
      <c r="AD82" s="88"/>
      <c r="AE82" s="99"/>
      <c r="AF82" s="69"/>
      <c r="AH82" s="15"/>
      <c r="AI82" s="69"/>
      <c r="AJ82" s="69"/>
      <c r="AL82" s="69"/>
      <c r="AM82" s="69"/>
      <c r="AN82" s="69"/>
      <c r="AO82" s="69"/>
      <c r="AQ82" s="75"/>
      <c r="AR82" s="2"/>
      <c r="AS82" s="75"/>
      <c r="AT82" s="98"/>
      <c r="AV82" s="88"/>
      <c r="AW82" s="99"/>
      <c r="AZ82" s="15"/>
      <c r="BA82" s="69"/>
      <c r="BB82" s="69"/>
      <c r="BD82" s="69"/>
      <c r="BE82" s="69"/>
      <c r="BF82" s="69"/>
      <c r="BG82" s="69"/>
      <c r="BR82" s="88"/>
    </row>
    <row r="83" spans="1:70" x14ac:dyDescent="0.4">
      <c r="A83" s="85" t="s">
        <v>261</v>
      </c>
      <c r="B83" s="92" t="s">
        <v>134</v>
      </c>
      <c r="C83" s="130" t="s">
        <v>480</v>
      </c>
      <c r="D83" s="131"/>
      <c r="E83" s="131"/>
      <c r="F83" s="131"/>
      <c r="G83" s="131"/>
      <c r="H83" s="131"/>
      <c r="I83" s="111" t="s">
        <v>480</v>
      </c>
      <c r="J83" s="82" t="s">
        <v>81</v>
      </c>
      <c r="K83" s="84">
        <v>10.75</v>
      </c>
      <c r="L83" s="86">
        <v>109000000</v>
      </c>
      <c r="M83" s="80">
        <v>0.4</v>
      </c>
      <c r="N83" s="81">
        <v>50</v>
      </c>
      <c r="O83" s="84">
        <v>7.19</v>
      </c>
      <c r="P83" s="94">
        <v>6.316494767</v>
      </c>
      <c r="Q83" s="81">
        <f t="shared" si="3"/>
        <v>1.138289552231335</v>
      </c>
      <c r="R83" s="81">
        <f t="shared" si="4"/>
        <v>15509195149.151939</v>
      </c>
      <c r="S83" s="84"/>
      <c r="T83" s="81" t="e">
        <f t="shared" si="5"/>
        <v>#DIV/0!</v>
      </c>
      <c r="U83" s="81"/>
      <c r="V83" s="84"/>
      <c r="W83" s="84"/>
      <c r="Y83" s="75"/>
      <c r="Z83" s="2"/>
      <c r="AA83" s="75"/>
      <c r="AB83" s="98"/>
      <c r="AD83" s="88"/>
      <c r="AE83" s="99"/>
      <c r="AF83" s="69"/>
      <c r="AH83" s="15"/>
      <c r="AI83" s="69"/>
      <c r="AJ83" s="69"/>
      <c r="AL83" s="69"/>
      <c r="AM83" s="69"/>
      <c r="AQ83" s="75"/>
      <c r="AR83" s="2"/>
      <c r="AS83" s="75"/>
      <c r="AT83" s="98"/>
      <c r="AV83" s="88"/>
      <c r="AW83" s="99"/>
      <c r="AX83" s="69"/>
      <c r="AZ83" s="15"/>
      <c r="BA83" s="69"/>
      <c r="BB83" s="69"/>
      <c r="BD83" s="69"/>
      <c r="BE83" s="69"/>
      <c r="BL83" s="93"/>
      <c r="BR83" s="88"/>
    </row>
    <row r="84" spans="1:70" x14ac:dyDescent="0.4">
      <c r="A84" s="85" t="s">
        <v>262</v>
      </c>
      <c r="B84" s="92" t="s">
        <v>134</v>
      </c>
      <c r="C84" s="130" t="s">
        <v>480</v>
      </c>
      <c r="D84" s="131"/>
      <c r="E84" s="131"/>
      <c r="F84" s="131"/>
      <c r="G84" s="131"/>
      <c r="H84" s="131"/>
      <c r="I84" s="111" t="s">
        <v>480</v>
      </c>
      <c r="J84" s="82" t="s">
        <v>81</v>
      </c>
      <c r="K84" s="84">
        <v>10.91</v>
      </c>
      <c r="L84" s="86">
        <v>98500000</v>
      </c>
      <c r="M84" s="80">
        <v>0.4</v>
      </c>
      <c r="N84" s="81">
        <v>50</v>
      </c>
      <c r="O84" s="84">
        <v>7.19</v>
      </c>
      <c r="P84" s="94">
        <v>6.316494767</v>
      </c>
      <c r="Q84" s="81">
        <f t="shared" si="3"/>
        <v>1.138289552231335</v>
      </c>
      <c r="R84" s="81">
        <f t="shared" si="4"/>
        <v>14015190111.84831</v>
      </c>
      <c r="S84" s="84"/>
      <c r="T84" s="81" t="e">
        <f t="shared" si="5"/>
        <v>#DIV/0!</v>
      </c>
      <c r="U84" s="81"/>
      <c r="V84" s="84"/>
      <c r="W84" s="84"/>
      <c r="Y84" s="75"/>
      <c r="Z84" s="2"/>
      <c r="AA84" s="75"/>
      <c r="AB84" s="98"/>
      <c r="AD84" s="88"/>
      <c r="AE84" s="99"/>
      <c r="AF84" s="69"/>
      <c r="AH84" s="15"/>
      <c r="AI84" s="69"/>
      <c r="AJ84" s="69"/>
      <c r="AL84" s="69"/>
      <c r="AM84" s="69"/>
      <c r="AQ84" s="75"/>
      <c r="AR84" s="2"/>
      <c r="AS84" s="75"/>
      <c r="AT84" s="98"/>
      <c r="AV84" s="88"/>
      <c r="AW84" s="99"/>
      <c r="AX84" s="69"/>
      <c r="AZ84" s="15"/>
      <c r="BA84" s="69"/>
      <c r="BB84" s="69"/>
      <c r="BD84" s="69"/>
      <c r="BE84" s="69"/>
      <c r="BR84" s="88"/>
    </row>
    <row r="85" spans="1:70" x14ac:dyDescent="0.4">
      <c r="A85" s="85" t="s">
        <v>263</v>
      </c>
      <c r="B85" s="92" t="s">
        <v>134</v>
      </c>
      <c r="C85" s="130" t="s">
        <v>480</v>
      </c>
      <c r="D85" s="131"/>
      <c r="E85" s="131"/>
      <c r="F85" s="131"/>
      <c r="G85" s="131"/>
      <c r="H85" s="131"/>
      <c r="I85" s="111" t="s">
        <v>480</v>
      </c>
      <c r="J85" s="82" t="s">
        <v>81</v>
      </c>
      <c r="K85" s="84">
        <v>10.79</v>
      </c>
      <c r="L85" s="86">
        <v>106000000</v>
      </c>
      <c r="M85" s="80">
        <v>0.4</v>
      </c>
      <c r="N85" s="81">
        <v>50</v>
      </c>
      <c r="O85" s="84">
        <v>7.19</v>
      </c>
      <c r="P85" s="94">
        <v>6.316494767</v>
      </c>
      <c r="Q85" s="81">
        <f t="shared" si="3"/>
        <v>1.138289552231335</v>
      </c>
      <c r="R85" s="81">
        <f t="shared" si="4"/>
        <v>15082336567.065187</v>
      </c>
      <c r="S85" s="84"/>
      <c r="T85" s="81" t="e">
        <f t="shared" si="5"/>
        <v>#DIV/0!</v>
      </c>
      <c r="U85" s="81" t="e">
        <f>AVERAGE(T83:T85)</f>
        <v>#DIV/0!</v>
      </c>
      <c r="V85" s="81" t="e">
        <f>_xlfn.STDEV.S(T83:T85)</f>
        <v>#DIV/0!</v>
      </c>
      <c r="W85" s="81">
        <f>MAX(K83:K85)-MIN(K83:K85)</f>
        <v>0.16000000000000014</v>
      </c>
      <c r="Y85" s="75"/>
      <c r="Z85" s="2"/>
      <c r="AA85" s="75"/>
      <c r="AB85" s="98"/>
      <c r="AD85" s="88"/>
      <c r="AE85" s="99"/>
      <c r="AF85" s="69"/>
      <c r="AH85" s="15"/>
      <c r="AI85" s="69"/>
      <c r="AJ85" s="69"/>
      <c r="AL85" s="69"/>
      <c r="AM85" s="69"/>
      <c r="AN85" s="69"/>
      <c r="AO85" s="69"/>
      <c r="AQ85" s="75"/>
      <c r="AR85" s="2"/>
      <c r="AS85" s="75"/>
      <c r="AT85" s="98"/>
      <c r="AV85" s="88"/>
      <c r="AW85" s="99"/>
      <c r="AX85" s="69"/>
      <c r="AZ85" s="15"/>
      <c r="BA85" s="69"/>
      <c r="BB85" s="69"/>
      <c r="BD85" s="69"/>
      <c r="BE85" s="69"/>
      <c r="BF85" s="69"/>
      <c r="BG85" s="69"/>
      <c r="BR85" s="88"/>
    </row>
    <row r="86" spans="1:70" x14ac:dyDescent="0.4">
      <c r="A86" s="85" t="s">
        <v>264</v>
      </c>
      <c r="B86" s="92" t="s">
        <v>134</v>
      </c>
      <c r="C86" s="130" t="s">
        <v>480</v>
      </c>
      <c r="D86" s="131"/>
      <c r="E86" s="131"/>
      <c r="F86" s="131"/>
      <c r="G86" s="131"/>
      <c r="H86" s="131"/>
      <c r="I86" s="111" t="s">
        <v>480</v>
      </c>
      <c r="J86" s="82" t="s">
        <v>81</v>
      </c>
      <c r="K86" s="84">
        <v>11.49</v>
      </c>
      <c r="L86" s="86">
        <v>66900000</v>
      </c>
      <c r="M86" s="80">
        <v>0.4</v>
      </c>
      <c r="N86" s="81">
        <v>50</v>
      </c>
      <c r="O86" s="84">
        <v>4.93</v>
      </c>
      <c r="P86" s="94">
        <v>4.1325659730000002</v>
      </c>
      <c r="Q86" s="81">
        <f t="shared" si="3"/>
        <v>1.1929634111614942</v>
      </c>
      <c r="R86" s="81">
        <f t="shared" si="4"/>
        <v>9976156525.8379936</v>
      </c>
      <c r="S86" s="84"/>
      <c r="T86" s="81" t="e">
        <f t="shared" si="5"/>
        <v>#DIV/0!</v>
      </c>
      <c r="U86" s="81"/>
      <c r="V86" s="84"/>
      <c r="W86" s="84"/>
      <c r="Y86" s="75"/>
      <c r="Z86" s="2"/>
      <c r="AA86" s="75"/>
      <c r="AB86" s="98"/>
      <c r="AD86" s="88"/>
      <c r="AE86" s="99"/>
      <c r="AF86" s="69"/>
      <c r="AH86" s="15"/>
      <c r="AI86" s="69"/>
      <c r="AJ86" s="69"/>
      <c r="AL86" s="69"/>
      <c r="AM86" s="69"/>
      <c r="AQ86" s="75"/>
      <c r="AR86" s="2"/>
      <c r="AS86" s="75"/>
      <c r="AT86" s="98"/>
      <c r="AV86" s="88"/>
      <c r="AW86" s="99"/>
      <c r="AX86" s="69"/>
      <c r="AZ86" s="15"/>
      <c r="BA86" s="69"/>
      <c r="BB86" s="69"/>
      <c r="BD86" s="69"/>
      <c r="BE86" s="69"/>
      <c r="BR86" s="88"/>
    </row>
    <row r="87" spans="1:70" x14ac:dyDescent="0.4">
      <c r="A87" s="85" t="s">
        <v>265</v>
      </c>
      <c r="B87" s="92" t="s">
        <v>134</v>
      </c>
      <c r="C87" s="130" t="s">
        <v>480</v>
      </c>
      <c r="D87" s="131"/>
      <c r="E87" s="131"/>
      <c r="F87" s="131"/>
      <c r="G87" s="131"/>
      <c r="H87" s="131"/>
      <c r="I87" s="111" t="s">
        <v>480</v>
      </c>
      <c r="J87" s="82" t="s">
        <v>81</v>
      </c>
      <c r="K87" s="84">
        <v>11.59</v>
      </c>
      <c r="L87" s="86">
        <v>62600000</v>
      </c>
      <c r="M87" s="80">
        <v>0.4</v>
      </c>
      <c r="N87" s="81">
        <v>50</v>
      </c>
      <c r="O87" s="84">
        <v>4.93</v>
      </c>
      <c r="P87" s="94">
        <v>4.1325659730000002</v>
      </c>
      <c r="Q87" s="81">
        <f t="shared" si="3"/>
        <v>1.1929634111614942</v>
      </c>
      <c r="R87" s="81">
        <f t="shared" si="4"/>
        <v>9334938692.3386917</v>
      </c>
      <c r="S87" s="84"/>
      <c r="T87" s="81" t="e">
        <f t="shared" si="5"/>
        <v>#DIV/0!</v>
      </c>
      <c r="U87" s="81"/>
      <c r="V87" s="84"/>
      <c r="W87" s="84"/>
      <c r="Y87" s="75"/>
      <c r="Z87" s="2"/>
      <c r="AA87" s="75"/>
      <c r="AB87" s="98"/>
      <c r="AD87" s="88"/>
      <c r="AE87" s="99"/>
      <c r="AF87" s="69"/>
      <c r="AH87" s="15"/>
      <c r="AI87" s="69"/>
      <c r="AJ87" s="69"/>
      <c r="AL87" s="69"/>
      <c r="AM87" s="69"/>
      <c r="AQ87" s="75"/>
      <c r="AR87" s="2"/>
      <c r="AS87" s="75"/>
      <c r="AT87" s="98"/>
      <c r="AV87" s="88"/>
      <c r="AW87" s="99"/>
      <c r="AX87" s="69"/>
      <c r="AZ87" s="15"/>
      <c r="BA87" s="69"/>
      <c r="BB87" s="69"/>
      <c r="BD87" s="69"/>
      <c r="BE87" s="69"/>
      <c r="BR87" s="88"/>
    </row>
    <row r="88" spans="1:70" x14ac:dyDescent="0.4">
      <c r="A88" s="85" t="s">
        <v>266</v>
      </c>
      <c r="B88" s="92" t="s">
        <v>134</v>
      </c>
      <c r="C88" s="130" t="s">
        <v>480</v>
      </c>
      <c r="D88" s="131"/>
      <c r="E88" s="131"/>
      <c r="F88" s="131"/>
      <c r="G88" s="131"/>
      <c r="H88" s="131"/>
      <c r="I88" s="111" t="s">
        <v>480</v>
      </c>
      <c r="J88" s="82" t="s">
        <v>81</v>
      </c>
      <c r="K88" s="84">
        <v>11.58</v>
      </c>
      <c r="L88" s="86">
        <v>62900000</v>
      </c>
      <c r="M88" s="80">
        <v>0.4</v>
      </c>
      <c r="N88" s="81">
        <v>50</v>
      </c>
      <c r="O88" s="84">
        <v>4.93</v>
      </c>
      <c r="P88" s="94">
        <v>4.1325659730000002</v>
      </c>
      <c r="Q88" s="81">
        <f t="shared" si="3"/>
        <v>1.1929634111614942</v>
      </c>
      <c r="R88" s="81">
        <f t="shared" si="4"/>
        <v>9379674820.2572479</v>
      </c>
      <c r="S88" s="84"/>
      <c r="T88" s="81" t="e">
        <f t="shared" si="5"/>
        <v>#DIV/0!</v>
      </c>
      <c r="U88" s="81" t="e">
        <f>AVERAGE(T86:T88)</f>
        <v>#DIV/0!</v>
      </c>
      <c r="V88" s="81" t="e">
        <f>_xlfn.STDEV.S(T86:T88)</f>
        <v>#DIV/0!</v>
      </c>
      <c r="W88" s="81">
        <f>MAX(K86:K88)-MIN(K86:K88)</f>
        <v>9.9999999999999645E-2</v>
      </c>
      <c r="Y88" s="75"/>
      <c r="Z88" s="2"/>
      <c r="AA88" s="75"/>
      <c r="AB88" s="98"/>
      <c r="AD88" s="88"/>
      <c r="AE88" s="99"/>
      <c r="AF88" s="69"/>
      <c r="AH88" s="15"/>
      <c r="AI88" s="69"/>
      <c r="AJ88" s="69"/>
      <c r="AL88" s="69"/>
      <c r="AM88" s="69"/>
      <c r="AN88" s="69"/>
      <c r="AO88" s="69"/>
      <c r="AQ88" s="75"/>
      <c r="AR88" s="2"/>
      <c r="AS88" s="75"/>
      <c r="AT88" s="98"/>
      <c r="AV88" s="88"/>
      <c r="AW88" s="99"/>
      <c r="AX88" s="69"/>
      <c r="AZ88" s="15"/>
      <c r="BA88" s="69"/>
      <c r="BB88" s="69"/>
      <c r="BD88" s="69"/>
      <c r="BE88" s="69"/>
      <c r="BF88" s="69"/>
      <c r="BG88" s="69"/>
      <c r="BL88" s="93"/>
      <c r="BR88" s="88"/>
    </row>
    <row r="89" spans="1:70" x14ac:dyDescent="0.4">
      <c r="A89" s="85" t="s">
        <v>267</v>
      </c>
      <c r="B89" s="92" t="s">
        <v>135</v>
      </c>
      <c r="C89" s="130" t="s">
        <v>480</v>
      </c>
      <c r="D89" s="131"/>
      <c r="E89" s="131"/>
      <c r="F89" s="131"/>
      <c r="G89" s="131"/>
      <c r="H89" s="131"/>
      <c r="I89" s="111" t="s">
        <v>480</v>
      </c>
      <c r="J89" s="82" t="s">
        <v>132</v>
      </c>
      <c r="K89" s="84">
        <v>10.06</v>
      </c>
      <c r="L89" s="86">
        <v>173000000</v>
      </c>
      <c r="M89" s="80">
        <v>0.4</v>
      </c>
      <c r="N89" s="81">
        <v>50</v>
      </c>
      <c r="O89" s="84">
        <v>14.65</v>
      </c>
      <c r="P89" s="94">
        <v>6.709913952</v>
      </c>
      <c r="Q89" s="81">
        <f t="shared" si="3"/>
        <v>2.1833364935526971</v>
      </c>
      <c r="R89" s="81">
        <f t="shared" si="4"/>
        <v>47214651673.077072</v>
      </c>
      <c r="S89" s="84"/>
      <c r="T89" s="81" t="e">
        <f t="shared" si="5"/>
        <v>#DIV/0!</v>
      </c>
      <c r="U89" s="81"/>
      <c r="V89" s="84"/>
      <c r="W89" s="84"/>
      <c r="Y89" s="75"/>
      <c r="Z89" s="2"/>
      <c r="AA89" s="75"/>
      <c r="AB89" s="98"/>
      <c r="AD89" s="88"/>
      <c r="AE89" s="99"/>
      <c r="AF89" s="69"/>
      <c r="AH89" s="15"/>
      <c r="AI89" s="69"/>
      <c r="AJ89" s="69"/>
      <c r="AL89" s="69"/>
      <c r="AM89" s="69"/>
      <c r="AQ89" s="75"/>
      <c r="AR89" s="2"/>
      <c r="AS89" s="75"/>
      <c r="AT89" s="98"/>
      <c r="AV89" s="88"/>
      <c r="AW89" s="99"/>
      <c r="AX89" s="69"/>
      <c r="AY89" s="15"/>
      <c r="AZ89" s="15"/>
      <c r="BA89" s="69"/>
      <c r="BB89" s="69"/>
      <c r="BD89" s="69"/>
      <c r="BE89" s="69"/>
      <c r="BR89" s="88"/>
    </row>
    <row r="90" spans="1:70" x14ac:dyDescent="0.4">
      <c r="A90" s="85" t="s">
        <v>268</v>
      </c>
      <c r="B90" s="92" t="s">
        <v>135</v>
      </c>
      <c r="C90" s="130" t="s">
        <v>480</v>
      </c>
      <c r="D90" s="131"/>
      <c r="E90" s="131"/>
      <c r="F90" s="131"/>
      <c r="G90" s="131"/>
      <c r="H90" s="131"/>
      <c r="I90" s="111" t="s">
        <v>480</v>
      </c>
      <c r="J90" s="82" t="s">
        <v>132</v>
      </c>
      <c r="K90" s="84"/>
      <c r="L90" s="84"/>
      <c r="M90" s="80">
        <v>0.4</v>
      </c>
      <c r="N90" s="81">
        <v>50</v>
      </c>
      <c r="O90" s="84">
        <v>14.65</v>
      </c>
      <c r="P90" s="94">
        <v>6.709913952</v>
      </c>
      <c r="Q90" s="81">
        <f t="shared" si="3"/>
        <v>2.1833364935526971</v>
      </c>
      <c r="R90" s="81">
        <f t="shared" si="4"/>
        <v>0</v>
      </c>
      <c r="S90" s="84"/>
      <c r="T90" s="81" t="e">
        <f t="shared" si="5"/>
        <v>#DIV/0!</v>
      </c>
      <c r="U90" s="81"/>
      <c r="V90" s="84"/>
      <c r="W90" s="84"/>
      <c r="Y90" s="75"/>
      <c r="Z90" s="2"/>
      <c r="AA90" s="75"/>
      <c r="AB90" s="98"/>
      <c r="AD90" s="88"/>
      <c r="AE90" s="99"/>
      <c r="AF90" s="69"/>
      <c r="AH90" s="15"/>
      <c r="AI90" s="69"/>
      <c r="AJ90" s="69"/>
      <c r="AL90" s="69"/>
      <c r="AM90" s="69"/>
      <c r="AQ90" s="75"/>
      <c r="AR90" s="2"/>
      <c r="AS90" s="75"/>
      <c r="AT90" s="98"/>
      <c r="AV90" s="88"/>
      <c r="AW90" s="99"/>
      <c r="AX90" s="69"/>
      <c r="AY90" s="15"/>
      <c r="AZ90" s="15"/>
      <c r="BA90" s="69"/>
      <c r="BB90" s="69"/>
      <c r="BD90" s="69"/>
      <c r="BE90" s="69"/>
      <c r="BL90" s="93"/>
      <c r="BR90" s="88"/>
    </row>
    <row r="91" spans="1:70" x14ac:dyDescent="0.4">
      <c r="A91" s="85" t="s">
        <v>269</v>
      </c>
      <c r="B91" s="92" t="s">
        <v>135</v>
      </c>
      <c r="C91" s="130" t="s">
        <v>480</v>
      </c>
      <c r="D91" s="131"/>
      <c r="E91" s="131"/>
      <c r="F91" s="131"/>
      <c r="G91" s="131"/>
      <c r="H91" s="131"/>
      <c r="I91" s="111" t="s">
        <v>480</v>
      </c>
      <c r="J91" s="82" t="s">
        <v>132</v>
      </c>
      <c r="K91" s="84">
        <v>10.69</v>
      </c>
      <c r="L91" s="86">
        <v>114000000</v>
      </c>
      <c r="M91" s="80">
        <v>0.4</v>
      </c>
      <c r="N91" s="81">
        <v>50</v>
      </c>
      <c r="O91" s="84">
        <v>14.65</v>
      </c>
      <c r="P91" s="94">
        <v>6.709913952</v>
      </c>
      <c r="Q91" s="81">
        <f t="shared" si="3"/>
        <v>2.1833364935526971</v>
      </c>
      <c r="R91" s="81">
        <f t="shared" si="4"/>
        <v>31112545033.125935</v>
      </c>
      <c r="S91" s="84"/>
      <c r="T91" s="81" t="e">
        <f t="shared" si="5"/>
        <v>#DIV/0!</v>
      </c>
      <c r="U91" s="81" t="e">
        <f>AVERAGE(T89:T91)</f>
        <v>#DIV/0!</v>
      </c>
      <c r="V91" s="81" t="e">
        <f>_xlfn.STDEV.S(T89:T91)</f>
        <v>#DIV/0!</v>
      </c>
      <c r="W91" s="81">
        <f>MAX(K89:K91)-MIN(K89:K91)</f>
        <v>0.62999999999999901</v>
      </c>
      <c r="Y91" s="75"/>
      <c r="Z91" s="2"/>
      <c r="AA91" s="75"/>
      <c r="AB91" s="98"/>
      <c r="AD91" s="88"/>
      <c r="AE91" s="99"/>
      <c r="AF91" s="69"/>
      <c r="AH91" s="15"/>
      <c r="AI91" s="69"/>
      <c r="AJ91" s="69"/>
      <c r="AL91" s="69"/>
      <c r="AM91" s="69"/>
      <c r="AN91" s="69"/>
      <c r="AO91" s="69"/>
      <c r="AQ91" s="75"/>
      <c r="AR91" s="2"/>
      <c r="AS91" s="75"/>
      <c r="AT91" s="98"/>
      <c r="AV91" s="88"/>
      <c r="AW91" s="99"/>
      <c r="AX91" s="69"/>
      <c r="AY91" s="15"/>
      <c r="AZ91" s="15"/>
      <c r="BA91" s="69"/>
      <c r="BB91" s="69"/>
      <c r="BD91" s="69"/>
      <c r="BE91" s="69"/>
      <c r="BF91" s="69"/>
      <c r="BG91" s="69"/>
      <c r="BR91" s="88"/>
    </row>
    <row r="92" spans="1:70" x14ac:dyDescent="0.4">
      <c r="A92" s="85" t="s">
        <v>270</v>
      </c>
      <c r="B92" s="92" t="s">
        <v>135</v>
      </c>
      <c r="C92" s="130" t="s">
        <v>480</v>
      </c>
      <c r="D92" s="131"/>
      <c r="E92" s="131"/>
      <c r="F92" s="131"/>
      <c r="G92" s="131"/>
      <c r="H92" s="131"/>
      <c r="I92" s="111" t="s">
        <v>480</v>
      </c>
      <c r="J92" s="82" t="s">
        <v>132</v>
      </c>
      <c r="K92" s="84">
        <v>7.84</v>
      </c>
      <c r="L92" s="86">
        <v>756000000</v>
      </c>
      <c r="M92" s="80">
        <v>0.4</v>
      </c>
      <c r="N92" s="81">
        <v>50</v>
      </c>
      <c r="O92" s="84">
        <v>14.83</v>
      </c>
      <c r="P92" s="94">
        <v>7.321550631</v>
      </c>
      <c r="Q92" s="81">
        <f t="shared" si="3"/>
        <v>2.0255272069291794</v>
      </c>
      <c r="R92" s="81">
        <f t="shared" si="4"/>
        <v>191412321054.80746</v>
      </c>
      <c r="S92" s="84"/>
      <c r="T92" s="81" t="e">
        <f t="shared" si="5"/>
        <v>#DIV/0!</v>
      </c>
      <c r="U92" s="81"/>
      <c r="V92" s="84"/>
      <c r="W92" s="84"/>
      <c r="Y92" s="75"/>
      <c r="Z92" s="2"/>
      <c r="AA92" s="75"/>
      <c r="AB92" s="98"/>
      <c r="AD92" s="88"/>
      <c r="AE92" s="99"/>
      <c r="AF92" s="69"/>
      <c r="AH92" s="15"/>
      <c r="AI92" s="69"/>
      <c r="AJ92" s="69"/>
      <c r="AL92" s="69"/>
      <c r="AM92" s="69"/>
      <c r="AQ92" s="75"/>
      <c r="AR92" s="2"/>
      <c r="AS92" s="75"/>
      <c r="AT92" s="98"/>
      <c r="AV92" s="88"/>
      <c r="AW92" s="99"/>
      <c r="AX92" s="69"/>
      <c r="AZ92" s="15"/>
      <c r="BA92" s="69"/>
      <c r="BB92" s="69"/>
      <c r="BD92" s="69"/>
      <c r="BE92" s="69"/>
      <c r="BR92" s="88"/>
    </row>
    <row r="93" spans="1:70" x14ac:dyDescent="0.4">
      <c r="A93" s="85" t="s">
        <v>271</v>
      </c>
      <c r="B93" s="92" t="s">
        <v>135</v>
      </c>
      <c r="C93" s="130" t="s">
        <v>480</v>
      </c>
      <c r="D93" s="131"/>
      <c r="E93" s="131"/>
      <c r="F93" s="131"/>
      <c r="G93" s="131"/>
      <c r="H93" s="131"/>
      <c r="I93" s="111" t="s">
        <v>480</v>
      </c>
      <c r="J93" s="82" t="s">
        <v>132</v>
      </c>
      <c r="K93" s="84">
        <v>9.8800000000000008</v>
      </c>
      <c r="L93" s="86">
        <v>195000000</v>
      </c>
      <c r="M93" s="80">
        <v>0.4</v>
      </c>
      <c r="N93" s="81">
        <v>50</v>
      </c>
      <c r="O93" s="84">
        <v>14.83</v>
      </c>
      <c r="P93" s="94">
        <v>7.321550631</v>
      </c>
      <c r="Q93" s="81">
        <f t="shared" si="3"/>
        <v>2.0255272069291794</v>
      </c>
      <c r="R93" s="81">
        <f t="shared" si="4"/>
        <v>49372225668.898743</v>
      </c>
      <c r="S93" s="84"/>
      <c r="T93" s="81" t="e">
        <f t="shared" si="5"/>
        <v>#DIV/0!</v>
      </c>
      <c r="U93" s="81"/>
      <c r="V93" s="84"/>
      <c r="W93" s="84"/>
      <c r="Y93" s="75"/>
      <c r="Z93" s="2"/>
      <c r="AA93" s="75"/>
      <c r="AB93" s="98"/>
      <c r="AD93" s="88"/>
      <c r="AE93" s="99"/>
      <c r="AF93" s="69"/>
      <c r="AH93" s="15"/>
      <c r="AI93" s="69"/>
      <c r="AJ93" s="69"/>
      <c r="AL93" s="69"/>
      <c r="AM93" s="69"/>
      <c r="AQ93" s="75"/>
      <c r="AR93" s="2"/>
      <c r="AS93" s="75"/>
      <c r="AT93" s="98"/>
      <c r="AV93" s="88"/>
      <c r="AW93" s="99"/>
      <c r="AX93" s="69"/>
      <c r="AZ93" s="15"/>
      <c r="BA93" s="69"/>
      <c r="BB93" s="69"/>
      <c r="BD93" s="69"/>
      <c r="BE93" s="69"/>
      <c r="BR93" s="88"/>
    </row>
    <row r="94" spans="1:70" x14ac:dyDescent="0.4">
      <c r="A94" s="85" t="s">
        <v>272</v>
      </c>
      <c r="B94" s="92" t="s">
        <v>135</v>
      </c>
      <c r="C94" s="130" t="s">
        <v>480</v>
      </c>
      <c r="D94" s="131"/>
      <c r="E94" s="131"/>
      <c r="F94" s="131"/>
      <c r="G94" s="131"/>
      <c r="H94" s="131"/>
      <c r="I94" s="111" t="s">
        <v>480</v>
      </c>
      <c r="J94" s="82" t="s">
        <v>132</v>
      </c>
      <c r="K94" s="84">
        <v>10.07</v>
      </c>
      <c r="L94" s="86">
        <v>172000000</v>
      </c>
      <c r="M94" s="80">
        <v>0.4</v>
      </c>
      <c r="N94" s="81">
        <v>50</v>
      </c>
      <c r="O94" s="84">
        <v>14.83</v>
      </c>
      <c r="P94" s="94">
        <v>7.321550631</v>
      </c>
      <c r="Q94" s="81">
        <f t="shared" si="3"/>
        <v>2.0255272069291794</v>
      </c>
      <c r="R94" s="81">
        <f t="shared" si="4"/>
        <v>43548834948.977356</v>
      </c>
      <c r="S94" s="84"/>
      <c r="T94" s="81" t="e">
        <f t="shared" si="5"/>
        <v>#DIV/0!</v>
      </c>
      <c r="U94" s="81" t="e">
        <f>AVERAGE(T92:T94)</f>
        <v>#DIV/0!</v>
      </c>
      <c r="V94" s="81" t="e">
        <f>_xlfn.STDEV.S(T92:T94)</f>
        <v>#DIV/0!</v>
      </c>
      <c r="W94" s="81">
        <f>MAX(K92:K94)-MIN(K92:K94)</f>
        <v>2.2300000000000004</v>
      </c>
      <c r="Y94" s="75"/>
      <c r="Z94" s="2"/>
      <c r="AA94" s="75"/>
      <c r="AB94" s="98"/>
      <c r="AD94" s="88"/>
      <c r="AE94" s="99"/>
      <c r="AF94" s="69"/>
      <c r="AH94" s="15"/>
      <c r="AI94" s="69"/>
      <c r="AJ94" s="69"/>
      <c r="AL94" s="69"/>
      <c r="AM94" s="69"/>
      <c r="AN94" s="69"/>
      <c r="AO94" s="69"/>
      <c r="AQ94" s="75"/>
      <c r="AR94" s="2"/>
      <c r="AS94" s="75"/>
      <c r="AT94" s="98"/>
      <c r="AV94" s="88"/>
      <c r="AW94" s="99"/>
      <c r="AX94" s="69"/>
      <c r="AZ94" s="15"/>
      <c r="BA94" s="69"/>
      <c r="BB94" s="69"/>
      <c r="BD94" s="69"/>
      <c r="BE94" s="69"/>
      <c r="BF94" s="69"/>
      <c r="BG94" s="69"/>
      <c r="BR94" s="88"/>
    </row>
    <row r="95" spans="1:70" x14ac:dyDescent="0.4">
      <c r="A95" s="85" t="s">
        <v>273</v>
      </c>
      <c r="B95" s="92" t="s">
        <v>145</v>
      </c>
      <c r="C95" s="130" t="s">
        <v>185</v>
      </c>
      <c r="D95" s="131"/>
      <c r="E95" s="131"/>
      <c r="F95" s="131"/>
      <c r="G95" s="131"/>
      <c r="H95" s="131"/>
      <c r="I95" s="111"/>
      <c r="J95" s="82"/>
      <c r="K95" s="84">
        <v>24.95</v>
      </c>
      <c r="L95" s="86">
        <v>8600</v>
      </c>
      <c r="M95" s="80"/>
      <c r="N95" s="81"/>
      <c r="O95" s="84"/>
      <c r="P95" s="94"/>
      <c r="Q95" s="81" t="e">
        <f t="shared" si="3"/>
        <v>#DIV/0!</v>
      </c>
      <c r="R95" s="81" t="e">
        <f t="shared" si="4"/>
        <v>#DIV/0!</v>
      </c>
      <c r="S95" s="84"/>
      <c r="T95" s="81" t="e">
        <f t="shared" si="5"/>
        <v>#DIV/0!</v>
      </c>
      <c r="U95" s="81"/>
      <c r="V95" s="84"/>
      <c r="W95" s="84"/>
      <c r="Y95" s="75"/>
      <c r="Z95" s="2"/>
      <c r="AA95" s="75"/>
      <c r="AB95" s="98"/>
      <c r="AD95" s="88"/>
      <c r="AE95" s="99"/>
      <c r="AF95" s="69"/>
      <c r="AI95" s="69"/>
      <c r="AJ95" s="69"/>
      <c r="AL95" s="69"/>
      <c r="AM95" s="69"/>
      <c r="AQ95" s="75"/>
      <c r="AR95" s="2"/>
      <c r="AS95" s="75"/>
      <c r="AT95" s="98"/>
      <c r="AV95" s="88"/>
      <c r="AW95" s="99"/>
      <c r="AZ95" s="15"/>
      <c r="BA95" s="69"/>
      <c r="BB95" s="69"/>
      <c r="BD95" s="69"/>
      <c r="BE95" s="69"/>
      <c r="BR95" s="88"/>
    </row>
    <row r="96" spans="1:70" x14ac:dyDescent="0.4">
      <c r="A96" s="85" t="s">
        <v>274</v>
      </c>
      <c r="B96" s="92" t="s">
        <v>145</v>
      </c>
      <c r="C96" s="130" t="s">
        <v>185</v>
      </c>
      <c r="D96" s="131"/>
      <c r="E96" s="131"/>
      <c r="F96" s="131"/>
      <c r="G96" s="131"/>
      <c r="H96" s="131"/>
      <c r="I96" s="111"/>
      <c r="J96" s="82"/>
      <c r="K96" s="84">
        <v>29.52</v>
      </c>
      <c r="L96" s="86">
        <v>96.7</v>
      </c>
      <c r="M96" s="80"/>
      <c r="N96" s="81"/>
      <c r="O96" s="84"/>
      <c r="P96" s="84"/>
      <c r="Q96" s="81" t="e">
        <f t="shared" si="3"/>
        <v>#DIV/0!</v>
      </c>
      <c r="R96" s="81" t="e">
        <f t="shared" si="4"/>
        <v>#DIV/0!</v>
      </c>
      <c r="S96" s="84"/>
      <c r="T96" s="81" t="e">
        <f t="shared" si="5"/>
        <v>#DIV/0!</v>
      </c>
      <c r="U96" s="81"/>
      <c r="V96" s="84"/>
      <c r="W96" s="84"/>
      <c r="Y96" s="75"/>
      <c r="Z96" s="2"/>
      <c r="AA96" s="75"/>
      <c r="AB96" s="98"/>
      <c r="AD96" s="88"/>
      <c r="AE96" s="99"/>
      <c r="AF96" s="69"/>
      <c r="AI96" s="69"/>
      <c r="AJ96" s="69"/>
      <c r="AL96" s="69"/>
      <c r="AM96" s="69"/>
      <c r="AQ96" s="75"/>
      <c r="AR96" s="2"/>
      <c r="AS96" s="75"/>
      <c r="AT96" s="98"/>
      <c r="AV96" s="88"/>
      <c r="AW96" s="99"/>
      <c r="AZ96" s="15"/>
      <c r="BA96" s="69"/>
      <c r="BB96" s="69"/>
      <c r="BD96" s="69"/>
      <c r="BE96" s="69"/>
      <c r="BR96" s="88"/>
    </row>
    <row r="97" spans="1:70" x14ac:dyDescent="0.4">
      <c r="A97" s="85" t="s">
        <v>275</v>
      </c>
      <c r="B97" s="92" t="s">
        <v>145</v>
      </c>
      <c r="C97" s="130" t="s">
        <v>185</v>
      </c>
      <c r="D97" s="131"/>
      <c r="E97" s="131"/>
      <c r="F97" s="131"/>
      <c r="G97" s="131"/>
      <c r="H97" s="131"/>
      <c r="I97" s="111"/>
      <c r="J97" s="82"/>
      <c r="K97" s="84">
        <v>29.06</v>
      </c>
      <c r="L97" s="86">
        <v>168</v>
      </c>
      <c r="M97" s="80"/>
      <c r="N97" s="81"/>
      <c r="O97" s="84"/>
      <c r="Q97" s="81" t="e">
        <f t="shared" si="3"/>
        <v>#DIV/0!</v>
      </c>
      <c r="R97" s="81" t="e">
        <f t="shared" si="4"/>
        <v>#DIV/0!</v>
      </c>
      <c r="S97" s="84"/>
      <c r="T97" s="81" t="e">
        <f t="shared" si="5"/>
        <v>#DIV/0!</v>
      </c>
      <c r="U97" s="81" t="e">
        <f>AVERAGE(T95:T97)</f>
        <v>#DIV/0!</v>
      </c>
      <c r="V97" s="81" t="e">
        <f>_xlfn.STDEV.S(T95:T97)</f>
        <v>#DIV/0!</v>
      </c>
      <c r="W97" s="81">
        <f>MAX(K95:K97)-MIN(K95:K97)</f>
        <v>4.57</v>
      </c>
      <c r="Y97" s="75"/>
      <c r="Z97" s="2"/>
      <c r="AA97" s="75"/>
      <c r="AB97" s="98"/>
      <c r="AD97" s="88"/>
      <c r="AE97" s="99"/>
      <c r="AF97" s="69"/>
      <c r="AI97" s="69"/>
      <c r="AJ97" s="69"/>
      <c r="AL97" s="69"/>
      <c r="AM97" s="69"/>
      <c r="AN97" s="69"/>
      <c r="AO97" s="69"/>
      <c r="AQ97" s="75"/>
      <c r="AR97" s="2"/>
      <c r="AS97" s="75"/>
      <c r="AT97" s="98"/>
      <c r="AV97" s="88"/>
      <c r="AW97" s="99"/>
      <c r="AZ97" s="15"/>
      <c r="BA97" s="69"/>
      <c r="BB97" s="69"/>
      <c r="BD97" s="69"/>
      <c r="BE97" s="69"/>
      <c r="BF97" s="69"/>
      <c r="BG97" s="69"/>
      <c r="BR97" s="88"/>
    </row>
    <row r="98" spans="1:70" x14ac:dyDescent="0.4">
      <c r="A98" s="85" t="s">
        <v>276</v>
      </c>
      <c r="B98" s="92" t="s">
        <v>146</v>
      </c>
      <c r="C98" s="130" t="s">
        <v>177</v>
      </c>
      <c r="D98" s="131"/>
      <c r="E98" s="131"/>
      <c r="F98" s="131"/>
      <c r="G98" s="131"/>
      <c r="H98" s="131"/>
      <c r="I98" s="111"/>
      <c r="J98" s="82"/>
      <c r="K98" s="84">
        <v>14.59</v>
      </c>
      <c r="L98" s="86">
        <v>8560000</v>
      </c>
      <c r="M98" s="80"/>
      <c r="N98" s="81"/>
      <c r="O98" s="84"/>
      <c r="Q98" s="81" t="e">
        <f t="shared" si="3"/>
        <v>#DIV/0!</v>
      </c>
      <c r="R98" s="81" t="e">
        <f t="shared" si="4"/>
        <v>#DIV/0!</v>
      </c>
      <c r="S98" s="84"/>
      <c r="T98" s="81" t="e">
        <f t="shared" si="5"/>
        <v>#DIV/0!</v>
      </c>
      <c r="U98" s="81"/>
      <c r="V98" s="84"/>
      <c r="W98" s="84"/>
      <c r="Y98" s="75"/>
      <c r="Z98" s="2"/>
      <c r="AA98" s="75"/>
      <c r="AB98" s="98"/>
      <c r="AD98" s="88"/>
      <c r="AE98" s="99"/>
      <c r="AF98" s="69"/>
      <c r="AI98" s="69"/>
      <c r="AJ98" s="69"/>
      <c r="AL98" s="69"/>
      <c r="AM98" s="69"/>
      <c r="AQ98" s="75"/>
      <c r="AR98" s="75"/>
      <c r="AS98" s="75"/>
      <c r="AT98" s="98"/>
      <c r="AW98" s="99"/>
      <c r="AZ98" s="15"/>
      <c r="BA98" s="69"/>
      <c r="BB98" s="69"/>
      <c r="BD98" s="69"/>
      <c r="BE98" s="69"/>
      <c r="BR98" s="88"/>
    </row>
    <row r="99" spans="1:70" x14ac:dyDescent="0.4">
      <c r="A99" s="85" t="s">
        <v>277</v>
      </c>
      <c r="B99" s="92" t="s">
        <v>146</v>
      </c>
      <c r="C99" s="130" t="s">
        <v>177</v>
      </c>
      <c r="D99" s="131"/>
      <c r="E99" s="131"/>
      <c r="F99" s="131"/>
      <c r="G99" s="131"/>
      <c r="H99" s="131"/>
      <c r="I99" s="111"/>
      <c r="J99" s="82"/>
      <c r="K99" s="84">
        <v>14.55</v>
      </c>
      <c r="L99" s="86">
        <v>8750000</v>
      </c>
      <c r="M99" s="80"/>
      <c r="N99" s="81"/>
      <c r="O99" s="84"/>
      <c r="Q99" s="81" t="e">
        <f t="shared" si="3"/>
        <v>#DIV/0!</v>
      </c>
      <c r="R99" s="81" t="e">
        <f t="shared" si="4"/>
        <v>#DIV/0!</v>
      </c>
      <c r="S99" s="84"/>
      <c r="T99" s="81" t="e">
        <f t="shared" si="5"/>
        <v>#DIV/0!</v>
      </c>
      <c r="U99" s="81"/>
      <c r="V99" s="84"/>
      <c r="W99" s="84"/>
      <c r="Y99" s="75"/>
      <c r="Z99" s="2"/>
      <c r="AA99" s="75"/>
      <c r="AB99" s="98"/>
      <c r="AD99" s="88"/>
      <c r="AE99" s="99"/>
      <c r="AF99" s="69"/>
      <c r="AI99" s="69"/>
      <c r="AJ99" s="69"/>
      <c r="AL99" s="69"/>
      <c r="AM99" s="69"/>
      <c r="AQ99" s="75"/>
      <c r="AR99" s="75"/>
      <c r="AS99" s="75"/>
      <c r="AT99" s="98"/>
      <c r="AW99" s="99"/>
      <c r="AZ99" s="15"/>
      <c r="BA99" s="69"/>
      <c r="BB99" s="69"/>
      <c r="BD99" s="69"/>
      <c r="BE99" s="69"/>
      <c r="BR99" s="88"/>
    </row>
    <row r="100" spans="1:70" x14ac:dyDescent="0.4">
      <c r="A100" s="85" t="s">
        <v>278</v>
      </c>
      <c r="B100" s="92" t="s">
        <v>146</v>
      </c>
      <c r="C100" s="130" t="s">
        <v>177</v>
      </c>
      <c r="D100" s="131"/>
      <c r="E100" s="131"/>
      <c r="F100" s="131"/>
      <c r="G100" s="131"/>
      <c r="H100" s="131"/>
      <c r="I100" s="111"/>
      <c r="J100" s="82"/>
      <c r="K100" s="84">
        <v>14.6</v>
      </c>
      <c r="L100" s="86">
        <v>8460000</v>
      </c>
      <c r="M100" s="80"/>
      <c r="N100" s="81"/>
      <c r="O100" s="84"/>
      <c r="Q100" s="81" t="e">
        <f t="shared" si="3"/>
        <v>#DIV/0!</v>
      </c>
      <c r="R100" s="81" t="e">
        <f t="shared" si="4"/>
        <v>#DIV/0!</v>
      </c>
      <c r="S100" s="84"/>
      <c r="T100" s="81" t="e">
        <f t="shared" si="5"/>
        <v>#DIV/0!</v>
      </c>
      <c r="U100" s="81" t="e">
        <f>AVERAGE(T98:T100)</f>
        <v>#DIV/0!</v>
      </c>
      <c r="V100" s="81" t="e">
        <f>_xlfn.STDEV.S(T98:T100)</f>
        <v>#DIV/0!</v>
      </c>
      <c r="W100" s="81">
        <f>MAX(K98:K100)-MIN(K98:K100)</f>
        <v>4.9999999999998934E-2</v>
      </c>
      <c r="Y100" s="75"/>
      <c r="Z100" s="2"/>
      <c r="AA100" s="75"/>
      <c r="AB100" s="98"/>
      <c r="AD100" s="88"/>
      <c r="AE100" s="99"/>
      <c r="AF100" s="69"/>
      <c r="AI100" s="69"/>
      <c r="AJ100" s="69"/>
      <c r="AL100" s="69"/>
      <c r="AM100" s="69"/>
      <c r="AN100" s="69"/>
      <c r="AO100" s="69"/>
      <c r="AQ100" s="75"/>
      <c r="AR100" s="75"/>
      <c r="AS100" s="75"/>
      <c r="AT100" s="98"/>
      <c r="AW100" s="99"/>
      <c r="AZ100" s="15"/>
      <c r="BA100" s="69"/>
      <c r="BB100" s="69"/>
      <c r="BD100" s="69"/>
      <c r="BE100" s="69"/>
      <c r="BF100" s="69"/>
      <c r="BG100" s="69"/>
    </row>
    <row r="101" spans="1:70" x14ac:dyDescent="0.4">
      <c r="A101" s="85" t="s">
        <v>279</v>
      </c>
      <c r="B101" s="92" t="s">
        <v>174</v>
      </c>
      <c r="C101" s="132"/>
      <c r="D101" s="133"/>
      <c r="E101" s="133"/>
      <c r="F101" s="133"/>
      <c r="G101" s="133"/>
      <c r="H101" s="133"/>
      <c r="I101" s="111"/>
      <c r="J101" s="82"/>
      <c r="K101" s="84"/>
      <c r="L101" s="84"/>
      <c r="M101" s="80"/>
      <c r="N101" s="84"/>
      <c r="O101" s="84"/>
      <c r="Q101" s="81" t="e">
        <f t="shared" si="3"/>
        <v>#DIV/0!</v>
      </c>
      <c r="R101" s="81" t="e">
        <f t="shared" si="4"/>
        <v>#DIV/0!</v>
      </c>
      <c r="S101" s="84"/>
      <c r="T101" s="81" t="e">
        <f t="shared" si="5"/>
        <v>#DIV/0!</v>
      </c>
      <c r="U101" s="81"/>
      <c r="V101" s="84"/>
      <c r="W101" s="84"/>
      <c r="Y101" s="75"/>
      <c r="Z101" s="2"/>
      <c r="AA101" s="2"/>
      <c r="AB101" s="98"/>
      <c r="AE101" s="99"/>
      <c r="AI101" s="69"/>
      <c r="AJ101" s="69"/>
      <c r="AL101" s="69"/>
      <c r="AM101" s="69"/>
      <c r="AQ101" s="75"/>
      <c r="AR101" s="2"/>
      <c r="AS101" s="2"/>
      <c r="AT101" s="98"/>
      <c r="AV101" s="88"/>
      <c r="AW101" s="99"/>
      <c r="AX101" s="69"/>
      <c r="AY101" s="15"/>
      <c r="AZ101" s="15"/>
      <c r="BA101" s="69"/>
      <c r="BB101" s="69"/>
      <c r="BD101" s="69"/>
      <c r="BE101" s="69"/>
      <c r="BL101" s="93"/>
    </row>
    <row r="102" spans="1:70" x14ac:dyDescent="0.4">
      <c r="A102" s="85" t="s">
        <v>280</v>
      </c>
      <c r="B102" s="92" t="s">
        <v>174</v>
      </c>
      <c r="C102" s="132"/>
      <c r="D102" s="133"/>
      <c r="E102" s="133"/>
      <c r="F102" s="133"/>
      <c r="G102" s="133"/>
      <c r="H102" s="133"/>
      <c r="I102" s="111"/>
      <c r="J102" s="82"/>
      <c r="K102" s="84"/>
      <c r="L102" s="84"/>
      <c r="M102" s="80"/>
      <c r="N102" s="84"/>
      <c r="O102" s="84"/>
      <c r="Q102" s="81" t="e">
        <f t="shared" si="3"/>
        <v>#DIV/0!</v>
      </c>
      <c r="R102" s="81" t="e">
        <f t="shared" si="4"/>
        <v>#DIV/0!</v>
      </c>
      <c r="S102" s="84"/>
      <c r="T102" s="81" t="e">
        <f t="shared" si="5"/>
        <v>#DIV/0!</v>
      </c>
      <c r="U102" s="81"/>
      <c r="V102" s="84"/>
      <c r="W102" s="84"/>
      <c r="Y102" s="75"/>
      <c r="Z102" s="2"/>
      <c r="AA102" s="2"/>
      <c r="AB102" s="98"/>
      <c r="AE102" s="99"/>
      <c r="AI102" s="69"/>
      <c r="AJ102" s="69"/>
      <c r="AL102" s="69"/>
      <c r="AM102" s="69"/>
      <c r="AQ102" s="75"/>
      <c r="AR102" s="2"/>
      <c r="AS102" s="2"/>
      <c r="AT102" s="98"/>
      <c r="AV102" s="88"/>
      <c r="AW102" s="99"/>
      <c r="AX102" s="69"/>
      <c r="AY102" s="15"/>
      <c r="AZ102" s="15"/>
      <c r="BA102" s="69"/>
      <c r="BB102" s="69"/>
      <c r="BD102" s="69"/>
      <c r="BE102" s="69"/>
    </row>
    <row r="103" spans="1:70" x14ac:dyDescent="0.4">
      <c r="A103" s="85" t="s">
        <v>281</v>
      </c>
      <c r="B103" s="92" t="s">
        <v>174</v>
      </c>
      <c r="C103" s="132"/>
      <c r="D103" s="133"/>
      <c r="E103" s="133"/>
      <c r="F103" s="133"/>
      <c r="G103" s="133"/>
      <c r="H103" s="133"/>
      <c r="I103" s="111"/>
      <c r="J103" s="82"/>
      <c r="K103" s="84"/>
      <c r="L103" s="84"/>
      <c r="M103" s="80"/>
      <c r="N103" s="84"/>
      <c r="O103" s="84"/>
      <c r="Q103" s="81" t="e">
        <f t="shared" si="3"/>
        <v>#DIV/0!</v>
      </c>
      <c r="R103" s="81" t="e">
        <f t="shared" si="4"/>
        <v>#DIV/0!</v>
      </c>
      <c r="S103" s="84"/>
      <c r="T103" s="81" t="e">
        <f t="shared" si="5"/>
        <v>#DIV/0!</v>
      </c>
      <c r="U103" s="81" t="e">
        <f>AVERAGE(T101:T103)</f>
        <v>#DIV/0!</v>
      </c>
      <c r="V103" s="81" t="e">
        <f>_xlfn.STDEV.S(T101:T103)</f>
        <v>#DIV/0!</v>
      </c>
      <c r="W103" s="81">
        <f>MAX(K101:K103)-MIN(K101:K103)</f>
        <v>0</v>
      </c>
      <c r="Y103" s="75"/>
      <c r="Z103" s="2"/>
      <c r="AA103" s="2"/>
      <c r="AB103" s="98"/>
      <c r="AE103" s="99"/>
      <c r="AI103" s="69"/>
      <c r="AJ103" s="69"/>
      <c r="AL103" s="69"/>
      <c r="AM103" s="69"/>
      <c r="AN103" s="69"/>
      <c r="AO103" s="69"/>
      <c r="AQ103" s="75"/>
      <c r="AR103" s="2"/>
      <c r="AS103" s="2"/>
      <c r="AT103" s="98"/>
      <c r="AV103" s="88"/>
      <c r="AW103" s="99"/>
      <c r="AX103" s="69"/>
      <c r="AY103" s="15"/>
      <c r="AZ103" s="15"/>
      <c r="BA103" s="69"/>
      <c r="BB103" s="69"/>
      <c r="BD103" s="69"/>
      <c r="BE103" s="69"/>
      <c r="BF103" s="69"/>
      <c r="BG103" s="69"/>
      <c r="BL103" s="93"/>
      <c r="BR103" s="88"/>
    </row>
    <row r="104" spans="1:70" x14ac:dyDescent="0.4">
      <c r="A104" s="85" t="s">
        <v>282</v>
      </c>
      <c r="B104" s="92" t="s">
        <v>174</v>
      </c>
      <c r="C104" s="132"/>
      <c r="D104" s="133"/>
      <c r="E104" s="133"/>
      <c r="F104" s="133"/>
      <c r="G104" s="133"/>
      <c r="H104" s="133"/>
      <c r="I104" s="111"/>
      <c r="J104" s="82"/>
      <c r="K104" s="84"/>
      <c r="L104" s="84"/>
      <c r="M104" s="80"/>
      <c r="N104" s="84"/>
      <c r="O104" s="84"/>
      <c r="Q104" s="81" t="e">
        <f t="shared" si="3"/>
        <v>#DIV/0!</v>
      </c>
      <c r="R104" s="81" t="e">
        <f t="shared" si="4"/>
        <v>#DIV/0!</v>
      </c>
      <c r="S104" s="84"/>
      <c r="T104" s="81" t="e">
        <f t="shared" si="5"/>
        <v>#DIV/0!</v>
      </c>
      <c r="U104" s="81"/>
      <c r="V104" s="84"/>
      <c r="W104" s="84"/>
      <c r="Y104" s="75"/>
      <c r="Z104" s="2"/>
      <c r="AA104" s="2"/>
      <c r="AB104" s="98"/>
      <c r="AE104" s="99"/>
      <c r="AI104" s="69"/>
      <c r="AJ104" s="69"/>
      <c r="AL104" s="69"/>
      <c r="AM104" s="69"/>
      <c r="AQ104" s="75"/>
      <c r="AR104" s="2"/>
      <c r="AS104" s="75"/>
      <c r="AT104" s="98"/>
      <c r="AV104" s="88"/>
      <c r="AW104" s="99"/>
      <c r="AZ104" s="15"/>
      <c r="BA104" s="69"/>
      <c r="BB104" s="69"/>
      <c r="BD104" s="69"/>
      <c r="BE104" s="69"/>
      <c r="BR104" s="88"/>
    </row>
    <row r="105" spans="1:70" x14ac:dyDescent="0.4">
      <c r="A105" s="85" t="s">
        <v>283</v>
      </c>
      <c r="B105" s="92" t="s">
        <v>174</v>
      </c>
      <c r="C105" s="132"/>
      <c r="D105" s="133"/>
      <c r="E105" s="133"/>
      <c r="F105" s="133"/>
      <c r="G105" s="133"/>
      <c r="H105" s="133"/>
      <c r="I105" s="111"/>
      <c r="J105" s="82"/>
      <c r="K105" s="84"/>
      <c r="L105" s="84"/>
      <c r="M105" s="80"/>
      <c r="N105" s="84"/>
      <c r="O105" s="84"/>
      <c r="Q105" s="81" t="e">
        <f t="shared" si="3"/>
        <v>#DIV/0!</v>
      </c>
      <c r="R105" s="81" t="e">
        <f t="shared" si="4"/>
        <v>#DIV/0!</v>
      </c>
      <c r="S105" s="84"/>
      <c r="T105" s="81" t="e">
        <f t="shared" si="5"/>
        <v>#DIV/0!</v>
      </c>
      <c r="U105" s="81"/>
      <c r="V105" s="84"/>
      <c r="W105" s="84"/>
      <c r="Y105" s="75"/>
      <c r="Z105" s="2"/>
      <c r="AA105" s="2"/>
      <c r="AB105" s="98"/>
      <c r="AE105" s="99"/>
      <c r="AI105" s="69"/>
      <c r="AJ105" s="69"/>
      <c r="AL105" s="69"/>
      <c r="AM105" s="69"/>
      <c r="AQ105" s="75"/>
      <c r="AR105" s="2"/>
      <c r="AS105" s="75"/>
      <c r="AT105" s="98"/>
      <c r="AV105" s="88"/>
      <c r="AW105" s="99"/>
      <c r="AZ105" s="15"/>
      <c r="BA105" s="69"/>
      <c r="BB105" s="69"/>
      <c r="BD105" s="69"/>
      <c r="BE105" s="69"/>
      <c r="BR105" s="88"/>
    </row>
    <row r="106" spans="1:70" x14ac:dyDescent="0.4">
      <c r="A106" s="85" t="s">
        <v>284</v>
      </c>
      <c r="B106" s="92" t="s">
        <v>174</v>
      </c>
      <c r="C106" s="132"/>
      <c r="D106" s="133"/>
      <c r="E106" s="133"/>
      <c r="F106" s="133"/>
      <c r="G106" s="133"/>
      <c r="H106" s="133"/>
      <c r="I106" s="111"/>
      <c r="J106" s="82"/>
      <c r="K106" s="84"/>
      <c r="L106" s="84"/>
      <c r="M106" s="80"/>
      <c r="N106" s="84"/>
      <c r="O106" s="84"/>
      <c r="P106" s="84"/>
      <c r="Q106" s="81" t="e">
        <f t="shared" si="3"/>
        <v>#DIV/0!</v>
      </c>
      <c r="R106" s="81" t="e">
        <f t="shared" si="4"/>
        <v>#DIV/0!</v>
      </c>
      <c r="S106" s="84"/>
      <c r="T106" s="81" t="e">
        <f t="shared" si="5"/>
        <v>#DIV/0!</v>
      </c>
      <c r="U106" s="81" t="e">
        <f>AVERAGE(T104:T106)</f>
        <v>#DIV/0!</v>
      </c>
      <c r="V106" s="81" t="e">
        <f>_xlfn.STDEV.S(T104:T106)</f>
        <v>#DIV/0!</v>
      </c>
      <c r="W106" s="81">
        <f>MAX(K104:K106)-MIN(K104:K106)</f>
        <v>0</v>
      </c>
      <c r="Y106" s="75"/>
      <c r="Z106" s="2"/>
      <c r="AA106" s="2"/>
      <c r="AB106" s="98"/>
      <c r="AE106" s="99"/>
      <c r="AI106" s="69"/>
      <c r="AJ106" s="69"/>
      <c r="AL106" s="69"/>
      <c r="AM106" s="69"/>
      <c r="AN106" s="69"/>
      <c r="AO106" s="69"/>
      <c r="AQ106" s="75"/>
      <c r="AR106" s="2"/>
      <c r="AS106" s="75"/>
      <c r="AT106" s="98"/>
      <c r="AV106" s="88"/>
      <c r="AW106" s="99"/>
      <c r="AZ106" s="15"/>
      <c r="BA106" s="69"/>
      <c r="BB106" s="69"/>
      <c r="BD106" s="69"/>
      <c r="BE106" s="69"/>
      <c r="BF106" s="69"/>
      <c r="BG106" s="69"/>
      <c r="BR106" s="88"/>
    </row>
    <row r="107" spans="1:70" x14ac:dyDescent="0.4">
      <c r="A107" s="76" t="s">
        <v>285</v>
      </c>
      <c r="B107" s="76" t="s">
        <v>75</v>
      </c>
      <c r="C107" s="100" t="s">
        <v>4</v>
      </c>
      <c r="D107" s="129" t="s">
        <v>485</v>
      </c>
      <c r="E107" s="129" t="s">
        <v>485</v>
      </c>
      <c r="F107" s="129" t="s">
        <v>484</v>
      </c>
      <c r="G107" s="129" t="s">
        <v>485</v>
      </c>
      <c r="H107" s="129" t="s">
        <v>484</v>
      </c>
      <c r="I107" s="112">
        <v>4.8</v>
      </c>
      <c r="J107" s="82" t="s">
        <v>81</v>
      </c>
      <c r="K107" s="84">
        <v>8.4499999999999993</v>
      </c>
      <c r="L107" s="86">
        <v>522000000</v>
      </c>
      <c r="M107" s="80">
        <v>0.4</v>
      </c>
      <c r="N107" s="81">
        <v>50</v>
      </c>
      <c r="O107" s="84">
        <v>26.61</v>
      </c>
      <c r="P107" s="94">
        <v>8.0369421590000005</v>
      </c>
      <c r="Q107" s="81">
        <f t="shared" si="3"/>
        <v>3.3109607452134453</v>
      </c>
      <c r="R107" s="81">
        <f t="shared" si="4"/>
        <v>216040188625.17731</v>
      </c>
      <c r="S107" s="81"/>
      <c r="T107" s="81" t="e">
        <f t="shared" si="5"/>
        <v>#DIV/0!</v>
      </c>
      <c r="U107" s="81"/>
      <c r="V107" s="81"/>
      <c r="W107" s="81"/>
      <c r="BR107" s="88"/>
    </row>
    <row r="108" spans="1:70" x14ac:dyDescent="0.4">
      <c r="A108" s="85" t="s">
        <v>286</v>
      </c>
      <c r="B108" s="85" t="s">
        <v>75</v>
      </c>
      <c r="C108" s="100" t="s">
        <v>4</v>
      </c>
      <c r="D108" s="129" t="s">
        <v>485</v>
      </c>
      <c r="E108" s="129" t="s">
        <v>485</v>
      </c>
      <c r="F108" s="129" t="s">
        <v>484</v>
      </c>
      <c r="G108" s="129" t="s">
        <v>485</v>
      </c>
      <c r="H108" s="129" t="s">
        <v>484</v>
      </c>
      <c r="I108" s="112">
        <v>4.8</v>
      </c>
      <c r="J108" s="82" t="s">
        <v>81</v>
      </c>
      <c r="K108" s="84">
        <v>8.66</v>
      </c>
      <c r="L108" s="86">
        <v>453000000</v>
      </c>
      <c r="M108" s="80">
        <v>0.4</v>
      </c>
      <c r="N108" s="81">
        <v>50</v>
      </c>
      <c r="O108" s="84">
        <v>26.61</v>
      </c>
      <c r="P108" s="94">
        <v>8.0369421590000005</v>
      </c>
      <c r="Q108" s="81">
        <f t="shared" si="3"/>
        <v>3.3109607452134453</v>
      </c>
      <c r="R108" s="81">
        <f t="shared" si="4"/>
        <v>187483152197.71133</v>
      </c>
      <c r="S108" s="87"/>
      <c r="T108" s="81" t="e">
        <f t="shared" si="5"/>
        <v>#DIV/0!</v>
      </c>
      <c r="U108" s="87"/>
      <c r="V108" s="87"/>
      <c r="W108" s="87"/>
      <c r="BR108" s="88"/>
    </row>
    <row r="109" spans="1:70" x14ac:dyDescent="0.4">
      <c r="A109" s="85" t="s">
        <v>287</v>
      </c>
      <c r="B109" s="76" t="s">
        <v>75</v>
      </c>
      <c r="C109" s="100" t="s">
        <v>4</v>
      </c>
      <c r="D109" s="129" t="s">
        <v>485</v>
      </c>
      <c r="E109" s="129" t="s">
        <v>485</v>
      </c>
      <c r="F109" s="129" t="s">
        <v>484</v>
      </c>
      <c r="G109" s="129" t="s">
        <v>485</v>
      </c>
      <c r="H109" s="129" t="s">
        <v>484</v>
      </c>
      <c r="I109" s="112">
        <v>4.8</v>
      </c>
      <c r="J109" s="82" t="s">
        <v>81</v>
      </c>
      <c r="K109" s="84">
        <v>8.8699999999999992</v>
      </c>
      <c r="L109" s="86">
        <v>395000000</v>
      </c>
      <c r="M109" s="80">
        <v>0.4</v>
      </c>
      <c r="N109" s="81">
        <v>50</v>
      </c>
      <c r="O109" s="84">
        <v>26.61</v>
      </c>
      <c r="P109" s="94">
        <v>8.0369421590000005</v>
      </c>
      <c r="Q109" s="81">
        <f t="shared" si="3"/>
        <v>3.3109607452134453</v>
      </c>
      <c r="R109" s="81">
        <f t="shared" si="4"/>
        <v>163478686794.91385</v>
      </c>
      <c r="S109" s="81"/>
      <c r="T109" s="81" t="e">
        <f t="shared" si="5"/>
        <v>#DIV/0!</v>
      </c>
      <c r="U109" s="81" t="e">
        <f>AVERAGE(T107:T109)</f>
        <v>#DIV/0!</v>
      </c>
      <c r="V109" s="81" t="e">
        <f>_xlfn.STDEV.S(T107:T109)</f>
        <v>#DIV/0!</v>
      </c>
      <c r="W109" s="81">
        <f>MAX(K107:K109)-MIN(K107:K109)</f>
        <v>0.41999999999999993</v>
      </c>
    </row>
    <row r="110" spans="1:70" x14ac:dyDescent="0.4">
      <c r="A110" s="85" t="s">
        <v>288</v>
      </c>
      <c r="B110" s="76" t="s">
        <v>76</v>
      </c>
      <c r="C110" s="100" t="s">
        <v>5</v>
      </c>
      <c r="D110" s="129" t="s">
        <v>485</v>
      </c>
      <c r="E110" s="129" t="s">
        <v>484</v>
      </c>
      <c r="F110" s="129" t="s">
        <v>484</v>
      </c>
      <c r="G110" s="129" t="s">
        <v>485</v>
      </c>
      <c r="H110" s="129" t="s">
        <v>485</v>
      </c>
      <c r="I110" s="112">
        <v>4.8</v>
      </c>
      <c r="J110" s="82" t="s">
        <v>81</v>
      </c>
      <c r="K110" s="84">
        <v>9.6999999999999993</v>
      </c>
      <c r="L110" s="86">
        <v>227000000</v>
      </c>
      <c r="M110" s="80">
        <v>0.4</v>
      </c>
      <c r="N110" s="81">
        <v>50</v>
      </c>
      <c r="O110" s="84">
        <v>6.43</v>
      </c>
      <c r="P110" s="94">
        <v>6.3685568080000001</v>
      </c>
      <c r="Q110" s="81">
        <f t="shared" si="3"/>
        <v>1.0096478988650641</v>
      </c>
      <c r="R110" s="81">
        <f t="shared" si="4"/>
        <v>28648759130.296192</v>
      </c>
      <c r="S110" s="87"/>
      <c r="T110" s="81" t="e">
        <f t="shared" si="5"/>
        <v>#DIV/0!</v>
      </c>
      <c r="U110" s="81"/>
      <c r="V110" s="87"/>
      <c r="W110" s="87"/>
    </row>
    <row r="111" spans="1:70" x14ac:dyDescent="0.4">
      <c r="A111" s="85" t="s">
        <v>289</v>
      </c>
      <c r="B111" s="85" t="s">
        <v>76</v>
      </c>
      <c r="C111" s="100" t="s">
        <v>5</v>
      </c>
      <c r="D111" s="129" t="s">
        <v>485</v>
      </c>
      <c r="E111" s="129" t="s">
        <v>484</v>
      </c>
      <c r="F111" s="129" t="s">
        <v>484</v>
      </c>
      <c r="G111" s="129" t="s">
        <v>485</v>
      </c>
      <c r="H111" s="129" t="s">
        <v>485</v>
      </c>
      <c r="I111" s="112">
        <v>4.8</v>
      </c>
      <c r="J111" s="82" t="s">
        <v>81</v>
      </c>
      <c r="K111" s="84">
        <v>8.99</v>
      </c>
      <c r="L111" s="86">
        <v>364000000</v>
      </c>
      <c r="M111" s="80">
        <v>0.4</v>
      </c>
      <c r="N111" s="81">
        <v>50</v>
      </c>
      <c r="O111">
        <v>6.43</v>
      </c>
      <c r="P111" s="94">
        <v>6.3685568080000001</v>
      </c>
      <c r="Q111" s="81">
        <f t="shared" si="3"/>
        <v>1.0096478988650641</v>
      </c>
      <c r="R111" s="81">
        <f t="shared" si="4"/>
        <v>45938979398.360413</v>
      </c>
      <c r="S111" s="81"/>
      <c r="T111" s="81" t="e">
        <f t="shared" si="5"/>
        <v>#DIV/0!</v>
      </c>
      <c r="U111" s="81"/>
      <c r="V111" s="81"/>
      <c r="W111" s="81"/>
    </row>
    <row r="112" spans="1:70" x14ac:dyDescent="0.4">
      <c r="A112" s="85" t="s">
        <v>290</v>
      </c>
      <c r="B112" s="76" t="s">
        <v>76</v>
      </c>
      <c r="C112" s="100" t="s">
        <v>5</v>
      </c>
      <c r="D112" s="129" t="s">
        <v>485</v>
      </c>
      <c r="E112" s="129" t="s">
        <v>484</v>
      </c>
      <c r="F112" s="129" t="s">
        <v>484</v>
      </c>
      <c r="G112" s="129" t="s">
        <v>485</v>
      </c>
      <c r="H112" s="129" t="s">
        <v>485</v>
      </c>
      <c r="I112" s="112">
        <v>4.8</v>
      </c>
      <c r="J112" s="82" t="s">
        <v>81</v>
      </c>
      <c r="K112" s="84">
        <v>9.51</v>
      </c>
      <c r="L112" s="86">
        <v>257000000</v>
      </c>
      <c r="M112" s="80">
        <v>0.4</v>
      </c>
      <c r="N112" s="81">
        <v>50</v>
      </c>
      <c r="O112">
        <v>6.43</v>
      </c>
      <c r="P112" s="94">
        <v>6.3685568080000001</v>
      </c>
      <c r="Q112" s="81">
        <f t="shared" si="3"/>
        <v>1.0096478988650641</v>
      </c>
      <c r="R112" s="81">
        <f t="shared" si="4"/>
        <v>32434938751.040184</v>
      </c>
      <c r="S112" s="87"/>
      <c r="T112" s="81" t="e">
        <f t="shared" si="5"/>
        <v>#DIV/0!</v>
      </c>
      <c r="U112" s="81" t="e">
        <f>AVERAGE(T110:T112)</f>
        <v>#DIV/0!</v>
      </c>
      <c r="V112" s="81" t="e">
        <f>_xlfn.STDEV.S(T110:T112)</f>
        <v>#DIV/0!</v>
      </c>
      <c r="W112" s="81">
        <f>MAX(K110:K112)-MIN(K110:K112)</f>
        <v>0.70999999999999908</v>
      </c>
    </row>
    <row r="113" spans="1:23" x14ac:dyDescent="0.4">
      <c r="A113" s="85" t="s">
        <v>291</v>
      </c>
      <c r="B113" s="76" t="s">
        <v>77</v>
      </c>
      <c r="C113" s="100" t="s">
        <v>6</v>
      </c>
      <c r="D113" s="129" t="s">
        <v>485</v>
      </c>
      <c r="E113" s="129" t="s">
        <v>485</v>
      </c>
      <c r="F113" s="129" t="s">
        <v>484</v>
      </c>
      <c r="G113" s="129" t="s">
        <v>485</v>
      </c>
      <c r="H113" s="129" t="s">
        <v>485</v>
      </c>
      <c r="I113" s="112">
        <v>4.8</v>
      </c>
      <c r="J113" s="82" t="s">
        <v>81</v>
      </c>
      <c r="K113" s="84">
        <v>10.42</v>
      </c>
      <c r="L113" s="86">
        <v>140000000</v>
      </c>
      <c r="M113" s="80">
        <v>0.4</v>
      </c>
      <c r="N113" s="81">
        <v>50</v>
      </c>
      <c r="O113">
        <v>2.38</v>
      </c>
      <c r="P113" s="94">
        <v>4.0712730739999996</v>
      </c>
      <c r="Q113" s="81">
        <f t="shared" si="3"/>
        <v>0.58458373013571041</v>
      </c>
      <c r="R113" s="81">
        <f t="shared" si="4"/>
        <v>10230215277.374931</v>
      </c>
      <c r="S113" s="81"/>
      <c r="T113" s="81" t="e">
        <f t="shared" si="5"/>
        <v>#DIV/0!</v>
      </c>
      <c r="U113" s="81"/>
      <c r="V113" s="81"/>
      <c r="W113" s="81"/>
    </row>
    <row r="114" spans="1:23" x14ac:dyDescent="0.4">
      <c r="A114" s="85" t="s">
        <v>292</v>
      </c>
      <c r="B114" s="85" t="s">
        <v>77</v>
      </c>
      <c r="C114" s="100" t="s">
        <v>6</v>
      </c>
      <c r="D114" s="129" t="s">
        <v>485</v>
      </c>
      <c r="E114" s="129" t="s">
        <v>485</v>
      </c>
      <c r="F114" s="129" t="s">
        <v>484</v>
      </c>
      <c r="G114" s="129" t="s">
        <v>485</v>
      </c>
      <c r="H114" s="129" t="s">
        <v>485</v>
      </c>
      <c r="I114" s="112">
        <v>4.8</v>
      </c>
      <c r="J114" s="82" t="s">
        <v>81</v>
      </c>
      <c r="K114" s="84">
        <v>10.46</v>
      </c>
      <c r="L114" s="86">
        <v>137000000</v>
      </c>
      <c r="M114" s="80">
        <v>0.4</v>
      </c>
      <c r="N114" s="81">
        <v>50</v>
      </c>
      <c r="O114">
        <v>2.38</v>
      </c>
      <c r="P114" s="94">
        <v>4.0712730739999996</v>
      </c>
      <c r="Q114" s="81">
        <f t="shared" si="3"/>
        <v>0.58458373013571041</v>
      </c>
      <c r="R114" s="81">
        <f t="shared" si="4"/>
        <v>10010996378.574041</v>
      </c>
      <c r="S114" s="87"/>
      <c r="T114" s="81" t="e">
        <f t="shared" si="5"/>
        <v>#DIV/0!</v>
      </c>
      <c r="U114" s="81"/>
      <c r="V114" s="87"/>
      <c r="W114" s="87"/>
    </row>
    <row r="115" spans="1:23" x14ac:dyDescent="0.4">
      <c r="A115" s="85" t="s">
        <v>293</v>
      </c>
      <c r="B115" s="76" t="s">
        <v>77</v>
      </c>
      <c r="C115" s="100" t="s">
        <v>6</v>
      </c>
      <c r="D115" s="129" t="s">
        <v>485</v>
      </c>
      <c r="E115" s="129" t="s">
        <v>485</v>
      </c>
      <c r="F115" s="129" t="s">
        <v>484</v>
      </c>
      <c r="G115" s="129" t="s">
        <v>485</v>
      </c>
      <c r="H115" s="129" t="s">
        <v>485</v>
      </c>
      <c r="I115" s="112">
        <v>4.8</v>
      </c>
      <c r="J115" s="82" t="s">
        <v>81</v>
      </c>
      <c r="K115" s="84">
        <v>10.46</v>
      </c>
      <c r="L115" s="86">
        <v>138000000</v>
      </c>
      <c r="M115" s="80">
        <v>0.4</v>
      </c>
      <c r="N115" s="81">
        <v>50</v>
      </c>
      <c r="O115">
        <v>2.38</v>
      </c>
      <c r="P115" s="94">
        <v>4.0712730739999996</v>
      </c>
      <c r="Q115" s="81">
        <f t="shared" si="3"/>
        <v>0.58458373013571041</v>
      </c>
      <c r="R115" s="81">
        <f t="shared" si="4"/>
        <v>10084069344.841003</v>
      </c>
      <c r="S115" s="81"/>
      <c r="T115" s="81" t="e">
        <f t="shared" si="5"/>
        <v>#DIV/0!</v>
      </c>
      <c r="U115" s="81" t="e">
        <f>AVERAGE(T113:T115)</f>
        <v>#DIV/0!</v>
      </c>
      <c r="V115" s="81" t="e">
        <f>_xlfn.STDEV.S(T113:T115)</f>
        <v>#DIV/0!</v>
      </c>
      <c r="W115" s="81">
        <f>MAX(K113:K115)-MIN(K113:K115)</f>
        <v>4.0000000000000924E-2</v>
      </c>
    </row>
    <row r="116" spans="1:23" x14ac:dyDescent="0.4">
      <c r="A116" s="85" t="s">
        <v>294</v>
      </c>
      <c r="B116" s="85" t="s">
        <v>78</v>
      </c>
      <c r="C116" s="100" t="s">
        <v>7</v>
      </c>
      <c r="D116" s="129" t="s">
        <v>485</v>
      </c>
      <c r="E116" s="129" t="s">
        <v>485</v>
      </c>
      <c r="F116" s="129" t="s">
        <v>485</v>
      </c>
      <c r="G116" s="129" t="s">
        <v>485</v>
      </c>
      <c r="H116" s="129" t="s">
        <v>485</v>
      </c>
      <c r="I116" s="112">
        <v>4.8</v>
      </c>
      <c r="J116" s="82" t="s">
        <v>81</v>
      </c>
      <c r="K116" s="84">
        <v>8.91</v>
      </c>
      <c r="L116" s="86">
        <v>384000000</v>
      </c>
      <c r="M116" s="80">
        <v>0.4</v>
      </c>
      <c r="N116" s="81">
        <v>50</v>
      </c>
      <c r="O116">
        <v>11.52</v>
      </c>
      <c r="P116" s="94">
        <v>7.2943195989999996</v>
      </c>
      <c r="Q116" s="81">
        <f t="shared" si="3"/>
        <v>1.5793111123865906</v>
      </c>
      <c r="R116" s="81">
        <f t="shared" si="4"/>
        <v>75806933394.556351</v>
      </c>
      <c r="S116" s="87"/>
      <c r="T116" s="81" t="e">
        <f t="shared" si="5"/>
        <v>#DIV/0!</v>
      </c>
      <c r="U116" s="81"/>
      <c r="V116" s="87"/>
      <c r="W116" s="87"/>
    </row>
    <row r="117" spans="1:23" x14ac:dyDescent="0.4">
      <c r="A117" s="85" t="s">
        <v>295</v>
      </c>
      <c r="B117" s="90" t="s">
        <v>78</v>
      </c>
      <c r="C117" s="100" t="s">
        <v>7</v>
      </c>
      <c r="D117" s="129" t="s">
        <v>485</v>
      </c>
      <c r="E117" s="129" t="s">
        <v>485</v>
      </c>
      <c r="F117" s="129" t="s">
        <v>485</v>
      </c>
      <c r="G117" s="129" t="s">
        <v>485</v>
      </c>
      <c r="H117" s="129" t="s">
        <v>485</v>
      </c>
      <c r="I117" s="112">
        <v>4.8</v>
      </c>
      <c r="J117" s="82" t="s">
        <v>81</v>
      </c>
      <c r="K117" s="84">
        <v>9.0399999999999991</v>
      </c>
      <c r="L117" s="86">
        <v>352000000</v>
      </c>
      <c r="M117" s="80">
        <v>0.4</v>
      </c>
      <c r="N117" s="81">
        <v>50</v>
      </c>
      <c r="O117">
        <v>11.52</v>
      </c>
      <c r="P117" s="94">
        <v>7.2943195989999996</v>
      </c>
      <c r="Q117" s="81">
        <f t="shared" si="3"/>
        <v>1.5793111123865906</v>
      </c>
      <c r="R117" s="81">
        <f t="shared" si="4"/>
        <v>69489688945.009979</v>
      </c>
      <c r="S117" s="91"/>
      <c r="T117" s="81" t="e">
        <f t="shared" si="5"/>
        <v>#DIV/0!</v>
      </c>
      <c r="U117" s="81"/>
      <c r="V117" s="91"/>
      <c r="W117" s="91"/>
    </row>
    <row r="118" spans="1:23" x14ac:dyDescent="0.4">
      <c r="A118" s="85" t="s">
        <v>296</v>
      </c>
      <c r="B118" s="92" t="s">
        <v>78</v>
      </c>
      <c r="C118" s="100" t="s">
        <v>7</v>
      </c>
      <c r="D118" s="129" t="s">
        <v>485</v>
      </c>
      <c r="E118" s="129" t="s">
        <v>485</v>
      </c>
      <c r="F118" s="129" t="s">
        <v>485</v>
      </c>
      <c r="G118" s="129" t="s">
        <v>485</v>
      </c>
      <c r="H118" s="129" t="s">
        <v>485</v>
      </c>
      <c r="I118" s="112">
        <v>4.8</v>
      </c>
      <c r="J118" s="82" t="s">
        <v>81</v>
      </c>
      <c r="K118" s="84">
        <v>9.26</v>
      </c>
      <c r="L118" s="86">
        <v>305000000</v>
      </c>
      <c r="M118" s="80">
        <v>0.4</v>
      </c>
      <c r="N118" s="81">
        <v>50</v>
      </c>
      <c r="O118">
        <v>11.52</v>
      </c>
      <c r="P118" s="94">
        <v>7.2943195989999996</v>
      </c>
      <c r="Q118" s="81">
        <f t="shared" si="3"/>
        <v>1.5793111123865906</v>
      </c>
      <c r="R118" s="81">
        <f t="shared" si="4"/>
        <v>60211236159.73877</v>
      </c>
      <c r="S118" s="84"/>
      <c r="T118" s="81" t="e">
        <f t="shared" si="5"/>
        <v>#DIV/0!</v>
      </c>
      <c r="U118" s="81" t="e">
        <f>AVERAGE(T116:T118)</f>
        <v>#DIV/0!</v>
      </c>
      <c r="V118" s="81" t="e">
        <f>_xlfn.STDEV.S(T116:T118)</f>
        <v>#DIV/0!</v>
      </c>
      <c r="W118" s="81">
        <f>MAX(K116:K118)-MIN(K116:K118)</f>
        <v>0.34999999999999964</v>
      </c>
    </row>
    <row r="119" spans="1:23" x14ac:dyDescent="0.4">
      <c r="A119" s="85" t="s">
        <v>297</v>
      </c>
      <c r="B119" s="92" t="s">
        <v>86</v>
      </c>
      <c r="C119" s="100" t="s">
        <v>4</v>
      </c>
      <c r="D119" s="129" t="s">
        <v>485</v>
      </c>
      <c r="E119" s="129" t="s">
        <v>485</v>
      </c>
      <c r="F119" s="129" t="s">
        <v>484</v>
      </c>
      <c r="G119" s="129" t="s">
        <v>485</v>
      </c>
      <c r="H119" s="129" t="s">
        <v>484</v>
      </c>
      <c r="I119" s="112">
        <v>5.8</v>
      </c>
      <c r="J119" s="82" t="s">
        <v>81</v>
      </c>
      <c r="K119" s="84">
        <v>8.57</v>
      </c>
      <c r="L119" s="86">
        <v>480000000</v>
      </c>
      <c r="M119" s="80">
        <v>0.4</v>
      </c>
      <c r="N119" s="81">
        <v>50</v>
      </c>
      <c r="O119">
        <v>95.65</v>
      </c>
      <c r="P119" s="94">
        <v>6.8781001929999999</v>
      </c>
      <c r="Q119" s="81">
        <f t="shared" si="3"/>
        <v>13.906456334751448</v>
      </c>
      <c r="R119" s="81">
        <f t="shared" si="4"/>
        <v>834387380085.08679</v>
      </c>
      <c r="S119" s="84"/>
      <c r="T119" s="81" t="e">
        <f t="shared" si="5"/>
        <v>#DIV/0!</v>
      </c>
      <c r="U119" s="81"/>
      <c r="V119" s="84"/>
      <c r="W119" s="84"/>
    </row>
    <row r="120" spans="1:23" x14ac:dyDescent="0.4">
      <c r="A120" s="85" t="s">
        <v>298</v>
      </c>
      <c r="B120" s="92" t="s">
        <v>86</v>
      </c>
      <c r="C120" s="100" t="s">
        <v>4</v>
      </c>
      <c r="D120" s="129" t="s">
        <v>485</v>
      </c>
      <c r="E120" s="129" t="s">
        <v>485</v>
      </c>
      <c r="F120" s="129" t="s">
        <v>484</v>
      </c>
      <c r="G120" s="129" t="s">
        <v>485</v>
      </c>
      <c r="H120" s="129" t="s">
        <v>484</v>
      </c>
      <c r="I120" s="112">
        <v>5.8</v>
      </c>
      <c r="J120" s="82" t="s">
        <v>81</v>
      </c>
      <c r="K120" s="84">
        <v>8.75</v>
      </c>
      <c r="L120" s="86">
        <v>428000000</v>
      </c>
      <c r="M120" s="80">
        <v>0.4</v>
      </c>
      <c r="N120" s="81">
        <v>50</v>
      </c>
      <c r="O120">
        <v>95.65</v>
      </c>
      <c r="P120" s="94">
        <v>6.8781001929999999</v>
      </c>
      <c r="Q120" s="81">
        <f t="shared" si="3"/>
        <v>13.906456334751448</v>
      </c>
      <c r="R120" s="81">
        <f t="shared" si="4"/>
        <v>743995413909.20239</v>
      </c>
      <c r="S120" s="84"/>
      <c r="T120" s="81" t="e">
        <f t="shared" si="5"/>
        <v>#DIV/0!</v>
      </c>
      <c r="U120" s="81"/>
      <c r="V120" s="84"/>
      <c r="W120" s="84"/>
    </row>
    <row r="121" spans="1:23" x14ac:dyDescent="0.4">
      <c r="A121" s="85" t="s">
        <v>299</v>
      </c>
      <c r="B121" s="92" t="s">
        <v>86</v>
      </c>
      <c r="C121" s="100" t="s">
        <v>4</v>
      </c>
      <c r="D121" s="129" t="s">
        <v>485</v>
      </c>
      <c r="E121" s="129" t="s">
        <v>485</v>
      </c>
      <c r="F121" s="129" t="s">
        <v>484</v>
      </c>
      <c r="G121" s="129" t="s">
        <v>485</v>
      </c>
      <c r="H121" s="129" t="s">
        <v>484</v>
      </c>
      <c r="I121" s="112">
        <v>5.8</v>
      </c>
      <c r="J121" s="82" t="s">
        <v>81</v>
      </c>
      <c r="K121" s="84">
        <v>8.94</v>
      </c>
      <c r="L121" s="86">
        <v>376000000</v>
      </c>
      <c r="M121" s="80">
        <v>0.4</v>
      </c>
      <c r="N121" s="81">
        <v>50</v>
      </c>
      <c r="O121">
        <v>95.65</v>
      </c>
      <c r="P121" s="94">
        <v>6.8781001929999999</v>
      </c>
      <c r="Q121" s="81">
        <f t="shared" si="3"/>
        <v>13.906456334751448</v>
      </c>
      <c r="R121" s="81">
        <f t="shared" si="4"/>
        <v>653603447733.31812</v>
      </c>
      <c r="S121" s="84"/>
      <c r="T121" s="81" t="e">
        <f t="shared" si="5"/>
        <v>#DIV/0!</v>
      </c>
      <c r="U121" s="81" t="e">
        <f>AVERAGE(T119:T121)</f>
        <v>#DIV/0!</v>
      </c>
      <c r="V121" s="81" t="e">
        <f>_xlfn.STDEV.S(T119:T121)</f>
        <v>#DIV/0!</v>
      </c>
      <c r="W121" s="81">
        <f>MAX(K119:K121)-MIN(K119:K121)</f>
        <v>0.36999999999999922</v>
      </c>
    </row>
    <row r="122" spans="1:23" x14ac:dyDescent="0.4">
      <c r="A122" s="85" t="s">
        <v>300</v>
      </c>
      <c r="B122" s="92" t="s">
        <v>87</v>
      </c>
      <c r="C122" s="100" t="s">
        <v>5</v>
      </c>
      <c r="D122" s="129" t="s">
        <v>485</v>
      </c>
      <c r="E122" s="129" t="s">
        <v>484</v>
      </c>
      <c r="F122" s="129" t="s">
        <v>484</v>
      </c>
      <c r="G122" s="129" t="s">
        <v>485</v>
      </c>
      <c r="H122" s="129" t="s">
        <v>485</v>
      </c>
      <c r="I122" s="112">
        <v>5.8</v>
      </c>
      <c r="J122" s="82" t="s">
        <v>81</v>
      </c>
      <c r="K122" s="84">
        <v>9.73</v>
      </c>
      <c r="L122" s="86">
        <v>223000000</v>
      </c>
      <c r="M122" s="80">
        <v>0.4</v>
      </c>
      <c r="N122" s="81">
        <v>50</v>
      </c>
      <c r="O122">
        <v>35.979999999999997</v>
      </c>
      <c r="P122" s="94">
        <v>5.4665173229999997</v>
      </c>
      <c r="Q122" s="81">
        <f t="shared" si="3"/>
        <v>6.5818871274068034</v>
      </c>
      <c r="R122" s="81">
        <f t="shared" si="4"/>
        <v>183470103676.46463</v>
      </c>
      <c r="S122" s="84"/>
      <c r="T122" s="81" t="e">
        <f t="shared" si="5"/>
        <v>#DIV/0!</v>
      </c>
      <c r="U122" s="81"/>
      <c r="V122" s="84"/>
      <c r="W122" s="84"/>
    </row>
    <row r="123" spans="1:23" x14ac:dyDescent="0.4">
      <c r="A123" s="85" t="s">
        <v>301</v>
      </c>
      <c r="B123" s="92" t="s">
        <v>87</v>
      </c>
      <c r="C123" s="100" t="s">
        <v>5</v>
      </c>
      <c r="D123" s="129" t="s">
        <v>485</v>
      </c>
      <c r="E123" s="129" t="s">
        <v>484</v>
      </c>
      <c r="F123" s="129" t="s">
        <v>484</v>
      </c>
      <c r="G123" s="129" t="s">
        <v>485</v>
      </c>
      <c r="H123" s="129" t="s">
        <v>485</v>
      </c>
      <c r="I123" s="112">
        <v>5.8</v>
      </c>
      <c r="J123" s="82" t="s">
        <v>81</v>
      </c>
      <c r="K123" s="84">
        <v>8.1999999999999993</v>
      </c>
      <c r="L123" s="86">
        <v>614000000</v>
      </c>
      <c r="M123" s="80">
        <v>0.4</v>
      </c>
      <c r="N123" s="81">
        <v>50</v>
      </c>
      <c r="O123">
        <v>35.979999999999997</v>
      </c>
      <c r="P123" s="94">
        <v>5.4665173229999997</v>
      </c>
      <c r="Q123" s="81">
        <f t="shared" si="3"/>
        <v>6.5818871274068034</v>
      </c>
      <c r="R123" s="81">
        <f t="shared" si="4"/>
        <v>505159837028.47211</v>
      </c>
      <c r="S123" s="84"/>
      <c r="T123" s="81" t="e">
        <f t="shared" si="5"/>
        <v>#DIV/0!</v>
      </c>
      <c r="U123" s="81"/>
      <c r="V123" s="84"/>
      <c r="W123" s="84"/>
    </row>
    <row r="124" spans="1:23" x14ac:dyDescent="0.4">
      <c r="A124" s="85" t="s">
        <v>302</v>
      </c>
      <c r="B124" s="92" t="s">
        <v>87</v>
      </c>
      <c r="C124" s="100" t="s">
        <v>5</v>
      </c>
      <c r="D124" s="129" t="s">
        <v>485</v>
      </c>
      <c r="E124" s="129" t="s">
        <v>484</v>
      </c>
      <c r="F124" s="129" t="s">
        <v>484</v>
      </c>
      <c r="G124" s="129" t="s">
        <v>485</v>
      </c>
      <c r="H124" s="129" t="s">
        <v>485</v>
      </c>
      <c r="I124" s="112">
        <v>5.8</v>
      </c>
      <c r="J124" s="82" t="s">
        <v>81</v>
      </c>
      <c r="K124" s="84">
        <v>8.8699999999999992</v>
      </c>
      <c r="L124" s="86">
        <v>395000000</v>
      </c>
      <c r="M124" s="80">
        <v>0.4</v>
      </c>
      <c r="N124" s="81">
        <v>50</v>
      </c>
      <c r="O124">
        <v>35.979999999999997</v>
      </c>
      <c r="P124" s="94">
        <v>5.4665173229999997</v>
      </c>
      <c r="Q124" s="81">
        <f t="shared" si="3"/>
        <v>6.5818871274068034</v>
      </c>
      <c r="R124" s="81">
        <f t="shared" si="4"/>
        <v>324980676915.71088</v>
      </c>
      <c r="S124" s="84"/>
      <c r="T124" s="81" t="e">
        <f t="shared" si="5"/>
        <v>#DIV/0!</v>
      </c>
      <c r="U124" s="81" t="e">
        <f>AVERAGE(T122:T124)</f>
        <v>#DIV/0!</v>
      </c>
      <c r="V124" s="81" t="e">
        <f>_xlfn.STDEV.S(T122:T124)</f>
        <v>#DIV/0!</v>
      </c>
      <c r="W124" s="81">
        <f>MAX(K122:K124)-MIN(K122:K124)</f>
        <v>1.5300000000000011</v>
      </c>
    </row>
    <row r="125" spans="1:23" x14ac:dyDescent="0.4">
      <c r="A125" s="85" t="s">
        <v>303</v>
      </c>
      <c r="B125" s="92" t="s">
        <v>88</v>
      </c>
      <c r="C125" s="100" t="s">
        <v>6</v>
      </c>
      <c r="D125" s="129" t="s">
        <v>485</v>
      </c>
      <c r="E125" s="129" t="s">
        <v>485</v>
      </c>
      <c r="F125" s="129" t="s">
        <v>484</v>
      </c>
      <c r="G125" s="129" t="s">
        <v>485</v>
      </c>
      <c r="H125" s="129" t="s">
        <v>485</v>
      </c>
      <c r="I125" s="112">
        <v>5.8</v>
      </c>
      <c r="J125" s="82" t="s">
        <v>81</v>
      </c>
      <c r="K125" s="84">
        <v>8.08</v>
      </c>
      <c r="L125" s="86">
        <v>668000000</v>
      </c>
      <c r="M125" s="80">
        <v>0.4</v>
      </c>
      <c r="N125" s="81">
        <v>50</v>
      </c>
      <c r="O125">
        <v>40.32</v>
      </c>
      <c r="P125" s="94">
        <v>4.7812183939999997</v>
      </c>
      <c r="Q125" s="81">
        <f t="shared" si="3"/>
        <v>8.4329969219975354</v>
      </c>
      <c r="R125" s="81">
        <f t="shared" si="4"/>
        <v>704155242986.79407</v>
      </c>
      <c r="S125" s="84"/>
      <c r="T125" s="81" t="e">
        <f t="shared" si="5"/>
        <v>#DIV/0!</v>
      </c>
      <c r="U125" s="81"/>
      <c r="V125" s="84"/>
      <c r="W125" s="84"/>
    </row>
    <row r="126" spans="1:23" x14ac:dyDescent="0.4">
      <c r="A126" s="85" t="s">
        <v>304</v>
      </c>
      <c r="B126" s="92" t="s">
        <v>88</v>
      </c>
      <c r="C126" s="100" t="s">
        <v>6</v>
      </c>
      <c r="D126" s="129" t="s">
        <v>485</v>
      </c>
      <c r="E126" s="129" t="s">
        <v>485</v>
      </c>
      <c r="F126" s="129" t="s">
        <v>484</v>
      </c>
      <c r="G126" s="129" t="s">
        <v>485</v>
      </c>
      <c r="H126" s="129" t="s">
        <v>485</v>
      </c>
      <c r="I126" s="112">
        <v>5.8</v>
      </c>
      <c r="J126" s="82" t="s">
        <v>81</v>
      </c>
      <c r="K126" s="84">
        <v>8.58</v>
      </c>
      <c r="L126" s="86">
        <v>479000000</v>
      </c>
      <c r="M126" s="80">
        <v>0.4</v>
      </c>
      <c r="N126" s="81">
        <v>50</v>
      </c>
      <c r="O126">
        <v>40.32</v>
      </c>
      <c r="P126" s="94">
        <v>4.7812183939999997</v>
      </c>
      <c r="Q126" s="81">
        <f t="shared" si="3"/>
        <v>8.4329969219975354</v>
      </c>
      <c r="R126" s="81">
        <f t="shared" si="4"/>
        <v>504925690704.60242</v>
      </c>
      <c r="S126" s="84"/>
      <c r="T126" s="81" t="e">
        <f t="shared" si="5"/>
        <v>#DIV/0!</v>
      </c>
      <c r="U126" s="81"/>
      <c r="V126" s="84"/>
      <c r="W126" s="84"/>
    </row>
    <row r="127" spans="1:23" x14ac:dyDescent="0.4">
      <c r="A127" s="85" t="s">
        <v>305</v>
      </c>
      <c r="B127" s="92" t="s">
        <v>88</v>
      </c>
      <c r="C127" s="100" t="s">
        <v>6</v>
      </c>
      <c r="D127" s="129" t="s">
        <v>485</v>
      </c>
      <c r="E127" s="129" t="s">
        <v>485</v>
      </c>
      <c r="F127" s="129" t="s">
        <v>484</v>
      </c>
      <c r="G127" s="129" t="s">
        <v>485</v>
      </c>
      <c r="H127" s="129" t="s">
        <v>485</v>
      </c>
      <c r="I127" s="112">
        <v>5.8</v>
      </c>
      <c r="J127" s="82" t="s">
        <v>81</v>
      </c>
      <c r="K127" s="84">
        <v>8.7899999999999991</v>
      </c>
      <c r="L127" s="86">
        <v>416000000</v>
      </c>
      <c r="M127" s="80">
        <v>0.4</v>
      </c>
      <c r="N127" s="81">
        <v>50</v>
      </c>
      <c r="O127">
        <v>40.32</v>
      </c>
      <c r="P127" s="94">
        <v>4.7812183939999997</v>
      </c>
      <c r="Q127" s="81">
        <f t="shared" si="3"/>
        <v>8.4329969219975354</v>
      </c>
      <c r="R127" s="81">
        <f t="shared" si="4"/>
        <v>438515839943.87183</v>
      </c>
      <c r="S127" s="84"/>
      <c r="T127" s="81" t="e">
        <f t="shared" si="5"/>
        <v>#DIV/0!</v>
      </c>
      <c r="U127" s="81" t="e">
        <f>AVERAGE(T125:T127)</f>
        <v>#DIV/0!</v>
      </c>
      <c r="V127" s="81" t="e">
        <f>_xlfn.STDEV.S(T125:T127)</f>
        <v>#DIV/0!</v>
      </c>
      <c r="W127" s="81">
        <f>MAX(K125:K127)-MIN(K125:K127)</f>
        <v>0.70999999999999908</v>
      </c>
    </row>
    <row r="128" spans="1:23" x14ac:dyDescent="0.4">
      <c r="A128" s="85" t="s">
        <v>306</v>
      </c>
      <c r="B128" s="92" t="s">
        <v>89</v>
      </c>
      <c r="C128" s="100" t="s">
        <v>7</v>
      </c>
      <c r="D128" s="129" t="s">
        <v>485</v>
      </c>
      <c r="E128" s="129" t="s">
        <v>485</v>
      </c>
      <c r="F128" s="129" t="s">
        <v>485</v>
      </c>
      <c r="G128" s="129" t="s">
        <v>485</v>
      </c>
      <c r="H128" s="129" t="s">
        <v>485</v>
      </c>
      <c r="I128" s="112">
        <v>5.8</v>
      </c>
      <c r="J128" s="82" t="s">
        <v>81</v>
      </c>
      <c r="K128" s="84">
        <v>8.17</v>
      </c>
      <c r="L128" s="86">
        <v>628000000</v>
      </c>
      <c r="M128" s="80">
        <v>0.4</v>
      </c>
      <c r="N128" s="81">
        <v>50</v>
      </c>
      <c r="O128">
        <v>41.26</v>
      </c>
      <c r="P128" s="94">
        <v>5.4128860359999997</v>
      </c>
      <c r="Q128" s="81">
        <f t="shared" si="3"/>
        <v>7.6225510246452934</v>
      </c>
      <c r="R128" s="81">
        <f t="shared" si="4"/>
        <v>598370255434.65552</v>
      </c>
      <c r="S128" s="84"/>
      <c r="T128" s="81" t="e">
        <f t="shared" si="5"/>
        <v>#DIV/0!</v>
      </c>
      <c r="U128" s="81"/>
      <c r="V128" s="84"/>
      <c r="W128" s="84"/>
    </row>
    <row r="129" spans="1:23" x14ac:dyDescent="0.4">
      <c r="A129" s="85" t="s">
        <v>307</v>
      </c>
      <c r="B129" s="92" t="s">
        <v>89</v>
      </c>
      <c r="C129" s="100" t="s">
        <v>7</v>
      </c>
      <c r="D129" s="129" t="s">
        <v>485</v>
      </c>
      <c r="E129" s="129" t="s">
        <v>485</v>
      </c>
      <c r="F129" s="129" t="s">
        <v>485</v>
      </c>
      <c r="G129" s="129" t="s">
        <v>485</v>
      </c>
      <c r="H129" s="129" t="s">
        <v>485</v>
      </c>
      <c r="I129" s="112">
        <v>5.8</v>
      </c>
      <c r="J129" s="82" t="s">
        <v>81</v>
      </c>
      <c r="K129" s="84">
        <v>8.56</v>
      </c>
      <c r="L129" s="86">
        <v>484000000</v>
      </c>
      <c r="M129" s="80">
        <v>0.4</v>
      </c>
      <c r="N129" s="81">
        <v>50</v>
      </c>
      <c r="O129">
        <v>41.26</v>
      </c>
      <c r="P129" s="94">
        <v>5.4128860359999997</v>
      </c>
      <c r="Q129" s="81">
        <f t="shared" si="3"/>
        <v>7.6225510246452934</v>
      </c>
      <c r="R129" s="81">
        <f t="shared" si="4"/>
        <v>461164336991.04022</v>
      </c>
      <c r="S129" s="84"/>
      <c r="T129" s="81" t="e">
        <f t="shared" si="5"/>
        <v>#DIV/0!</v>
      </c>
      <c r="U129" s="81"/>
      <c r="V129" s="84"/>
      <c r="W129" s="84"/>
    </row>
    <row r="130" spans="1:23" x14ac:dyDescent="0.4">
      <c r="A130" s="85" t="s">
        <v>308</v>
      </c>
      <c r="B130" s="92" t="s">
        <v>89</v>
      </c>
      <c r="C130" s="100" t="s">
        <v>7</v>
      </c>
      <c r="D130" s="129" t="s">
        <v>485</v>
      </c>
      <c r="E130" s="129" t="s">
        <v>485</v>
      </c>
      <c r="F130" s="129" t="s">
        <v>485</v>
      </c>
      <c r="G130" s="129" t="s">
        <v>485</v>
      </c>
      <c r="H130" s="129" t="s">
        <v>485</v>
      </c>
      <c r="I130" s="112">
        <v>5.8</v>
      </c>
      <c r="J130" s="82" t="s">
        <v>81</v>
      </c>
      <c r="K130" s="84">
        <v>9.09</v>
      </c>
      <c r="L130" s="86">
        <v>339000000</v>
      </c>
      <c r="M130" s="80">
        <v>0.4</v>
      </c>
      <c r="N130" s="81">
        <v>50</v>
      </c>
      <c r="O130">
        <v>41.26</v>
      </c>
      <c r="P130" s="94">
        <v>5.4128860359999997</v>
      </c>
      <c r="Q130" s="81">
        <f t="shared" si="3"/>
        <v>7.6225510246452934</v>
      </c>
      <c r="R130" s="81">
        <f t="shared" si="4"/>
        <v>323005599669.3443</v>
      </c>
      <c r="S130" s="84"/>
      <c r="T130" s="81" t="e">
        <f t="shared" si="5"/>
        <v>#DIV/0!</v>
      </c>
      <c r="U130" s="81" t="e">
        <f>AVERAGE(T128:T130)</f>
        <v>#DIV/0!</v>
      </c>
      <c r="V130" s="81" t="e">
        <f>_xlfn.STDEV.S(T128:T130)</f>
        <v>#DIV/0!</v>
      </c>
      <c r="W130" s="81">
        <f>MAX(K128:K130)-MIN(K128:K130)</f>
        <v>0.91999999999999993</v>
      </c>
    </row>
    <row r="131" spans="1:23" x14ac:dyDescent="0.4">
      <c r="A131" s="85" t="s">
        <v>309</v>
      </c>
      <c r="B131" s="92" t="s">
        <v>96</v>
      </c>
      <c r="C131" s="100" t="s">
        <v>4</v>
      </c>
      <c r="D131" s="129" t="s">
        <v>485</v>
      </c>
      <c r="E131" s="129" t="s">
        <v>485</v>
      </c>
      <c r="F131" s="129" t="s">
        <v>484</v>
      </c>
      <c r="G131" s="129" t="s">
        <v>485</v>
      </c>
      <c r="H131" s="129" t="s">
        <v>484</v>
      </c>
      <c r="I131" s="112">
        <v>4.8</v>
      </c>
      <c r="J131" s="82" t="s">
        <v>132</v>
      </c>
      <c r="K131" s="84">
        <v>12.94</v>
      </c>
      <c r="L131" s="86">
        <v>26400000</v>
      </c>
      <c r="M131" s="80">
        <v>0.4</v>
      </c>
      <c r="N131" s="81">
        <v>50</v>
      </c>
      <c r="O131">
        <v>3.1</v>
      </c>
      <c r="P131" s="94">
        <v>0.85496507499999996</v>
      </c>
      <c r="Q131" s="81">
        <f t="shared" si="3"/>
        <v>3.6258791038920513</v>
      </c>
      <c r="R131" s="81">
        <f t="shared" si="4"/>
        <v>11965401042.843767</v>
      </c>
      <c r="S131" s="84"/>
      <c r="T131" s="81" t="e">
        <f t="shared" si="5"/>
        <v>#DIV/0!</v>
      </c>
      <c r="U131" s="81"/>
      <c r="V131" s="84"/>
      <c r="W131" s="84"/>
    </row>
    <row r="132" spans="1:23" x14ac:dyDescent="0.4">
      <c r="A132" s="85" t="s">
        <v>310</v>
      </c>
      <c r="B132" s="92" t="s">
        <v>96</v>
      </c>
      <c r="C132" s="100" t="s">
        <v>4</v>
      </c>
      <c r="D132" s="129" t="s">
        <v>485</v>
      </c>
      <c r="E132" s="129" t="s">
        <v>485</v>
      </c>
      <c r="F132" s="129" t="s">
        <v>484</v>
      </c>
      <c r="G132" s="129" t="s">
        <v>485</v>
      </c>
      <c r="H132" s="129" t="s">
        <v>484</v>
      </c>
      <c r="I132" s="112">
        <v>4.8</v>
      </c>
      <c r="J132" s="82" t="s">
        <v>132</v>
      </c>
      <c r="K132" s="84">
        <v>13</v>
      </c>
      <c r="L132" s="86">
        <v>25500000</v>
      </c>
      <c r="M132" s="80">
        <v>0.4</v>
      </c>
      <c r="N132" s="81">
        <v>50</v>
      </c>
      <c r="O132">
        <v>3.1</v>
      </c>
      <c r="P132" s="94">
        <v>0.85496507499999996</v>
      </c>
      <c r="Q132" s="81">
        <f t="shared" si="3"/>
        <v>3.6258791038920513</v>
      </c>
      <c r="R132" s="81">
        <f t="shared" si="4"/>
        <v>11557489643.655912</v>
      </c>
      <c r="S132" s="84"/>
      <c r="T132" s="81" t="e">
        <f t="shared" si="5"/>
        <v>#DIV/0!</v>
      </c>
      <c r="U132" s="81"/>
      <c r="V132" s="84"/>
      <c r="W132" s="84"/>
    </row>
    <row r="133" spans="1:23" x14ac:dyDescent="0.4">
      <c r="A133" s="85" t="s">
        <v>311</v>
      </c>
      <c r="B133" s="92" t="s">
        <v>96</v>
      </c>
      <c r="C133" s="100" t="s">
        <v>4</v>
      </c>
      <c r="D133" s="129" t="s">
        <v>485</v>
      </c>
      <c r="E133" s="129" t="s">
        <v>485</v>
      </c>
      <c r="F133" s="129" t="s">
        <v>484</v>
      </c>
      <c r="G133" s="129" t="s">
        <v>485</v>
      </c>
      <c r="H133" s="129" t="s">
        <v>484</v>
      </c>
      <c r="I133" s="112">
        <v>4.8</v>
      </c>
      <c r="J133" s="82" t="s">
        <v>132</v>
      </c>
      <c r="K133" s="84">
        <v>13.01</v>
      </c>
      <c r="L133" s="86">
        <v>25200000</v>
      </c>
      <c r="M133" s="80">
        <v>0.4</v>
      </c>
      <c r="N133" s="81">
        <v>50</v>
      </c>
      <c r="O133">
        <v>3.1</v>
      </c>
      <c r="P133" s="94">
        <v>0.85496507499999996</v>
      </c>
      <c r="Q133" s="81">
        <f t="shared" si="3"/>
        <v>3.6258791038920513</v>
      </c>
      <c r="R133" s="81">
        <f t="shared" si="4"/>
        <v>11421519177.259962</v>
      </c>
      <c r="S133" s="84"/>
      <c r="T133" s="81" t="e">
        <f t="shared" si="5"/>
        <v>#DIV/0!</v>
      </c>
      <c r="U133" s="81" t="e">
        <f>AVERAGE(T131:T133)</f>
        <v>#DIV/0!</v>
      </c>
      <c r="V133" s="81" t="e">
        <f>_xlfn.STDEV.S(T131:T133)</f>
        <v>#DIV/0!</v>
      </c>
      <c r="W133" s="81">
        <f>MAX(K131:K133)-MIN(K131:K133)</f>
        <v>7.0000000000000284E-2</v>
      </c>
    </row>
    <row r="134" spans="1:23" x14ac:dyDescent="0.4">
      <c r="A134" s="85" t="s">
        <v>312</v>
      </c>
      <c r="B134" s="92" t="s">
        <v>97</v>
      </c>
      <c r="C134" s="100" t="s">
        <v>5</v>
      </c>
      <c r="D134" s="129" t="s">
        <v>485</v>
      </c>
      <c r="E134" s="129" t="s">
        <v>484</v>
      </c>
      <c r="F134" s="129" t="s">
        <v>484</v>
      </c>
      <c r="G134" s="129" t="s">
        <v>485</v>
      </c>
      <c r="H134" s="129" t="s">
        <v>485</v>
      </c>
      <c r="I134" s="112">
        <v>4.8</v>
      </c>
      <c r="J134" s="82" t="s">
        <v>132</v>
      </c>
      <c r="K134" s="84">
        <v>14.45</v>
      </c>
      <c r="L134" s="86">
        <v>9680000</v>
      </c>
      <c r="M134" s="80">
        <v>0.4</v>
      </c>
      <c r="N134" s="81">
        <v>50</v>
      </c>
      <c r="O134">
        <v>0.28000000000000003</v>
      </c>
      <c r="P134" s="94">
        <v>-0.12202898</v>
      </c>
      <c r="Q134" s="81">
        <f t="shared" si="3"/>
        <v>-2.2945369206560611</v>
      </c>
      <c r="R134" s="81">
        <f t="shared" si="4"/>
        <v>-2776389673.9938335</v>
      </c>
      <c r="S134" s="84"/>
      <c r="T134" s="81" t="e">
        <f t="shared" si="5"/>
        <v>#DIV/0!</v>
      </c>
      <c r="U134" s="81"/>
      <c r="V134" s="84"/>
      <c r="W134" s="84"/>
    </row>
    <row r="135" spans="1:23" x14ac:dyDescent="0.4">
      <c r="A135" s="85" t="s">
        <v>313</v>
      </c>
      <c r="B135" s="92" t="s">
        <v>97</v>
      </c>
      <c r="C135" s="100" t="s">
        <v>5</v>
      </c>
      <c r="D135" s="129" t="s">
        <v>485</v>
      </c>
      <c r="E135" s="129" t="s">
        <v>484</v>
      </c>
      <c r="F135" s="129" t="s">
        <v>484</v>
      </c>
      <c r="G135" s="129" t="s">
        <v>485</v>
      </c>
      <c r="H135" s="129" t="s">
        <v>485</v>
      </c>
      <c r="I135" s="112">
        <v>4.8</v>
      </c>
      <c r="J135" s="82" t="s">
        <v>132</v>
      </c>
      <c r="K135" s="84">
        <v>14.49</v>
      </c>
      <c r="L135" s="86">
        <v>9430000</v>
      </c>
      <c r="M135" s="80">
        <v>0.4</v>
      </c>
      <c r="N135" s="81">
        <v>50</v>
      </c>
      <c r="O135">
        <v>0.28000000000000003</v>
      </c>
      <c r="P135" s="94">
        <v>-0.12202898</v>
      </c>
      <c r="Q135" s="81">
        <f t="shared" si="3"/>
        <v>-2.2945369206560611</v>
      </c>
      <c r="R135" s="81">
        <f t="shared" si="4"/>
        <v>-2704685395.2233319</v>
      </c>
      <c r="S135" s="84"/>
      <c r="T135" s="81" t="e">
        <f t="shared" si="5"/>
        <v>#DIV/0!</v>
      </c>
      <c r="U135" s="81"/>
      <c r="V135" s="84"/>
      <c r="W135" s="84"/>
    </row>
    <row r="136" spans="1:23" x14ac:dyDescent="0.4">
      <c r="A136" s="85" t="s">
        <v>314</v>
      </c>
      <c r="B136" s="92" t="s">
        <v>97</v>
      </c>
      <c r="C136" s="100" t="s">
        <v>5</v>
      </c>
      <c r="D136" s="129" t="s">
        <v>485</v>
      </c>
      <c r="E136" s="129" t="s">
        <v>484</v>
      </c>
      <c r="F136" s="129" t="s">
        <v>484</v>
      </c>
      <c r="G136" s="129" t="s">
        <v>485</v>
      </c>
      <c r="H136" s="129" t="s">
        <v>485</v>
      </c>
      <c r="I136" s="112">
        <v>4.8</v>
      </c>
      <c r="J136" s="82" t="s">
        <v>132</v>
      </c>
      <c r="K136" s="84">
        <v>14.56</v>
      </c>
      <c r="L136" s="86">
        <v>8980000</v>
      </c>
      <c r="M136" s="80">
        <v>0.4</v>
      </c>
      <c r="N136" s="81">
        <v>50</v>
      </c>
      <c r="O136">
        <v>0.28000000000000003</v>
      </c>
      <c r="P136" s="94">
        <v>-0.12202898</v>
      </c>
      <c r="Q136" s="81">
        <f t="shared" si="3"/>
        <v>-2.2945369206560611</v>
      </c>
      <c r="R136" s="81">
        <f t="shared" si="4"/>
        <v>-2575617693.4364285</v>
      </c>
      <c r="S136" s="84"/>
      <c r="T136" s="81" t="e">
        <f t="shared" si="5"/>
        <v>#DIV/0!</v>
      </c>
      <c r="U136" s="81" t="e">
        <f>AVERAGE(T134:T136)</f>
        <v>#DIV/0!</v>
      </c>
      <c r="V136" s="81" t="e">
        <f>_xlfn.STDEV.S(T134:T136)</f>
        <v>#DIV/0!</v>
      </c>
      <c r="W136" s="81">
        <f>MAX(K134:K136)-MIN(K134:K136)</f>
        <v>0.11000000000000121</v>
      </c>
    </row>
    <row r="137" spans="1:23" x14ac:dyDescent="0.4">
      <c r="A137" s="85" t="s">
        <v>315</v>
      </c>
      <c r="B137" s="92" t="s">
        <v>98</v>
      </c>
      <c r="C137" s="100" t="s">
        <v>6</v>
      </c>
      <c r="D137" s="129" t="s">
        <v>485</v>
      </c>
      <c r="E137" s="129" t="s">
        <v>485</v>
      </c>
      <c r="F137" s="129" t="s">
        <v>484</v>
      </c>
      <c r="G137" s="129" t="s">
        <v>485</v>
      </c>
      <c r="H137" s="129" t="s">
        <v>485</v>
      </c>
      <c r="I137" s="112">
        <v>4.8</v>
      </c>
      <c r="J137" s="82" t="s">
        <v>132</v>
      </c>
      <c r="K137" s="84">
        <v>14.03</v>
      </c>
      <c r="L137" s="86">
        <v>12800000</v>
      </c>
      <c r="M137" s="80">
        <v>0.4</v>
      </c>
      <c r="N137" s="81">
        <v>50</v>
      </c>
      <c r="O137">
        <v>2.39</v>
      </c>
      <c r="P137" s="94">
        <v>0.61274735000000002</v>
      </c>
      <c r="Q137" s="81">
        <f t="shared" si="3"/>
        <v>3.9004656650085878</v>
      </c>
      <c r="R137" s="81">
        <f t="shared" si="4"/>
        <v>6240745064.0137405</v>
      </c>
      <c r="S137" s="84"/>
      <c r="T137" s="81" t="e">
        <f t="shared" si="5"/>
        <v>#DIV/0!</v>
      </c>
      <c r="U137" s="81"/>
      <c r="V137" s="84"/>
      <c r="W137" s="84"/>
    </row>
    <row r="138" spans="1:23" x14ac:dyDescent="0.4">
      <c r="A138" s="85" t="s">
        <v>316</v>
      </c>
      <c r="B138" s="92" t="s">
        <v>98</v>
      </c>
      <c r="C138" s="100" t="s">
        <v>6</v>
      </c>
      <c r="D138" s="129" t="s">
        <v>485</v>
      </c>
      <c r="E138" s="129" t="s">
        <v>485</v>
      </c>
      <c r="F138" s="129" t="s">
        <v>484</v>
      </c>
      <c r="G138" s="129" t="s">
        <v>485</v>
      </c>
      <c r="H138" s="129" t="s">
        <v>485</v>
      </c>
      <c r="I138" s="112">
        <v>4.8</v>
      </c>
      <c r="J138" s="82" t="s">
        <v>132</v>
      </c>
      <c r="K138" s="84">
        <v>14.1</v>
      </c>
      <c r="L138" s="86">
        <v>12200000</v>
      </c>
      <c r="M138" s="80">
        <v>0.4</v>
      </c>
      <c r="N138" s="81">
        <v>50</v>
      </c>
      <c r="O138">
        <v>2.39</v>
      </c>
      <c r="P138" s="94">
        <v>0.61274735000000002</v>
      </c>
      <c r="Q138" s="81">
        <f t="shared" si="3"/>
        <v>3.9004656650085878</v>
      </c>
      <c r="R138" s="81">
        <f t="shared" si="4"/>
        <v>5948210139.1380959</v>
      </c>
      <c r="S138" s="84"/>
      <c r="T138" s="81" t="e">
        <f t="shared" si="5"/>
        <v>#DIV/0!</v>
      </c>
      <c r="U138" s="81"/>
      <c r="V138" s="84"/>
      <c r="W138" s="84"/>
    </row>
    <row r="139" spans="1:23" x14ac:dyDescent="0.4">
      <c r="A139" s="85" t="s">
        <v>317</v>
      </c>
      <c r="B139" s="92" t="s">
        <v>98</v>
      </c>
      <c r="C139" s="100" t="s">
        <v>6</v>
      </c>
      <c r="D139" s="129" t="s">
        <v>485</v>
      </c>
      <c r="E139" s="129" t="s">
        <v>485</v>
      </c>
      <c r="F139" s="129" t="s">
        <v>484</v>
      </c>
      <c r="G139" s="129" t="s">
        <v>485</v>
      </c>
      <c r="H139" s="129" t="s">
        <v>485</v>
      </c>
      <c r="I139" s="112">
        <v>4.8</v>
      </c>
      <c r="J139" s="82" t="s">
        <v>132</v>
      </c>
      <c r="K139" s="84">
        <v>14.04</v>
      </c>
      <c r="L139" s="86">
        <v>12700000</v>
      </c>
      <c r="M139" s="80">
        <v>0.4</v>
      </c>
      <c r="N139" s="81">
        <v>50</v>
      </c>
      <c r="O139">
        <v>2.39</v>
      </c>
      <c r="P139" s="94">
        <v>0.61274735000000002</v>
      </c>
      <c r="Q139" s="81">
        <f t="shared" ref="Q139:Q202" si="6">O139/P139</f>
        <v>3.9004656650085878</v>
      </c>
      <c r="R139" s="81">
        <f t="shared" ref="R139:R202" si="7">(L139*N139*Q139)/M139</f>
        <v>6191989243.2011328</v>
      </c>
      <c r="S139" s="84"/>
      <c r="T139" s="81" t="e">
        <f t="shared" ref="T139:T202" si="8">R139/S139</f>
        <v>#DIV/0!</v>
      </c>
      <c r="U139" s="81" t="e">
        <f>AVERAGE(T137:T139)</f>
        <v>#DIV/0!</v>
      </c>
      <c r="V139" s="81" t="e">
        <f>_xlfn.STDEV.S(T137:T139)</f>
        <v>#DIV/0!</v>
      </c>
      <c r="W139" s="81">
        <f>MAX(K137:K139)-MIN(K137:K139)</f>
        <v>7.0000000000000284E-2</v>
      </c>
    </row>
    <row r="140" spans="1:23" x14ac:dyDescent="0.4">
      <c r="A140" s="85" t="s">
        <v>318</v>
      </c>
      <c r="B140" s="92" t="s">
        <v>99</v>
      </c>
      <c r="C140" s="100" t="s">
        <v>7</v>
      </c>
      <c r="D140" s="129" t="s">
        <v>485</v>
      </c>
      <c r="E140" s="129" t="s">
        <v>485</v>
      </c>
      <c r="F140" s="129" t="s">
        <v>485</v>
      </c>
      <c r="G140" s="129" t="s">
        <v>485</v>
      </c>
      <c r="H140" s="129" t="s">
        <v>485</v>
      </c>
      <c r="I140" s="112">
        <v>4.8</v>
      </c>
      <c r="J140" s="82" t="s">
        <v>132</v>
      </c>
      <c r="K140" s="84">
        <v>12.72</v>
      </c>
      <c r="L140" s="86">
        <v>30700000</v>
      </c>
      <c r="M140" s="80">
        <v>0.4</v>
      </c>
      <c r="N140" s="81">
        <v>50</v>
      </c>
      <c r="O140">
        <v>1.39</v>
      </c>
      <c r="P140" s="94">
        <v>0.146404383</v>
      </c>
      <c r="Q140" s="81">
        <f t="shared" si="6"/>
        <v>9.4942512752504129</v>
      </c>
      <c r="R140" s="81">
        <f t="shared" si="7"/>
        <v>36434189268.77346</v>
      </c>
      <c r="S140" s="84"/>
      <c r="T140" s="81" t="e">
        <f t="shared" si="8"/>
        <v>#DIV/0!</v>
      </c>
      <c r="U140" s="81"/>
      <c r="V140" s="84"/>
      <c r="W140" s="84"/>
    </row>
    <row r="141" spans="1:23" x14ac:dyDescent="0.4">
      <c r="A141" s="85" t="s">
        <v>319</v>
      </c>
      <c r="B141" s="92" t="s">
        <v>99</v>
      </c>
      <c r="C141" s="100" t="s">
        <v>7</v>
      </c>
      <c r="D141" s="129" t="s">
        <v>485</v>
      </c>
      <c r="E141" s="129" t="s">
        <v>485</v>
      </c>
      <c r="F141" s="129" t="s">
        <v>485</v>
      </c>
      <c r="G141" s="129" t="s">
        <v>485</v>
      </c>
      <c r="H141" s="129" t="s">
        <v>485</v>
      </c>
      <c r="I141" s="112">
        <v>4.8</v>
      </c>
      <c r="J141" s="82" t="s">
        <v>132</v>
      </c>
      <c r="K141" s="84">
        <v>12.99</v>
      </c>
      <c r="L141" s="86">
        <v>25600000</v>
      </c>
      <c r="M141" s="80">
        <v>0.4</v>
      </c>
      <c r="N141" s="81">
        <v>50</v>
      </c>
      <c r="O141">
        <v>1.39</v>
      </c>
      <c r="P141" s="94">
        <v>0.146404383</v>
      </c>
      <c r="Q141" s="81">
        <f t="shared" si="6"/>
        <v>9.4942512752504129</v>
      </c>
      <c r="R141" s="81">
        <f t="shared" si="7"/>
        <v>30381604080.801319</v>
      </c>
      <c r="S141" s="84"/>
      <c r="T141" s="81" t="e">
        <f t="shared" si="8"/>
        <v>#DIV/0!</v>
      </c>
      <c r="U141" s="81"/>
      <c r="V141" s="84"/>
      <c r="W141" s="84"/>
    </row>
    <row r="142" spans="1:23" x14ac:dyDescent="0.4">
      <c r="A142" s="85" t="s">
        <v>320</v>
      </c>
      <c r="B142" s="92" t="s">
        <v>99</v>
      </c>
      <c r="C142" s="100" t="s">
        <v>7</v>
      </c>
      <c r="D142" s="129" t="s">
        <v>485</v>
      </c>
      <c r="E142" s="129" t="s">
        <v>485</v>
      </c>
      <c r="F142" s="129" t="s">
        <v>485</v>
      </c>
      <c r="G142" s="129" t="s">
        <v>485</v>
      </c>
      <c r="H142" s="129" t="s">
        <v>485</v>
      </c>
      <c r="I142" s="112">
        <v>4.8</v>
      </c>
      <c r="J142" s="82" t="s">
        <v>132</v>
      </c>
      <c r="K142" s="84">
        <v>13.53</v>
      </c>
      <c r="L142" s="86">
        <v>17900000</v>
      </c>
      <c r="M142" s="80">
        <v>0.4</v>
      </c>
      <c r="N142" s="81">
        <v>50</v>
      </c>
      <c r="O142">
        <v>1.39</v>
      </c>
      <c r="P142" s="94">
        <v>0.146404383</v>
      </c>
      <c r="Q142" s="81">
        <f t="shared" si="6"/>
        <v>9.4942512752504129</v>
      </c>
      <c r="R142" s="81">
        <f t="shared" si="7"/>
        <v>21243387228.372795</v>
      </c>
      <c r="S142" s="84"/>
      <c r="T142" s="81" t="e">
        <f t="shared" si="8"/>
        <v>#DIV/0!</v>
      </c>
      <c r="U142" s="81" t="e">
        <f>AVERAGE(T140:T142)</f>
        <v>#DIV/0!</v>
      </c>
      <c r="V142" s="81" t="e">
        <f>_xlfn.STDEV.S(T140:T142)</f>
        <v>#DIV/0!</v>
      </c>
      <c r="W142" s="81">
        <f>MAX(K140:K142)-MIN(K140:K142)</f>
        <v>0.80999999999999872</v>
      </c>
    </row>
    <row r="143" spans="1:23" x14ac:dyDescent="0.4">
      <c r="A143" s="85" t="s">
        <v>321</v>
      </c>
      <c r="B143" s="92" t="s">
        <v>106</v>
      </c>
      <c r="C143" s="100" t="s">
        <v>4</v>
      </c>
      <c r="D143" s="129" t="s">
        <v>485</v>
      </c>
      <c r="E143" s="129" t="s">
        <v>485</v>
      </c>
      <c r="F143" s="129" t="s">
        <v>484</v>
      </c>
      <c r="G143" s="129" t="s">
        <v>485</v>
      </c>
      <c r="H143" s="129" t="s">
        <v>484</v>
      </c>
      <c r="I143" s="112">
        <v>5.8</v>
      </c>
      <c r="J143" s="82" t="s">
        <v>132</v>
      </c>
      <c r="K143" s="84"/>
      <c r="L143" s="84"/>
      <c r="M143" s="80">
        <v>0.4</v>
      </c>
      <c r="N143" s="81">
        <v>50</v>
      </c>
      <c r="O143">
        <v>24.45</v>
      </c>
      <c r="P143" s="94">
        <v>7.292473427</v>
      </c>
      <c r="Q143" s="81">
        <f t="shared" si="6"/>
        <v>3.3527719017082953</v>
      </c>
      <c r="R143" s="81">
        <f t="shared" si="7"/>
        <v>0</v>
      </c>
      <c r="S143" s="84"/>
      <c r="T143" s="81" t="e">
        <f t="shared" si="8"/>
        <v>#DIV/0!</v>
      </c>
      <c r="U143" s="81"/>
      <c r="V143" s="84"/>
      <c r="W143" s="84"/>
    </row>
    <row r="144" spans="1:23" x14ac:dyDescent="0.4">
      <c r="A144" s="85" t="s">
        <v>322</v>
      </c>
      <c r="B144" s="92" t="s">
        <v>106</v>
      </c>
      <c r="C144" s="100" t="s">
        <v>4</v>
      </c>
      <c r="D144" s="129" t="s">
        <v>485</v>
      </c>
      <c r="E144" s="129" t="s">
        <v>485</v>
      </c>
      <c r="F144" s="129" t="s">
        <v>484</v>
      </c>
      <c r="G144" s="129" t="s">
        <v>485</v>
      </c>
      <c r="H144" s="129" t="s">
        <v>484</v>
      </c>
      <c r="I144" s="112">
        <v>5.8</v>
      </c>
      <c r="J144" s="82" t="s">
        <v>132</v>
      </c>
      <c r="K144" s="84">
        <v>10.24</v>
      </c>
      <c r="L144" s="86">
        <v>159000000</v>
      </c>
      <c r="M144" s="80">
        <v>0.4</v>
      </c>
      <c r="N144" s="81">
        <v>50</v>
      </c>
      <c r="O144">
        <v>24.45</v>
      </c>
      <c r="P144" s="94">
        <v>7.292473427</v>
      </c>
      <c r="Q144" s="81">
        <f t="shared" si="6"/>
        <v>3.3527719017082953</v>
      </c>
      <c r="R144" s="81">
        <f t="shared" si="7"/>
        <v>66636341546.45237</v>
      </c>
      <c r="S144" s="84"/>
      <c r="T144" s="81" t="e">
        <f t="shared" si="8"/>
        <v>#DIV/0!</v>
      </c>
      <c r="U144" s="81"/>
      <c r="V144" s="84"/>
      <c r="W144" s="84"/>
    </row>
    <row r="145" spans="1:23" x14ac:dyDescent="0.4">
      <c r="A145" s="85" t="s">
        <v>323</v>
      </c>
      <c r="B145" s="92" t="s">
        <v>106</v>
      </c>
      <c r="C145" s="100" t="s">
        <v>4</v>
      </c>
      <c r="D145" s="129" t="s">
        <v>485</v>
      </c>
      <c r="E145" s="129" t="s">
        <v>485</v>
      </c>
      <c r="F145" s="129" t="s">
        <v>484</v>
      </c>
      <c r="G145" s="129" t="s">
        <v>485</v>
      </c>
      <c r="H145" s="129" t="s">
        <v>484</v>
      </c>
      <c r="I145" s="112">
        <v>5.8</v>
      </c>
      <c r="J145" s="82" t="s">
        <v>132</v>
      </c>
      <c r="K145" s="84">
        <v>10.16</v>
      </c>
      <c r="L145" s="86">
        <v>168000000</v>
      </c>
      <c r="M145" s="80">
        <v>0.4</v>
      </c>
      <c r="N145" s="81">
        <v>50</v>
      </c>
      <c r="O145">
        <v>24.45</v>
      </c>
      <c r="P145" s="94">
        <v>7.292473427</v>
      </c>
      <c r="Q145" s="81">
        <f t="shared" si="6"/>
        <v>3.3527719017082953</v>
      </c>
      <c r="R145" s="81">
        <f t="shared" si="7"/>
        <v>70408209935.874207</v>
      </c>
      <c r="S145" s="84"/>
      <c r="T145" s="81" t="e">
        <f t="shared" si="8"/>
        <v>#DIV/0!</v>
      </c>
      <c r="U145" s="81" t="e">
        <f>AVERAGE(T143:T145)</f>
        <v>#DIV/0!</v>
      </c>
      <c r="V145" s="81" t="e">
        <f>_xlfn.STDEV.S(T143:T145)</f>
        <v>#DIV/0!</v>
      </c>
      <c r="W145" s="81">
        <f>MAX(K143:K145)-MIN(K143:K145)</f>
        <v>8.0000000000000071E-2</v>
      </c>
    </row>
    <row r="146" spans="1:23" x14ac:dyDescent="0.4">
      <c r="A146" s="85" t="s">
        <v>324</v>
      </c>
      <c r="B146" s="92" t="s">
        <v>107</v>
      </c>
      <c r="C146" s="100" t="s">
        <v>5</v>
      </c>
      <c r="D146" s="129" t="s">
        <v>485</v>
      </c>
      <c r="E146" s="129" t="s">
        <v>484</v>
      </c>
      <c r="F146" s="129" t="s">
        <v>484</v>
      </c>
      <c r="G146" s="129" t="s">
        <v>485</v>
      </c>
      <c r="H146" s="129" t="s">
        <v>485</v>
      </c>
      <c r="I146" s="112">
        <v>5.8</v>
      </c>
      <c r="J146" s="82" t="s">
        <v>132</v>
      </c>
      <c r="K146" s="84">
        <v>13.25</v>
      </c>
      <c r="L146" s="86">
        <v>21500000</v>
      </c>
      <c r="M146" s="80">
        <v>0.4</v>
      </c>
      <c r="N146" s="81">
        <v>50</v>
      </c>
      <c r="O146">
        <v>3.2</v>
      </c>
      <c r="P146" s="94">
        <v>1.0047819069999999</v>
      </c>
      <c r="Q146" s="81">
        <f t="shared" si="6"/>
        <v>3.1847707225882607</v>
      </c>
      <c r="R146" s="81">
        <f t="shared" si="7"/>
        <v>8559071316.9559498</v>
      </c>
      <c r="S146" s="84"/>
      <c r="T146" s="81" t="e">
        <f t="shared" si="8"/>
        <v>#DIV/0!</v>
      </c>
      <c r="U146" s="81"/>
      <c r="V146" s="84"/>
      <c r="W146" s="84"/>
    </row>
    <row r="147" spans="1:23" x14ac:dyDescent="0.4">
      <c r="A147" s="85" t="s">
        <v>325</v>
      </c>
      <c r="B147" s="92" t="s">
        <v>107</v>
      </c>
      <c r="C147" s="100" t="s">
        <v>5</v>
      </c>
      <c r="D147" s="129" t="s">
        <v>485</v>
      </c>
      <c r="E147" s="129" t="s">
        <v>484</v>
      </c>
      <c r="F147" s="129" t="s">
        <v>484</v>
      </c>
      <c r="G147" s="129" t="s">
        <v>485</v>
      </c>
      <c r="H147" s="129" t="s">
        <v>485</v>
      </c>
      <c r="I147" s="112">
        <v>5.8</v>
      </c>
      <c r="J147" s="82" t="s">
        <v>132</v>
      </c>
      <c r="K147" s="84">
        <v>13.14</v>
      </c>
      <c r="L147" s="86">
        <v>23100000</v>
      </c>
      <c r="M147" s="80">
        <v>0.4</v>
      </c>
      <c r="N147" s="81">
        <v>50</v>
      </c>
      <c r="O147">
        <v>3.2</v>
      </c>
      <c r="P147" s="94">
        <v>1.0047819069999999</v>
      </c>
      <c r="Q147" s="81">
        <f t="shared" si="6"/>
        <v>3.1847707225882607</v>
      </c>
      <c r="R147" s="81">
        <f t="shared" si="7"/>
        <v>9196025461.4736023</v>
      </c>
      <c r="S147" s="84"/>
      <c r="T147" s="81" t="e">
        <f t="shared" si="8"/>
        <v>#DIV/0!</v>
      </c>
      <c r="U147" s="81"/>
      <c r="V147" s="84"/>
      <c r="W147" s="84"/>
    </row>
    <row r="148" spans="1:23" x14ac:dyDescent="0.4">
      <c r="A148" s="85" t="s">
        <v>326</v>
      </c>
      <c r="B148" s="92" t="s">
        <v>107</v>
      </c>
      <c r="C148" s="100" t="s">
        <v>5</v>
      </c>
      <c r="D148" s="129" t="s">
        <v>485</v>
      </c>
      <c r="E148" s="129" t="s">
        <v>484</v>
      </c>
      <c r="F148" s="129" t="s">
        <v>484</v>
      </c>
      <c r="G148" s="129" t="s">
        <v>485</v>
      </c>
      <c r="H148" s="129" t="s">
        <v>485</v>
      </c>
      <c r="I148" s="112">
        <v>5.8</v>
      </c>
      <c r="J148" s="82" t="s">
        <v>132</v>
      </c>
      <c r="K148" s="84">
        <v>13.28</v>
      </c>
      <c r="L148" s="86">
        <v>21100000</v>
      </c>
      <c r="M148" s="80">
        <v>0.4</v>
      </c>
      <c r="N148" s="81">
        <v>50</v>
      </c>
      <c r="O148">
        <v>3.2</v>
      </c>
      <c r="P148" s="94">
        <v>1.0047819069999999</v>
      </c>
      <c r="Q148" s="81">
        <f t="shared" si="6"/>
        <v>3.1847707225882607</v>
      </c>
      <c r="R148" s="81">
        <f t="shared" si="7"/>
        <v>8399832780.8265371</v>
      </c>
      <c r="S148" s="84"/>
      <c r="T148" s="81" t="e">
        <f t="shared" si="8"/>
        <v>#DIV/0!</v>
      </c>
      <c r="U148" s="81" t="e">
        <f>AVERAGE(T146:T148)</f>
        <v>#DIV/0!</v>
      </c>
      <c r="V148" s="81" t="e">
        <f>_xlfn.STDEV.S(T146:T148)</f>
        <v>#DIV/0!</v>
      </c>
      <c r="W148" s="81">
        <f>MAX(K146:K148)-MIN(K146:K148)</f>
        <v>0.13999999999999879</v>
      </c>
    </row>
    <row r="149" spans="1:23" x14ac:dyDescent="0.4">
      <c r="A149" s="85" t="s">
        <v>327</v>
      </c>
      <c r="B149" s="92" t="s">
        <v>108</v>
      </c>
      <c r="C149" s="100" t="s">
        <v>6</v>
      </c>
      <c r="D149" s="129" t="s">
        <v>485</v>
      </c>
      <c r="E149" s="129" t="s">
        <v>485</v>
      </c>
      <c r="F149" s="129" t="s">
        <v>484</v>
      </c>
      <c r="G149" s="129" t="s">
        <v>485</v>
      </c>
      <c r="H149" s="129" t="s">
        <v>485</v>
      </c>
      <c r="I149" s="112">
        <v>5.8</v>
      </c>
      <c r="J149" s="82" t="s">
        <v>132</v>
      </c>
      <c r="K149" s="84">
        <v>13.03</v>
      </c>
      <c r="L149" s="86">
        <v>24900000</v>
      </c>
      <c r="M149" s="80">
        <v>0.4</v>
      </c>
      <c r="N149" s="81">
        <v>50</v>
      </c>
      <c r="O149">
        <v>1.1200000000000001</v>
      </c>
      <c r="P149" s="94">
        <v>1.3449390400000001</v>
      </c>
      <c r="Q149" s="81">
        <f t="shared" si="6"/>
        <v>0.83275149779279223</v>
      </c>
      <c r="R149" s="81">
        <f t="shared" si="7"/>
        <v>2591939036.8800654</v>
      </c>
      <c r="S149" s="84"/>
      <c r="T149" s="81" t="e">
        <f t="shared" si="8"/>
        <v>#DIV/0!</v>
      </c>
      <c r="U149" s="81"/>
      <c r="V149" s="84"/>
      <c r="W149" s="84"/>
    </row>
    <row r="150" spans="1:23" x14ac:dyDescent="0.4">
      <c r="A150" s="85" t="s">
        <v>328</v>
      </c>
      <c r="B150" s="92" t="s">
        <v>108</v>
      </c>
      <c r="C150" s="100" t="s">
        <v>6</v>
      </c>
      <c r="D150" s="129" t="s">
        <v>485</v>
      </c>
      <c r="E150" s="129" t="s">
        <v>485</v>
      </c>
      <c r="F150" s="129" t="s">
        <v>484</v>
      </c>
      <c r="G150" s="129" t="s">
        <v>485</v>
      </c>
      <c r="H150" s="129" t="s">
        <v>485</v>
      </c>
      <c r="I150" s="112">
        <v>5.8</v>
      </c>
      <c r="J150" s="82" t="s">
        <v>132</v>
      </c>
      <c r="K150" s="84">
        <v>13</v>
      </c>
      <c r="L150" s="86">
        <v>25400000</v>
      </c>
      <c r="M150" s="80">
        <v>0.4</v>
      </c>
      <c r="N150" s="81">
        <v>50</v>
      </c>
      <c r="O150">
        <v>1.1200000000000001</v>
      </c>
      <c r="P150" s="94">
        <v>1.3449390400000001</v>
      </c>
      <c r="Q150" s="81">
        <f t="shared" si="6"/>
        <v>0.83275149779279223</v>
      </c>
      <c r="R150" s="81">
        <f t="shared" si="7"/>
        <v>2643986005.492115</v>
      </c>
      <c r="S150" s="84"/>
      <c r="T150" s="81" t="e">
        <f t="shared" si="8"/>
        <v>#DIV/0!</v>
      </c>
      <c r="U150" s="81"/>
      <c r="V150" s="84"/>
      <c r="W150" s="84"/>
    </row>
    <row r="151" spans="1:23" x14ac:dyDescent="0.4">
      <c r="A151" s="85" t="s">
        <v>329</v>
      </c>
      <c r="B151" s="92" t="s">
        <v>108</v>
      </c>
      <c r="C151" s="100" t="s">
        <v>6</v>
      </c>
      <c r="D151" s="129" t="s">
        <v>485</v>
      </c>
      <c r="E151" s="129" t="s">
        <v>485</v>
      </c>
      <c r="F151" s="129" t="s">
        <v>484</v>
      </c>
      <c r="G151" s="129" t="s">
        <v>485</v>
      </c>
      <c r="H151" s="129" t="s">
        <v>485</v>
      </c>
      <c r="I151" s="112">
        <v>5.8</v>
      </c>
      <c r="J151" s="82" t="s">
        <v>132</v>
      </c>
      <c r="K151" s="84">
        <v>13.05</v>
      </c>
      <c r="L151" s="86">
        <v>24600000</v>
      </c>
      <c r="M151" s="80">
        <v>0.4</v>
      </c>
      <c r="N151" s="81">
        <v>50</v>
      </c>
      <c r="O151">
        <v>1.1200000000000001</v>
      </c>
      <c r="P151" s="94">
        <v>1.3449390400000001</v>
      </c>
      <c r="Q151" s="81">
        <f t="shared" si="6"/>
        <v>0.83275149779279223</v>
      </c>
      <c r="R151" s="81">
        <f t="shared" si="7"/>
        <v>2560710855.7128358</v>
      </c>
      <c r="S151" s="84"/>
      <c r="T151" s="81" t="e">
        <f t="shared" si="8"/>
        <v>#DIV/0!</v>
      </c>
      <c r="U151" s="81" t="e">
        <f>AVERAGE(T149:T151)</f>
        <v>#DIV/0!</v>
      </c>
      <c r="V151" s="81" t="e">
        <f>_xlfn.STDEV.S(T149:T151)</f>
        <v>#DIV/0!</v>
      </c>
      <c r="W151" s="81">
        <f>MAX(K149:K151)-MIN(K149:K151)</f>
        <v>5.0000000000000711E-2</v>
      </c>
    </row>
    <row r="152" spans="1:23" x14ac:dyDescent="0.4">
      <c r="A152" s="85" t="s">
        <v>330</v>
      </c>
      <c r="B152" s="92" t="s">
        <v>109</v>
      </c>
      <c r="C152" s="100" t="s">
        <v>7</v>
      </c>
      <c r="D152" s="129" t="s">
        <v>485</v>
      </c>
      <c r="E152" s="129" t="s">
        <v>485</v>
      </c>
      <c r="F152" s="129" t="s">
        <v>485</v>
      </c>
      <c r="G152" s="129" t="s">
        <v>485</v>
      </c>
      <c r="H152" s="129" t="s">
        <v>485</v>
      </c>
      <c r="I152" s="112">
        <v>5.8</v>
      </c>
      <c r="J152" s="82" t="s">
        <v>132</v>
      </c>
      <c r="K152" s="84">
        <v>9.1999999999999993</v>
      </c>
      <c r="L152" s="86">
        <v>317000000</v>
      </c>
      <c r="M152" s="80">
        <v>0.4</v>
      </c>
      <c r="N152" s="81">
        <v>50</v>
      </c>
      <c r="O152">
        <v>13.11</v>
      </c>
      <c r="P152" s="94">
        <v>6.2053552310000004</v>
      </c>
      <c r="Q152" s="81">
        <f t="shared" si="6"/>
        <v>2.1126912983976434</v>
      </c>
      <c r="R152" s="81">
        <f t="shared" si="7"/>
        <v>83715392699.006607</v>
      </c>
      <c r="S152" s="84"/>
      <c r="T152" s="81" t="e">
        <f t="shared" si="8"/>
        <v>#DIV/0!</v>
      </c>
      <c r="U152" s="81"/>
      <c r="V152" s="84"/>
      <c r="W152" s="84"/>
    </row>
    <row r="153" spans="1:23" x14ac:dyDescent="0.4">
      <c r="A153" s="85" t="s">
        <v>331</v>
      </c>
      <c r="B153" s="92" t="s">
        <v>109</v>
      </c>
      <c r="C153" s="100" t="s">
        <v>7</v>
      </c>
      <c r="D153" s="129" t="s">
        <v>485</v>
      </c>
      <c r="E153" s="129" t="s">
        <v>485</v>
      </c>
      <c r="F153" s="129" t="s">
        <v>485</v>
      </c>
      <c r="G153" s="129" t="s">
        <v>485</v>
      </c>
      <c r="H153" s="129" t="s">
        <v>485</v>
      </c>
      <c r="I153" s="112">
        <v>5.8</v>
      </c>
      <c r="J153" s="82" t="s">
        <v>132</v>
      </c>
      <c r="K153" s="84">
        <v>9.27</v>
      </c>
      <c r="L153" s="86">
        <v>302000000</v>
      </c>
      <c r="M153" s="80">
        <v>0.4</v>
      </c>
      <c r="N153" s="81">
        <v>50</v>
      </c>
      <c r="O153">
        <v>13.11</v>
      </c>
      <c r="P153" s="94">
        <v>6.2053552310000004</v>
      </c>
      <c r="Q153" s="81">
        <f t="shared" si="6"/>
        <v>2.1126912983976434</v>
      </c>
      <c r="R153" s="81">
        <f t="shared" si="7"/>
        <v>79754096514.511032</v>
      </c>
      <c r="S153" s="84"/>
      <c r="T153" s="81" t="e">
        <f t="shared" si="8"/>
        <v>#DIV/0!</v>
      </c>
      <c r="U153" s="81"/>
      <c r="V153" s="84"/>
      <c r="W153" s="84"/>
    </row>
    <row r="154" spans="1:23" x14ac:dyDescent="0.4">
      <c r="A154" s="85" t="s">
        <v>332</v>
      </c>
      <c r="B154" s="92" t="s">
        <v>109</v>
      </c>
      <c r="C154" s="100" t="s">
        <v>7</v>
      </c>
      <c r="D154" s="129" t="s">
        <v>485</v>
      </c>
      <c r="E154" s="129" t="s">
        <v>485</v>
      </c>
      <c r="F154" s="129" t="s">
        <v>485</v>
      </c>
      <c r="G154" s="129" t="s">
        <v>485</v>
      </c>
      <c r="H154" s="129" t="s">
        <v>485</v>
      </c>
      <c r="I154" s="112">
        <v>5.8</v>
      </c>
      <c r="J154" s="82" t="s">
        <v>132</v>
      </c>
      <c r="K154" s="84">
        <v>9.73</v>
      </c>
      <c r="L154" s="86">
        <v>222000000</v>
      </c>
      <c r="M154" s="80">
        <v>0.4</v>
      </c>
      <c r="N154" s="81">
        <v>50</v>
      </c>
      <c r="O154">
        <v>13.11</v>
      </c>
      <c r="P154" s="94">
        <v>6.2053552310000004</v>
      </c>
      <c r="Q154" s="81">
        <f t="shared" si="6"/>
        <v>2.1126912983976434</v>
      </c>
      <c r="R154" s="81">
        <f t="shared" si="7"/>
        <v>58627183530.534599</v>
      </c>
      <c r="S154" s="84"/>
      <c r="T154" s="81" t="e">
        <f t="shared" si="8"/>
        <v>#DIV/0!</v>
      </c>
      <c r="U154" s="81" t="e">
        <f>AVERAGE(T152:T154)</f>
        <v>#DIV/0!</v>
      </c>
      <c r="V154" s="81" t="e">
        <f>_xlfn.STDEV.S(T152:T154)</f>
        <v>#DIV/0!</v>
      </c>
      <c r="W154" s="81">
        <f>MAX(K152:K154)-MIN(K152:K154)</f>
        <v>0.53000000000000114</v>
      </c>
    </row>
    <row r="155" spans="1:23" x14ac:dyDescent="0.4">
      <c r="A155" s="85" t="s">
        <v>333</v>
      </c>
      <c r="B155" s="92" t="s">
        <v>116</v>
      </c>
      <c r="C155" s="100" t="s">
        <v>4</v>
      </c>
      <c r="D155" s="129" t="s">
        <v>485</v>
      </c>
      <c r="E155" s="129" t="s">
        <v>485</v>
      </c>
      <c r="F155" s="129" t="s">
        <v>484</v>
      </c>
      <c r="G155" s="129" t="s">
        <v>485</v>
      </c>
      <c r="H155" s="129" t="s">
        <v>484</v>
      </c>
      <c r="I155" s="112">
        <v>4.8</v>
      </c>
      <c r="J155" s="82" t="s">
        <v>133</v>
      </c>
      <c r="K155" s="84">
        <v>9.89</v>
      </c>
      <c r="L155" s="86">
        <v>201000000</v>
      </c>
      <c r="M155" s="80">
        <v>0.4</v>
      </c>
      <c r="N155" s="81">
        <v>50</v>
      </c>
      <c r="O155">
        <v>14.07</v>
      </c>
      <c r="P155" s="94">
        <v>8.6378710420000004</v>
      </c>
      <c r="Q155" s="81">
        <f t="shared" si="6"/>
        <v>1.6288735883630709</v>
      </c>
      <c r="R155" s="81">
        <f t="shared" si="7"/>
        <v>40925448907.622154</v>
      </c>
      <c r="S155" s="84"/>
      <c r="T155" s="81" t="e">
        <f t="shared" si="8"/>
        <v>#DIV/0!</v>
      </c>
      <c r="U155" s="81"/>
      <c r="V155" s="84"/>
      <c r="W155" s="84"/>
    </row>
    <row r="156" spans="1:23" x14ac:dyDescent="0.4">
      <c r="A156" s="85" t="s">
        <v>334</v>
      </c>
      <c r="B156" s="92" t="s">
        <v>116</v>
      </c>
      <c r="C156" s="100" t="s">
        <v>4</v>
      </c>
      <c r="D156" s="129" t="s">
        <v>485</v>
      </c>
      <c r="E156" s="129" t="s">
        <v>485</v>
      </c>
      <c r="F156" s="129" t="s">
        <v>484</v>
      </c>
      <c r="G156" s="129" t="s">
        <v>485</v>
      </c>
      <c r="H156" s="129" t="s">
        <v>484</v>
      </c>
      <c r="I156" s="112">
        <v>4.8</v>
      </c>
      <c r="J156" s="82" t="s">
        <v>133</v>
      </c>
      <c r="K156" s="84">
        <v>9.86</v>
      </c>
      <c r="L156" s="86">
        <v>204000000</v>
      </c>
      <c r="M156" s="80">
        <v>0.4</v>
      </c>
      <c r="N156" s="81">
        <v>50</v>
      </c>
      <c r="O156">
        <v>14.07</v>
      </c>
      <c r="P156" s="94">
        <v>8.6378710420000004</v>
      </c>
      <c r="Q156" s="81">
        <f t="shared" si="6"/>
        <v>1.6288735883630709</v>
      </c>
      <c r="R156" s="81">
        <f t="shared" si="7"/>
        <v>41536276503.258308</v>
      </c>
      <c r="S156" s="84"/>
      <c r="T156" s="81" t="e">
        <f t="shared" si="8"/>
        <v>#DIV/0!</v>
      </c>
      <c r="U156" s="81"/>
      <c r="V156" s="84"/>
      <c r="W156" s="84"/>
    </row>
    <row r="157" spans="1:23" x14ac:dyDescent="0.4">
      <c r="A157" s="85" t="s">
        <v>335</v>
      </c>
      <c r="B157" s="92" t="s">
        <v>116</v>
      </c>
      <c r="C157" s="100" t="s">
        <v>4</v>
      </c>
      <c r="D157" s="129" t="s">
        <v>485</v>
      </c>
      <c r="E157" s="129" t="s">
        <v>485</v>
      </c>
      <c r="F157" s="129" t="s">
        <v>484</v>
      </c>
      <c r="G157" s="129" t="s">
        <v>485</v>
      </c>
      <c r="H157" s="129" t="s">
        <v>484</v>
      </c>
      <c r="I157" s="112">
        <v>4.8</v>
      </c>
      <c r="J157" s="82" t="s">
        <v>133</v>
      </c>
      <c r="K157" s="84">
        <v>9.85</v>
      </c>
      <c r="L157" s="86">
        <v>206000000</v>
      </c>
      <c r="M157" s="80">
        <v>0.4</v>
      </c>
      <c r="N157" s="81">
        <v>50</v>
      </c>
      <c r="O157">
        <v>14.07</v>
      </c>
      <c r="P157" s="94">
        <v>8.6378710420000004</v>
      </c>
      <c r="Q157" s="81">
        <f t="shared" si="6"/>
        <v>1.6288735883630709</v>
      </c>
      <c r="R157" s="81">
        <f t="shared" si="7"/>
        <v>41943494900.349075</v>
      </c>
      <c r="S157" s="84"/>
      <c r="T157" s="81" t="e">
        <f t="shared" si="8"/>
        <v>#DIV/0!</v>
      </c>
      <c r="U157" s="81" t="e">
        <f>AVERAGE(T155:T157)</f>
        <v>#DIV/0!</v>
      </c>
      <c r="V157" s="81" t="e">
        <f>_xlfn.STDEV.S(T155:T157)</f>
        <v>#DIV/0!</v>
      </c>
      <c r="W157" s="81">
        <f>MAX(K155:K157)-MIN(K155:K157)</f>
        <v>4.0000000000000924E-2</v>
      </c>
    </row>
    <row r="158" spans="1:23" x14ac:dyDescent="0.4">
      <c r="A158" s="85" t="s">
        <v>336</v>
      </c>
      <c r="B158" s="92" t="s">
        <v>117</v>
      </c>
      <c r="C158" s="100" t="s">
        <v>5</v>
      </c>
      <c r="D158" s="129" t="s">
        <v>485</v>
      </c>
      <c r="E158" s="129" t="s">
        <v>484</v>
      </c>
      <c r="F158" s="129" t="s">
        <v>484</v>
      </c>
      <c r="G158" s="129" t="s">
        <v>485</v>
      </c>
      <c r="H158" s="129" t="s">
        <v>485</v>
      </c>
      <c r="I158" s="112">
        <v>4.8</v>
      </c>
      <c r="J158" s="82" t="s">
        <v>133</v>
      </c>
      <c r="K158" s="84">
        <v>9.76</v>
      </c>
      <c r="L158" s="86">
        <v>218000000</v>
      </c>
      <c r="M158" s="80">
        <v>0.4</v>
      </c>
      <c r="N158" s="81">
        <v>50</v>
      </c>
      <c r="O158">
        <v>5.82</v>
      </c>
      <c r="P158" s="94">
        <v>8.8012572359999997</v>
      </c>
      <c r="Q158" s="81">
        <f t="shared" si="6"/>
        <v>0.66126916234129718</v>
      </c>
      <c r="R158" s="81">
        <f t="shared" si="7"/>
        <v>18019584673.800346</v>
      </c>
      <c r="S158" s="84"/>
      <c r="T158" s="81" t="e">
        <f t="shared" si="8"/>
        <v>#DIV/0!</v>
      </c>
      <c r="U158" s="81"/>
      <c r="V158" s="84"/>
      <c r="W158" s="84"/>
    </row>
    <row r="159" spans="1:23" x14ac:dyDescent="0.4">
      <c r="A159" s="85" t="s">
        <v>337</v>
      </c>
      <c r="B159" s="92" t="s">
        <v>117</v>
      </c>
      <c r="C159" s="100" t="s">
        <v>5</v>
      </c>
      <c r="D159" s="129" t="s">
        <v>485</v>
      </c>
      <c r="E159" s="129" t="s">
        <v>484</v>
      </c>
      <c r="F159" s="129" t="s">
        <v>484</v>
      </c>
      <c r="G159" s="129" t="s">
        <v>485</v>
      </c>
      <c r="H159" s="129" t="s">
        <v>485</v>
      </c>
      <c r="I159" s="112">
        <v>4.8</v>
      </c>
      <c r="J159" s="82" t="s">
        <v>133</v>
      </c>
      <c r="K159" s="84">
        <v>9.8000000000000007</v>
      </c>
      <c r="L159" s="86">
        <v>213000000</v>
      </c>
      <c r="M159" s="80">
        <v>0.4</v>
      </c>
      <c r="N159" s="81">
        <v>50</v>
      </c>
      <c r="O159">
        <v>5.82</v>
      </c>
      <c r="P159" s="94">
        <v>8.8012572359999997</v>
      </c>
      <c r="Q159" s="81">
        <f t="shared" si="6"/>
        <v>0.66126916234129718</v>
      </c>
      <c r="R159" s="81">
        <f t="shared" si="7"/>
        <v>17606291447.337036</v>
      </c>
      <c r="S159" s="84"/>
      <c r="T159" s="81" t="e">
        <f t="shared" si="8"/>
        <v>#DIV/0!</v>
      </c>
      <c r="U159" s="81"/>
      <c r="V159" s="84"/>
      <c r="W159" s="84"/>
    </row>
    <row r="160" spans="1:23" x14ac:dyDescent="0.4">
      <c r="A160" s="85" t="s">
        <v>338</v>
      </c>
      <c r="B160" s="92" t="s">
        <v>117</v>
      </c>
      <c r="C160" s="100" t="s">
        <v>5</v>
      </c>
      <c r="D160" s="129" t="s">
        <v>485</v>
      </c>
      <c r="E160" s="129" t="s">
        <v>484</v>
      </c>
      <c r="F160" s="129" t="s">
        <v>484</v>
      </c>
      <c r="G160" s="129" t="s">
        <v>485</v>
      </c>
      <c r="H160" s="129" t="s">
        <v>485</v>
      </c>
      <c r="I160" s="112">
        <v>4.8</v>
      </c>
      <c r="J160" s="82" t="s">
        <v>133</v>
      </c>
      <c r="K160" s="84">
        <v>9.74</v>
      </c>
      <c r="L160" s="86">
        <v>222000000</v>
      </c>
      <c r="M160" s="80">
        <v>0.4</v>
      </c>
      <c r="N160" s="81">
        <v>50</v>
      </c>
      <c r="O160">
        <v>5.82</v>
      </c>
      <c r="P160" s="94">
        <v>8.8012572359999997</v>
      </c>
      <c r="Q160" s="81">
        <f t="shared" si="6"/>
        <v>0.66126916234129718</v>
      </c>
      <c r="R160" s="81">
        <f t="shared" si="7"/>
        <v>18350219254.970997</v>
      </c>
      <c r="S160" s="84"/>
      <c r="T160" s="81" t="e">
        <f t="shared" si="8"/>
        <v>#DIV/0!</v>
      </c>
      <c r="U160" s="81" t="e">
        <f>AVERAGE(T158:T160)</f>
        <v>#DIV/0!</v>
      </c>
      <c r="V160" s="81" t="e">
        <f>_xlfn.STDEV.S(T158:T160)</f>
        <v>#DIV/0!</v>
      </c>
      <c r="W160" s="81">
        <f>MAX(K158:K160)-MIN(K158:K160)</f>
        <v>6.0000000000000497E-2</v>
      </c>
    </row>
    <row r="161" spans="1:23" x14ac:dyDescent="0.4">
      <c r="A161" s="85" t="s">
        <v>339</v>
      </c>
      <c r="B161" s="92" t="s">
        <v>118</v>
      </c>
      <c r="C161" s="100" t="s">
        <v>6</v>
      </c>
      <c r="D161" s="129" t="s">
        <v>485</v>
      </c>
      <c r="E161" s="129" t="s">
        <v>485</v>
      </c>
      <c r="F161" s="129" t="s">
        <v>484</v>
      </c>
      <c r="G161" s="129" t="s">
        <v>485</v>
      </c>
      <c r="H161" s="129" t="s">
        <v>485</v>
      </c>
      <c r="I161" s="112">
        <v>4.8</v>
      </c>
      <c r="J161" s="82" t="s">
        <v>133</v>
      </c>
      <c r="K161" s="84">
        <v>9.57</v>
      </c>
      <c r="L161" s="86">
        <v>248000000</v>
      </c>
      <c r="M161" s="80">
        <v>0.4</v>
      </c>
      <c r="N161" s="81">
        <v>50</v>
      </c>
      <c r="O161">
        <v>26.22</v>
      </c>
      <c r="P161" s="94">
        <v>7.5380142609999998</v>
      </c>
      <c r="Q161" s="81">
        <f t="shared" si="6"/>
        <v>3.4783696464540292</v>
      </c>
      <c r="R161" s="81">
        <f t="shared" si="7"/>
        <v>107829459040.07489</v>
      </c>
      <c r="S161" s="84"/>
      <c r="T161" s="81" t="e">
        <f t="shared" si="8"/>
        <v>#DIV/0!</v>
      </c>
      <c r="U161" s="81"/>
      <c r="V161" s="84"/>
      <c r="W161" s="84"/>
    </row>
    <row r="162" spans="1:23" x14ac:dyDescent="0.4">
      <c r="A162" s="85" t="s">
        <v>340</v>
      </c>
      <c r="B162" s="92" t="s">
        <v>118</v>
      </c>
      <c r="C162" s="100" t="s">
        <v>6</v>
      </c>
      <c r="D162" s="129" t="s">
        <v>485</v>
      </c>
      <c r="E162" s="129" t="s">
        <v>485</v>
      </c>
      <c r="F162" s="129" t="s">
        <v>484</v>
      </c>
      <c r="G162" s="129" t="s">
        <v>485</v>
      </c>
      <c r="H162" s="129" t="s">
        <v>485</v>
      </c>
      <c r="I162" s="112">
        <v>4.8</v>
      </c>
      <c r="J162" s="82" t="s">
        <v>133</v>
      </c>
      <c r="K162" s="84">
        <v>9.56</v>
      </c>
      <c r="L162" s="86">
        <v>249000000</v>
      </c>
      <c r="M162" s="80">
        <v>0.4</v>
      </c>
      <c r="N162" s="81">
        <v>50</v>
      </c>
      <c r="O162">
        <v>26.22</v>
      </c>
      <c r="P162" s="94">
        <v>7.5380142609999998</v>
      </c>
      <c r="Q162" s="81">
        <f t="shared" si="6"/>
        <v>3.4783696464540292</v>
      </c>
      <c r="R162" s="81">
        <f t="shared" si="7"/>
        <v>108264255245.88165</v>
      </c>
      <c r="S162" s="84"/>
      <c r="T162" s="81" t="e">
        <f t="shared" si="8"/>
        <v>#DIV/0!</v>
      </c>
      <c r="U162" s="81"/>
      <c r="V162" s="84"/>
      <c r="W162" s="84"/>
    </row>
    <row r="163" spans="1:23" x14ac:dyDescent="0.4">
      <c r="A163" s="85" t="s">
        <v>341</v>
      </c>
      <c r="B163" s="92" t="s">
        <v>118</v>
      </c>
      <c r="C163" s="100" t="s">
        <v>6</v>
      </c>
      <c r="D163" s="129" t="s">
        <v>485</v>
      </c>
      <c r="E163" s="129" t="s">
        <v>485</v>
      </c>
      <c r="F163" s="129" t="s">
        <v>484</v>
      </c>
      <c r="G163" s="129" t="s">
        <v>485</v>
      </c>
      <c r="H163" s="129" t="s">
        <v>485</v>
      </c>
      <c r="I163" s="112">
        <v>4.8</v>
      </c>
      <c r="J163" s="82" t="s">
        <v>133</v>
      </c>
      <c r="K163" s="84">
        <v>9.91</v>
      </c>
      <c r="L163" s="86">
        <v>197000000</v>
      </c>
      <c r="M163" s="80">
        <v>0.4</v>
      </c>
      <c r="N163" s="81">
        <v>50</v>
      </c>
      <c r="O163">
        <v>26.22</v>
      </c>
      <c r="P163" s="94">
        <v>7.5380142609999998</v>
      </c>
      <c r="Q163" s="81">
        <f t="shared" si="6"/>
        <v>3.4783696464540292</v>
      </c>
      <c r="R163" s="81">
        <f t="shared" si="7"/>
        <v>85654852543.930466</v>
      </c>
      <c r="S163" s="84"/>
      <c r="T163" s="81" t="e">
        <f t="shared" si="8"/>
        <v>#DIV/0!</v>
      </c>
      <c r="U163" s="81" t="e">
        <f>AVERAGE(T161:T163)</f>
        <v>#DIV/0!</v>
      </c>
      <c r="V163" s="81" t="e">
        <f>_xlfn.STDEV.S(T161:T163)</f>
        <v>#DIV/0!</v>
      </c>
      <c r="W163" s="81">
        <f>MAX(K161:K163)-MIN(K161:K163)</f>
        <v>0.34999999999999964</v>
      </c>
    </row>
    <row r="164" spans="1:23" x14ac:dyDescent="0.4">
      <c r="A164" s="85" t="s">
        <v>342</v>
      </c>
      <c r="B164" s="92" t="s">
        <v>119</v>
      </c>
      <c r="C164" s="100" t="s">
        <v>7</v>
      </c>
      <c r="D164" s="129" t="s">
        <v>485</v>
      </c>
      <c r="E164" s="129" t="s">
        <v>485</v>
      </c>
      <c r="F164" s="129" t="s">
        <v>485</v>
      </c>
      <c r="G164" s="129" t="s">
        <v>485</v>
      </c>
      <c r="H164" s="129" t="s">
        <v>485</v>
      </c>
      <c r="I164" s="112">
        <v>4.8</v>
      </c>
      <c r="J164" s="82" t="s">
        <v>133</v>
      </c>
      <c r="K164" s="84">
        <v>9.18</v>
      </c>
      <c r="L164" s="86">
        <v>321000000</v>
      </c>
      <c r="M164" s="80">
        <v>0.4</v>
      </c>
      <c r="N164" s="81">
        <v>50</v>
      </c>
      <c r="O164">
        <v>27.24</v>
      </c>
      <c r="P164" s="94">
        <v>6.8811463760000002</v>
      </c>
      <c r="Q164" s="81">
        <f t="shared" si="6"/>
        <v>3.9586427190398714</v>
      </c>
      <c r="R164" s="81">
        <f t="shared" si="7"/>
        <v>158840539101.47482</v>
      </c>
      <c r="S164" s="84"/>
      <c r="T164" s="81" t="e">
        <f t="shared" si="8"/>
        <v>#DIV/0!</v>
      </c>
      <c r="U164" s="81"/>
      <c r="V164" s="84"/>
      <c r="W164" s="84"/>
    </row>
    <row r="165" spans="1:23" x14ac:dyDescent="0.4">
      <c r="A165" s="85" t="s">
        <v>343</v>
      </c>
      <c r="B165" s="92" t="s">
        <v>119</v>
      </c>
      <c r="C165" s="100" t="s">
        <v>7</v>
      </c>
      <c r="D165" s="129" t="s">
        <v>485</v>
      </c>
      <c r="E165" s="129" t="s">
        <v>485</v>
      </c>
      <c r="F165" s="129" t="s">
        <v>485</v>
      </c>
      <c r="G165" s="129" t="s">
        <v>485</v>
      </c>
      <c r="H165" s="129" t="s">
        <v>485</v>
      </c>
      <c r="I165" s="112">
        <v>4.8</v>
      </c>
      <c r="J165" s="82" t="s">
        <v>133</v>
      </c>
      <c r="K165" s="84">
        <v>8.9499999999999993</v>
      </c>
      <c r="L165" s="86">
        <v>374000000</v>
      </c>
      <c r="M165" s="80">
        <v>0.4</v>
      </c>
      <c r="N165" s="81">
        <v>50</v>
      </c>
      <c r="O165">
        <v>27.24</v>
      </c>
      <c r="P165" s="94">
        <v>6.8811463760000002</v>
      </c>
      <c r="Q165" s="81">
        <f t="shared" si="6"/>
        <v>3.9586427190398714</v>
      </c>
      <c r="R165" s="81">
        <f t="shared" si="7"/>
        <v>185066547115.11398</v>
      </c>
      <c r="S165" s="84"/>
      <c r="T165" s="81" t="e">
        <f t="shared" si="8"/>
        <v>#DIV/0!</v>
      </c>
      <c r="U165" s="81"/>
      <c r="V165" s="84"/>
      <c r="W165" s="84"/>
    </row>
    <row r="166" spans="1:23" x14ac:dyDescent="0.4">
      <c r="A166" s="85" t="s">
        <v>344</v>
      </c>
      <c r="B166" s="92" t="s">
        <v>119</v>
      </c>
      <c r="C166" s="100" t="s">
        <v>7</v>
      </c>
      <c r="D166" s="129" t="s">
        <v>485</v>
      </c>
      <c r="E166" s="129" t="s">
        <v>485</v>
      </c>
      <c r="F166" s="129" t="s">
        <v>485</v>
      </c>
      <c r="G166" s="129" t="s">
        <v>485</v>
      </c>
      <c r="H166" s="129" t="s">
        <v>485</v>
      </c>
      <c r="I166" s="112">
        <v>4.8</v>
      </c>
      <c r="J166" s="82" t="s">
        <v>133</v>
      </c>
      <c r="K166" s="84">
        <v>9.52</v>
      </c>
      <c r="L166" s="86">
        <v>256000000</v>
      </c>
      <c r="M166" s="80">
        <v>0.4</v>
      </c>
      <c r="N166" s="81">
        <v>50</v>
      </c>
      <c r="O166">
        <v>27.24</v>
      </c>
      <c r="P166" s="94">
        <v>6.8811463760000002</v>
      </c>
      <c r="Q166" s="81">
        <f t="shared" si="6"/>
        <v>3.9586427190398714</v>
      </c>
      <c r="R166" s="81">
        <f t="shared" si="7"/>
        <v>126676567009.27589</v>
      </c>
      <c r="S166" s="84"/>
      <c r="T166" s="81" t="e">
        <f t="shared" si="8"/>
        <v>#DIV/0!</v>
      </c>
      <c r="U166" s="81" t="e">
        <f>AVERAGE(T164:T166)</f>
        <v>#DIV/0!</v>
      </c>
      <c r="V166" s="81" t="e">
        <f>_xlfn.STDEV.S(T164:T166)</f>
        <v>#DIV/0!</v>
      </c>
      <c r="W166" s="81">
        <f>MAX(K164:K166)-MIN(K164:K166)</f>
        <v>0.57000000000000028</v>
      </c>
    </row>
    <row r="167" spans="1:23" x14ac:dyDescent="0.4">
      <c r="A167" s="85" t="s">
        <v>345</v>
      </c>
      <c r="B167" s="92" t="s">
        <v>126</v>
      </c>
      <c r="C167" s="100" t="s">
        <v>4</v>
      </c>
      <c r="D167" s="129" t="s">
        <v>485</v>
      </c>
      <c r="E167" s="129" t="s">
        <v>485</v>
      </c>
      <c r="F167" s="129" t="s">
        <v>484</v>
      </c>
      <c r="G167" s="129" t="s">
        <v>485</v>
      </c>
      <c r="H167" s="129" t="s">
        <v>484</v>
      </c>
      <c r="I167" s="112">
        <v>5.8</v>
      </c>
      <c r="J167" s="82" t="s">
        <v>133</v>
      </c>
      <c r="K167" s="84">
        <v>8.93</v>
      </c>
      <c r="L167" s="86">
        <v>379000000</v>
      </c>
      <c r="M167" s="80">
        <v>0.4</v>
      </c>
      <c r="N167" s="81">
        <v>50</v>
      </c>
      <c r="O167">
        <v>54.4</v>
      </c>
      <c r="P167" s="94">
        <v>8.1022966360000002</v>
      </c>
      <c r="Q167" s="81">
        <f t="shared" si="6"/>
        <v>6.714145685346887</v>
      </c>
      <c r="R167" s="81">
        <f t="shared" si="7"/>
        <v>318082651843.30878</v>
      </c>
      <c r="S167" s="84"/>
      <c r="T167" s="81" t="e">
        <f t="shared" si="8"/>
        <v>#DIV/0!</v>
      </c>
      <c r="U167" s="81"/>
      <c r="V167" s="84"/>
      <c r="W167" s="84"/>
    </row>
    <row r="168" spans="1:23" x14ac:dyDescent="0.4">
      <c r="A168" s="85" t="s">
        <v>346</v>
      </c>
      <c r="B168" s="92" t="s">
        <v>126</v>
      </c>
      <c r="C168" s="100" t="s">
        <v>4</v>
      </c>
      <c r="D168" s="129" t="s">
        <v>485</v>
      </c>
      <c r="E168" s="129" t="s">
        <v>485</v>
      </c>
      <c r="F168" s="129" t="s">
        <v>484</v>
      </c>
      <c r="G168" s="129" t="s">
        <v>485</v>
      </c>
      <c r="H168" s="129" t="s">
        <v>484</v>
      </c>
      <c r="I168" s="112">
        <v>5.8</v>
      </c>
      <c r="J168" s="82" t="s">
        <v>133</v>
      </c>
      <c r="K168" s="84">
        <v>8.81</v>
      </c>
      <c r="L168" s="86">
        <v>410000000</v>
      </c>
      <c r="M168" s="80">
        <v>0.4</v>
      </c>
      <c r="N168" s="81">
        <v>50</v>
      </c>
      <c r="O168">
        <v>54.4</v>
      </c>
      <c r="P168" s="94">
        <v>8.1022966360000002</v>
      </c>
      <c r="Q168" s="81">
        <f t="shared" si="6"/>
        <v>6.714145685346887</v>
      </c>
      <c r="R168" s="81">
        <f t="shared" si="7"/>
        <v>344099966374.02789</v>
      </c>
      <c r="S168" s="84"/>
      <c r="T168" s="81" t="e">
        <f t="shared" si="8"/>
        <v>#DIV/0!</v>
      </c>
      <c r="U168" s="81"/>
      <c r="V168" s="84"/>
      <c r="W168" s="84"/>
    </row>
    <row r="169" spans="1:23" x14ac:dyDescent="0.4">
      <c r="A169" s="85" t="s">
        <v>347</v>
      </c>
      <c r="B169" s="92" t="s">
        <v>126</v>
      </c>
      <c r="C169" s="100" t="s">
        <v>4</v>
      </c>
      <c r="D169" s="129" t="s">
        <v>485</v>
      </c>
      <c r="E169" s="129" t="s">
        <v>485</v>
      </c>
      <c r="F169" s="129" t="s">
        <v>484</v>
      </c>
      <c r="G169" s="129" t="s">
        <v>485</v>
      </c>
      <c r="H169" s="129" t="s">
        <v>484</v>
      </c>
      <c r="I169" s="112">
        <v>5.8</v>
      </c>
      <c r="J169" s="82" t="s">
        <v>133</v>
      </c>
      <c r="K169" s="84">
        <v>8.44</v>
      </c>
      <c r="L169" s="86">
        <v>523000000</v>
      </c>
      <c r="M169" s="80">
        <v>0.4</v>
      </c>
      <c r="N169" s="81">
        <v>50</v>
      </c>
      <c r="O169">
        <v>54.4</v>
      </c>
      <c r="P169" s="94">
        <v>8.1022966360000002</v>
      </c>
      <c r="Q169" s="81">
        <f t="shared" si="6"/>
        <v>6.714145685346887</v>
      </c>
      <c r="R169" s="81">
        <f t="shared" si="7"/>
        <v>438937274179.55273</v>
      </c>
      <c r="S169" s="84"/>
      <c r="T169" s="81" t="e">
        <f t="shared" si="8"/>
        <v>#DIV/0!</v>
      </c>
      <c r="U169" s="81" t="e">
        <f>AVERAGE(T167:T169)</f>
        <v>#DIV/0!</v>
      </c>
      <c r="V169" s="81" t="e">
        <f>_xlfn.STDEV.S(T167:T169)</f>
        <v>#DIV/0!</v>
      </c>
      <c r="W169" s="81">
        <f>MAX(K167:K169)-MIN(K167:K169)</f>
        <v>0.49000000000000021</v>
      </c>
    </row>
    <row r="170" spans="1:23" x14ac:dyDescent="0.4">
      <c r="A170" s="85" t="s">
        <v>348</v>
      </c>
      <c r="B170" s="92" t="s">
        <v>127</v>
      </c>
      <c r="C170" s="100" t="s">
        <v>5</v>
      </c>
      <c r="D170" s="129" t="s">
        <v>485</v>
      </c>
      <c r="E170" s="129" t="s">
        <v>484</v>
      </c>
      <c r="F170" s="129" t="s">
        <v>484</v>
      </c>
      <c r="G170" s="129" t="s">
        <v>485</v>
      </c>
      <c r="H170" s="129" t="s">
        <v>485</v>
      </c>
      <c r="I170" s="112">
        <v>5.8</v>
      </c>
      <c r="J170" s="82" t="s">
        <v>133</v>
      </c>
      <c r="K170" s="84">
        <v>9.34</v>
      </c>
      <c r="L170" s="86">
        <v>288000000</v>
      </c>
      <c r="M170" s="80">
        <v>0.4</v>
      </c>
      <c r="N170" s="81">
        <v>50</v>
      </c>
      <c r="O170">
        <v>37.869999999999997</v>
      </c>
      <c r="P170" s="94">
        <v>7.7065697359999996</v>
      </c>
      <c r="Q170" s="81">
        <f t="shared" si="6"/>
        <v>4.913989141381073</v>
      </c>
      <c r="R170" s="81">
        <f t="shared" si="7"/>
        <v>176903609089.71863</v>
      </c>
      <c r="S170" s="84"/>
      <c r="T170" s="81" t="e">
        <f t="shared" si="8"/>
        <v>#DIV/0!</v>
      </c>
      <c r="U170" s="81"/>
      <c r="V170" s="84"/>
      <c r="W170" s="84"/>
    </row>
    <row r="171" spans="1:23" x14ac:dyDescent="0.4">
      <c r="A171" s="85" t="s">
        <v>349</v>
      </c>
      <c r="B171" s="92" t="s">
        <v>127</v>
      </c>
      <c r="C171" s="100" t="s">
        <v>5</v>
      </c>
      <c r="D171" s="129" t="s">
        <v>485</v>
      </c>
      <c r="E171" s="129" t="s">
        <v>484</v>
      </c>
      <c r="F171" s="129" t="s">
        <v>484</v>
      </c>
      <c r="G171" s="129" t="s">
        <v>485</v>
      </c>
      <c r="H171" s="129" t="s">
        <v>485</v>
      </c>
      <c r="I171" s="112">
        <v>5.8</v>
      </c>
      <c r="J171" s="82" t="s">
        <v>133</v>
      </c>
      <c r="K171" s="84">
        <v>9.0299999999999994</v>
      </c>
      <c r="L171" s="86">
        <v>354000000</v>
      </c>
      <c r="M171" s="80">
        <v>0.4</v>
      </c>
      <c r="N171" s="81">
        <v>50</v>
      </c>
      <c r="O171">
        <v>37.869999999999997</v>
      </c>
      <c r="P171" s="94">
        <v>7.7065697359999996</v>
      </c>
      <c r="Q171" s="81">
        <f t="shared" si="6"/>
        <v>4.913989141381073</v>
      </c>
      <c r="R171" s="81">
        <f t="shared" si="7"/>
        <v>217444019506.11246</v>
      </c>
      <c r="S171" s="84"/>
      <c r="T171" s="81" t="e">
        <f t="shared" si="8"/>
        <v>#DIV/0!</v>
      </c>
      <c r="U171" s="81"/>
      <c r="V171" s="84"/>
      <c r="W171" s="84"/>
    </row>
    <row r="172" spans="1:23" x14ac:dyDescent="0.4">
      <c r="A172" s="85" t="s">
        <v>350</v>
      </c>
      <c r="B172" s="92" t="s">
        <v>127</v>
      </c>
      <c r="C172" s="100" t="s">
        <v>5</v>
      </c>
      <c r="D172" s="129" t="s">
        <v>485</v>
      </c>
      <c r="E172" s="129" t="s">
        <v>484</v>
      </c>
      <c r="F172" s="129" t="s">
        <v>484</v>
      </c>
      <c r="G172" s="129" t="s">
        <v>485</v>
      </c>
      <c r="H172" s="129" t="s">
        <v>485</v>
      </c>
      <c r="I172" s="112">
        <v>5.8</v>
      </c>
      <c r="J172" s="82" t="s">
        <v>133</v>
      </c>
      <c r="K172" s="84">
        <v>8.9700000000000006</v>
      </c>
      <c r="L172" s="86">
        <v>370000000</v>
      </c>
      <c r="M172" s="80">
        <v>0.4</v>
      </c>
      <c r="N172" s="81">
        <v>50</v>
      </c>
      <c r="O172">
        <v>37.869999999999997</v>
      </c>
      <c r="P172" s="94">
        <v>7.7065697359999996</v>
      </c>
      <c r="Q172" s="81">
        <f t="shared" si="6"/>
        <v>4.913989141381073</v>
      </c>
      <c r="R172" s="81">
        <f t="shared" si="7"/>
        <v>227271997788.8746</v>
      </c>
      <c r="S172" s="84"/>
      <c r="T172" s="81" t="e">
        <f t="shared" si="8"/>
        <v>#DIV/0!</v>
      </c>
      <c r="U172" s="81" t="e">
        <f>AVERAGE(T170:T172)</f>
        <v>#DIV/0!</v>
      </c>
      <c r="V172" s="81" t="e">
        <f>_xlfn.STDEV.S(T170:T172)</f>
        <v>#DIV/0!</v>
      </c>
      <c r="W172" s="81">
        <f>MAX(K170:K172)-MIN(K170:K172)</f>
        <v>0.36999999999999922</v>
      </c>
    </row>
    <row r="173" spans="1:23" x14ac:dyDescent="0.4">
      <c r="A173" s="85" t="s">
        <v>351</v>
      </c>
      <c r="B173" s="92" t="s">
        <v>128</v>
      </c>
      <c r="C173" s="100" t="s">
        <v>6</v>
      </c>
      <c r="D173" s="129" t="s">
        <v>485</v>
      </c>
      <c r="E173" s="129" t="s">
        <v>485</v>
      </c>
      <c r="F173" s="129" t="s">
        <v>484</v>
      </c>
      <c r="G173" s="129" t="s">
        <v>485</v>
      </c>
      <c r="H173" s="129" t="s">
        <v>485</v>
      </c>
      <c r="I173" s="112">
        <v>5.8</v>
      </c>
      <c r="J173" s="82" t="s">
        <v>133</v>
      </c>
      <c r="K173" s="84">
        <v>8.89</v>
      </c>
      <c r="L173" s="86">
        <v>388000000</v>
      </c>
      <c r="M173" s="80">
        <v>0.4</v>
      </c>
      <c r="N173" s="81">
        <v>50</v>
      </c>
      <c r="O173">
        <v>33.76</v>
      </c>
      <c r="P173" s="94">
        <v>6.602282143</v>
      </c>
      <c r="Q173" s="81">
        <f t="shared" si="6"/>
        <v>5.113383413308636</v>
      </c>
      <c r="R173" s="81">
        <f t="shared" si="7"/>
        <v>247999095545.46884</v>
      </c>
      <c r="S173" s="84"/>
      <c r="T173" s="81" t="e">
        <f t="shared" si="8"/>
        <v>#DIV/0!</v>
      </c>
      <c r="U173" s="81"/>
      <c r="V173" s="84"/>
      <c r="W173" s="84"/>
    </row>
    <row r="174" spans="1:23" x14ac:dyDescent="0.4">
      <c r="A174" s="85" t="s">
        <v>352</v>
      </c>
      <c r="B174" s="92" t="s">
        <v>128</v>
      </c>
      <c r="C174" s="100" t="s">
        <v>6</v>
      </c>
      <c r="D174" s="129" t="s">
        <v>485</v>
      </c>
      <c r="E174" s="129" t="s">
        <v>485</v>
      </c>
      <c r="F174" s="129" t="s">
        <v>484</v>
      </c>
      <c r="G174" s="129" t="s">
        <v>485</v>
      </c>
      <c r="H174" s="129" t="s">
        <v>485</v>
      </c>
      <c r="I174" s="112">
        <v>5.8</v>
      </c>
      <c r="J174" s="82" t="s">
        <v>133</v>
      </c>
      <c r="K174" s="84">
        <v>8.6199999999999992</v>
      </c>
      <c r="L174" s="86">
        <v>465000000</v>
      </c>
      <c r="M174" s="80">
        <v>0.4</v>
      </c>
      <c r="N174" s="81">
        <v>50</v>
      </c>
      <c r="O174">
        <v>33.76</v>
      </c>
      <c r="P174" s="94">
        <v>6.602282143</v>
      </c>
      <c r="Q174" s="81">
        <f t="shared" si="6"/>
        <v>5.113383413308636</v>
      </c>
      <c r="R174" s="81">
        <f t="shared" si="7"/>
        <v>297215410898.56445</v>
      </c>
      <c r="S174" s="84"/>
      <c r="T174" s="81" t="e">
        <f t="shared" si="8"/>
        <v>#DIV/0!</v>
      </c>
      <c r="U174" s="81"/>
      <c r="V174" s="84"/>
      <c r="W174" s="84"/>
    </row>
    <row r="175" spans="1:23" x14ac:dyDescent="0.4">
      <c r="A175" s="85" t="s">
        <v>353</v>
      </c>
      <c r="B175" s="92" t="s">
        <v>128</v>
      </c>
      <c r="C175" s="100" t="s">
        <v>6</v>
      </c>
      <c r="D175" s="129" t="s">
        <v>485</v>
      </c>
      <c r="E175" s="129" t="s">
        <v>485</v>
      </c>
      <c r="F175" s="129" t="s">
        <v>484</v>
      </c>
      <c r="G175" s="129" t="s">
        <v>485</v>
      </c>
      <c r="H175" s="129" t="s">
        <v>485</v>
      </c>
      <c r="I175" s="112">
        <v>5.8</v>
      </c>
      <c r="J175" s="82" t="s">
        <v>133</v>
      </c>
      <c r="K175" s="84">
        <v>9.8000000000000007</v>
      </c>
      <c r="L175" s="86">
        <v>213000000</v>
      </c>
      <c r="M175" s="80">
        <v>0.4</v>
      </c>
      <c r="N175" s="81">
        <v>50</v>
      </c>
      <c r="O175">
        <v>33.76</v>
      </c>
      <c r="P175" s="94">
        <v>6.602282143</v>
      </c>
      <c r="Q175" s="81">
        <f t="shared" si="6"/>
        <v>5.113383413308636</v>
      </c>
      <c r="R175" s="81">
        <f t="shared" si="7"/>
        <v>136143833379.34244</v>
      </c>
      <c r="S175" s="84"/>
      <c r="T175" s="81" t="e">
        <f t="shared" si="8"/>
        <v>#DIV/0!</v>
      </c>
      <c r="U175" s="81" t="e">
        <f>AVERAGE(T173:T175)</f>
        <v>#DIV/0!</v>
      </c>
      <c r="V175" s="81" t="e">
        <f>_xlfn.STDEV.S(T173:T175)</f>
        <v>#DIV/0!</v>
      </c>
      <c r="W175" s="81">
        <f>MAX(K173:K175)-MIN(K173:K175)</f>
        <v>1.1800000000000015</v>
      </c>
    </row>
    <row r="176" spans="1:23" x14ac:dyDescent="0.4">
      <c r="A176" s="85" t="s">
        <v>354</v>
      </c>
      <c r="B176" s="92" t="s">
        <v>129</v>
      </c>
      <c r="C176" s="100" t="s">
        <v>7</v>
      </c>
      <c r="D176" s="129" t="s">
        <v>485</v>
      </c>
      <c r="E176" s="129" t="s">
        <v>485</v>
      </c>
      <c r="F176" s="129" t="s">
        <v>485</v>
      </c>
      <c r="G176" s="129" t="s">
        <v>485</v>
      </c>
      <c r="H176" s="129" t="s">
        <v>485</v>
      </c>
      <c r="I176" s="112">
        <v>5.8</v>
      </c>
      <c r="J176" s="82" t="s">
        <v>133</v>
      </c>
      <c r="K176" s="84">
        <v>9.11</v>
      </c>
      <c r="L176" s="86">
        <v>335000000</v>
      </c>
      <c r="M176" s="80">
        <v>0.4</v>
      </c>
      <c r="N176" s="81">
        <v>50</v>
      </c>
      <c r="O176">
        <v>18.75</v>
      </c>
      <c r="P176" s="94">
        <v>7.148379727</v>
      </c>
      <c r="Q176" s="81">
        <f t="shared" si="6"/>
        <v>2.6229720182854521</v>
      </c>
      <c r="R176" s="81">
        <f t="shared" si="7"/>
        <v>109836953265.70331</v>
      </c>
      <c r="S176" s="84"/>
      <c r="T176" s="81" t="e">
        <f t="shared" si="8"/>
        <v>#DIV/0!</v>
      </c>
      <c r="U176" s="81"/>
      <c r="V176" s="84"/>
      <c r="W176" s="84"/>
    </row>
    <row r="177" spans="1:23" x14ac:dyDescent="0.4">
      <c r="A177" s="85" t="s">
        <v>355</v>
      </c>
      <c r="B177" s="92" t="s">
        <v>129</v>
      </c>
      <c r="C177" s="100" t="s">
        <v>7</v>
      </c>
      <c r="D177" s="129" t="s">
        <v>485</v>
      </c>
      <c r="E177" s="129" t="s">
        <v>485</v>
      </c>
      <c r="F177" s="129" t="s">
        <v>485</v>
      </c>
      <c r="G177" s="129" t="s">
        <v>485</v>
      </c>
      <c r="H177" s="129" t="s">
        <v>485</v>
      </c>
      <c r="I177" s="112">
        <v>5.8</v>
      </c>
      <c r="J177" s="82" t="s">
        <v>133</v>
      </c>
      <c r="K177" s="84">
        <v>8.9700000000000006</v>
      </c>
      <c r="L177" s="86">
        <v>368000000</v>
      </c>
      <c r="M177" s="80">
        <v>0.4</v>
      </c>
      <c r="N177" s="81">
        <v>50</v>
      </c>
      <c r="O177">
        <v>18.75</v>
      </c>
      <c r="P177" s="94">
        <v>7.148379727</v>
      </c>
      <c r="Q177" s="81">
        <f t="shared" si="6"/>
        <v>2.6229720182854521</v>
      </c>
      <c r="R177" s="81">
        <f t="shared" si="7"/>
        <v>120656712841.13078</v>
      </c>
      <c r="S177" s="84"/>
      <c r="T177" s="81" t="e">
        <f t="shared" si="8"/>
        <v>#DIV/0!</v>
      </c>
      <c r="U177" s="81"/>
      <c r="V177" s="84"/>
      <c r="W177" s="84"/>
    </row>
    <row r="178" spans="1:23" x14ac:dyDescent="0.4">
      <c r="A178" s="85" t="s">
        <v>356</v>
      </c>
      <c r="B178" s="92" t="s">
        <v>129</v>
      </c>
      <c r="C178" s="100" t="s">
        <v>7</v>
      </c>
      <c r="D178" s="129" t="s">
        <v>485</v>
      </c>
      <c r="E178" s="129" t="s">
        <v>485</v>
      </c>
      <c r="F178" s="129" t="s">
        <v>485</v>
      </c>
      <c r="G178" s="129" t="s">
        <v>485</v>
      </c>
      <c r="H178" s="129" t="s">
        <v>485</v>
      </c>
      <c r="I178" s="112">
        <v>5.8</v>
      </c>
      <c r="J178" s="82" t="s">
        <v>133</v>
      </c>
      <c r="K178" s="84">
        <v>9.15</v>
      </c>
      <c r="L178" s="86">
        <v>328000000</v>
      </c>
      <c r="M178" s="80">
        <v>0.4</v>
      </c>
      <c r="N178" s="81">
        <v>50</v>
      </c>
      <c r="O178">
        <v>18.75</v>
      </c>
      <c r="P178" s="94">
        <v>7.148379727</v>
      </c>
      <c r="Q178" s="81">
        <f t="shared" si="6"/>
        <v>2.6229720182854521</v>
      </c>
      <c r="R178" s="81">
        <f t="shared" si="7"/>
        <v>107541852749.70354</v>
      </c>
      <c r="S178" s="84"/>
      <c r="T178" s="81" t="e">
        <f t="shared" si="8"/>
        <v>#DIV/0!</v>
      </c>
      <c r="U178" s="81" t="e">
        <f>AVERAGE(T176:T178)</f>
        <v>#DIV/0!</v>
      </c>
      <c r="V178" s="81" t="e">
        <f>_xlfn.STDEV.S(T176:T178)</f>
        <v>#DIV/0!</v>
      </c>
      <c r="W178" s="81">
        <f>MAX(K176:K178)-MIN(K176:K178)</f>
        <v>0.17999999999999972</v>
      </c>
    </row>
    <row r="179" spans="1:23" x14ac:dyDescent="0.4">
      <c r="A179" s="85" t="s">
        <v>357</v>
      </c>
      <c r="B179" s="92" t="s">
        <v>136</v>
      </c>
      <c r="C179" s="130" t="s">
        <v>480</v>
      </c>
      <c r="D179" s="131"/>
      <c r="E179" s="129"/>
      <c r="F179" s="131"/>
      <c r="G179" s="131"/>
      <c r="H179" s="131"/>
      <c r="I179" s="111" t="s">
        <v>480</v>
      </c>
      <c r="J179" s="82" t="s">
        <v>133</v>
      </c>
      <c r="K179" s="84">
        <v>12.18</v>
      </c>
      <c r="L179" s="86">
        <v>43900000</v>
      </c>
      <c r="M179" s="80">
        <v>0.4</v>
      </c>
      <c r="N179" s="81">
        <v>50</v>
      </c>
      <c r="O179">
        <v>52.24</v>
      </c>
      <c r="P179" s="94">
        <v>6.6045898579999998</v>
      </c>
      <c r="Q179" s="81">
        <f t="shared" si="6"/>
        <v>7.909650882669542</v>
      </c>
      <c r="R179" s="81">
        <f t="shared" si="7"/>
        <v>43404209218.649109</v>
      </c>
      <c r="S179" s="84"/>
      <c r="T179" s="81" t="e">
        <f t="shared" si="8"/>
        <v>#DIV/0!</v>
      </c>
      <c r="U179" s="81"/>
      <c r="V179" s="84"/>
      <c r="W179" s="84"/>
    </row>
    <row r="180" spans="1:23" x14ac:dyDescent="0.4">
      <c r="A180" s="85" t="s">
        <v>358</v>
      </c>
      <c r="B180" s="92" t="s">
        <v>136</v>
      </c>
      <c r="C180" s="130" t="s">
        <v>480</v>
      </c>
      <c r="D180" s="131"/>
      <c r="E180" s="131"/>
      <c r="F180" s="131"/>
      <c r="G180" s="131"/>
      <c r="H180" s="131"/>
      <c r="I180" s="111" t="s">
        <v>480</v>
      </c>
      <c r="J180" s="82" t="s">
        <v>133</v>
      </c>
      <c r="K180" s="84">
        <v>11.96</v>
      </c>
      <c r="L180" s="86">
        <v>50600000</v>
      </c>
      <c r="M180" s="80">
        <v>0.4</v>
      </c>
      <c r="N180" s="81">
        <v>50</v>
      </c>
      <c r="O180">
        <v>52.24</v>
      </c>
      <c r="P180" s="94">
        <v>6.6045898579999998</v>
      </c>
      <c r="Q180" s="81">
        <f t="shared" si="6"/>
        <v>7.909650882669542</v>
      </c>
      <c r="R180" s="81">
        <f t="shared" si="7"/>
        <v>50028541832.88485</v>
      </c>
      <c r="S180" s="84"/>
      <c r="T180" s="81" t="e">
        <f t="shared" si="8"/>
        <v>#DIV/0!</v>
      </c>
      <c r="U180" s="81"/>
      <c r="V180" s="84"/>
      <c r="W180" s="84"/>
    </row>
    <row r="181" spans="1:23" x14ac:dyDescent="0.4">
      <c r="A181" s="85" t="s">
        <v>359</v>
      </c>
      <c r="B181" s="92" t="s">
        <v>136</v>
      </c>
      <c r="C181" s="130" t="s">
        <v>480</v>
      </c>
      <c r="D181" s="131"/>
      <c r="E181" s="131"/>
      <c r="F181" s="131"/>
      <c r="G181" s="131"/>
      <c r="H181" s="131"/>
      <c r="I181" s="111" t="s">
        <v>480</v>
      </c>
      <c r="J181" s="82" t="s">
        <v>133</v>
      </c>
      <c r="K181" s="84">
        <v>9.07</v>
      </c>
      <c r="L181" s="86">
        <v>344000000</v>
      </c>
      <c r="M181" s="80">
        <v>0.4</v>
      </c>
      <c r="N181" s="81">
        <v>50</v>
      </c>
      <c r="O181">
        <v>52.24</v>
      </c>
      <c r="P181" s="94">
        <v>6.6045898579999998</v>
      </c>
      <c r="Q181" s="81">
        <f t="shared" si="6"/>
        <v>7.909650882669542</v>
      </c>
      <c r="R181" s="81">
        <f t="shared" si="7"/>
        <v>340114987954.79028</v>
      </c>
      <c r="S181" s="84"/>
      <c r="T181" s="81" t="e">
        <f t="shared" si="8"/>
        <v>#DIV/0!</v>
      </c>
      <c r="U181" s="81" t="e">
        <f>AVERAGE(T179:T181)</f>
        <v>#DIV/0!</v>
      </c>
      <c r="V181" s="81" t="e">
        <f>_xlfn.STDEV.S(T179:T181)</f>
        <v>#DIV/0!</v>
      </c>
      <c r="W181" s="81">
        <f>MAX(K179:K181)-MIN(K179:K181)</f>
        <v>3.1099999999999994</v>
      </c>
    </row>
    <row r="182" spans="1:23" x14ac:dyDescent="0.4">
      <c r="A182" s="85" t="s">
        <v>360</v>
      </c>
      <c r="B182" s="92" t="s">
        <v>136</v>
      </c>
      <c r="C182" s="130" t="s">
        <v>480</v>
      </c>
      <c r="D182" s="131"/>
      <c r="E182" s="131"/>
      <c r="F182" s="131"/>
      <c r="G182" s="131"/>
      <c r="H182" s="131"/>
      <c r="I182" s="111" t="s">
        <v>480</v>
      </c>
      <c r="J182" s="82" t="s">
        <v>133</v>
      </c>
      <c r="K182" s="84">
        <v>9.8000000000000007</v>
      </c>
      <c r="L182" s="86">
        <v>213000000</v>
      </c>
      <c r="M182" s="80">
        <v>0.4</v>
      </c>
      <c r="N182" s="81">
        <v>50</v>
      </c>
      <c r="O182">
        <v>43.38</v>
      </c>
      <c r="P182" s="94">
        <v>5.7012580530000001</v>
      </c>
      <c r="Q182" s="81">
        <f t="shared" si="6"/>
        <v>7.6088469591678036</v>
      </c>
      <c r="R182" s="81">
        <f t="shared" si="7"/>
        <v>202585550287.84277</v>
      </c>
      <c r="S182" s="84"/>
      <c r="T182" s="81" t="e">
        <f t="shared" si="8"/>
        <v>#DIV/0!</v>
      </c>
      <c r="U182" s="81"/>
      <c r="V182" s="84"/>
      <c r="W182" s="84"/>
    </row>
    <row r="183" spans="1:23" x14ac:dyDescent="0.4">
      <c r="A183" s="85" t="s">
        <v>361</v>
      </c>
      <c r="B183" s="92" t="s">
        <v>136</v>
      </c>
      <c r="C183" s="130" t="s">
        <v>480</v>
      </c>
      <c r="D183" s="131"/>
      <c r="E183" s="131"/>
      <c r="F183" s="131"/>
      <c r="G183" s="131"/>
      <c r="H183" s="131"/>
      <c r="I183" s="111" t="s">
        <v>480</v>
      </c>
      <c r="J183" s="82" t="s">
        <v>133</v>
      </c>
      <c r="K183" s="84">
        <v>8.2200000000000006</v>
      </c>
      <c r="L183" s="86">
        <v>607000000</v>
      </c>
      <c r="M183" s="80">
        <v>0.4</v>
      </c>
      <c r="N183" s="81">
        <v>50</v>
      </c>
      <c r="O183">
        <v>43.38</v>
      </c>
      <c r="P183" s="94">
        <v>5.7012580530000001</v>
      </c>
      <c r="Q183" s="81">
        <f t="shared" si="6"/>
        <v>7.6088469591678036</v>
      </c>
      <c r="R183" s="81">
        <f t="shared" si="7"/>
        <v>577321263026.85706</v>
      </c>
      <c r="S183" s="84"/>
      <c r="T183" s="81" t="e">
        <f t="shared" si="8"/>
        <v>#DIV/0!</v>
      </c>
      <c r="U183" s="81"/>
      <c r="V183" s="84"/>
      <c r="W183" s="84"/>
    </row>
    <row r="184" spans="1:23" x14ac:dyDescent="0.4">
      <c r="A184" s="85" t="s">
        <v>362</v>
      </c>
      <c r="B184" s="92" t="s">
        <v>136</v>
      </c>
      <c r="C184" s="130" t="s">
        <v>480</v>
      </c>
      <c r="D184" s="131"/>
      <c r="E184" s="131"/>
      <c r="F184" s="131"/>
      <c r="G184" s="131"/>
      <c r="H184" s="131"/>
      <c r="I184" s="111" t="s">
        <v>480</v>
      </c>
      <c r="J184" s="82" t="s">
        <v>133</v>
      </c>
      <c r="K184" s="84">
        <v>8.68</v>
      </c>
      <c r="L184" s="86">
        <v>446000000</v>
      </c>
      <c r="M184" s="80">
        <v>0.4</v>
      </c>
      <c r="N184" s="81">
        <v>50</v>
      </c>
      <c r="O184">
        <v>43.38</v>
      </c>
      <c r="P184" s="94">
        <v>5.7012580530000001</v>
      </c>
      <c r="Q184" s="81">
        <f t="shared" si="6"/>
        <v>7.6088469591678036</v>
      </c>
      <c r="R184" s="81">
        <f t="shared" si="7"/>
        <v>424193217973.60504</v>
      </c>
      <c r="S184" s="84"/>
      <c r="T184" s="81" t="e">
        <f t="shared" si="8"/>
        <v>#DIV/0!</v>
      </c>
      <c r="U184" s="81" t="e">
        <f>AVERAGE(T182:T184)</f>
        <v>#DIV/0!</v>
      </c>
      <c r="V184" s="81" t="e">
        <f>_xlfn.STDEV.S(T182:T184)</f>
        <v>#DIV/0!</v>
      </c>
      <c r="W184" s="81">
        <f>MAX(K182:K184)-MIN(K182:K184)</f>
        <v>1.58</v>
      </c>
    </row>
    <row r="185" spans="1:23" x14ac:dyDescent="0.4">
      <c r="A185" s="85" t="s">
        <v>363</v>
      </c>
      <c r="B185" s="92" t="s">
        <v>137</v>
      </c>
      <c r="C185" s="130" t="s">
        <v>182</v>
      </c>
      <c r="D185" s="131"/>
      <c r="E185" s="131"/>
      <c r="F185" s="131"/>
      <c r="G185" s="131"/>
      <c r="H185" s="131"/>
      <c r="I185" s="112"/>
      <c r="J185" s="82"/>
      <c r="K185" s="84">
        <v>22.79</v>
      </c>
      <c r="L185" s="86">
        <v>38000</v>
      </c>
      <c r="M185" s="80">
        <v>0.4</v>
      </c>
      <c r="N185" s="81">
        <v>50</v>
      </c>
      <c r="O185">
        <v>-0.88</v>
      </c>
      <c r="P185" s="94">
        <v>-0.25910722800000002</v>
      </c>
      <c r="Q185" s="81">
        <f t="shared" si="6"/>
        <v>3.3962773126498806</v>
      </c>
      <c r="R185" s="81">
        <f t="shared" si="7"/>
        <v>16132317.235086933</v>
      </c>
      <c r="S185" s="84"/>
      <c r="T185" s="81" t="e">
        <f t="shared" si="8"/>
        <v>#DIV/0!</v>
      </c>
      <c r="U185" s="81"/>
      <c r="V185" s="84"/>
      <c r="W185" s="84"/>
    </row>
    <row r="186" spans="1:23" x14ac:dyDescent="0.4">
      <c r="A186" s="85" t="s">
        <v>364</v>
      </c>
      <c r="B186" s="92" t="s">
        <v>137</v>
      </c>
      <c r="C186" s="130" t="s">
        <v>182</v>
      </c>
      <c r="D186" s="131"/>
      <c r="E186" s="131"/>
      <c r="F186" s="131"/>
      <c r="G186" s="131"/>
      <c r="H186" s="131"/>
      <c r="I186" s="112"/>
      <c r="J186" s="82"/>
      <c r="K186" s="84">
        <v>22.85</v>
      </c>
      <c r="L186" s="86">
        <v>36700</v>
      </c>
      <c r="M186" s="80">
        <v>0.4</v>
      </c>
      <c r="N186" s="81">
        <v>50</v>
      </c>
      <c r="O186">
        <v>-0.88</v>
      </c>
      <c r="P186" s="94">
        <v>-0.25910722800000002</v>
      </c>
      <c r="Q186" s="81">
        <f t="shared" si="6"/>
        <v>3.3962773126498806</v>
      </c>
      <c r="R186" s="81">
        <f t="shared" si="7"/>
        <v>15580422.171781328</v>
      </c>
      <c r="S186" s="84"/>
      <c r="T186" s="81" t="e">
        <f t="shared" si="8"/>
        <v>#DIV/0!</v>
      </c>
      <c r="U186" s="81"/>
      <c r="V186" s="84"/>
      <c r="W186" s="84"/>
    </row>
    <row r="187" spans="1:23" x14ac:dyDescent="0.4">
      <c r="A187" s="85" t="s">
        <v>365</v>
      </c>
      <c r="B187" s="92" t="s">
        <v>137</v>
      </c>
      <c r="C187" s="130" t="s">
        <v>182</v>
      </c>
      <c r="D187" s="131"/>
      <c r="E187" s="131"/>
      <c r="F187" s="131"/>
      <c r="G187" s="131"/>
      <c r="H187" s="131"/>
      <c r="I187" s="112"/>
      <c r="J187" s="82"/>
      <c r="K187" s="84">
        <v>22.85</v>
      </c>
      <c r="L187" s="86">
        <v>36700</v>
      </c>
      <c r="M187" s="80">
        <v>0.4</v>
      </c>
      <c r="N187" s="81">
        <v>50</v>
      </c>
      <c r="O187">
        <v>-0.88</v>
      </c>
      <c r="P187" s="94">
        <v>-0.25910722800000002</v>
      </c>
      <c r="Q187" s="81">
        <f t="shared" si="6"/>
        <v>3.3962773126498806</v>
      </c>
      <c r="R187" s="81">
        <f t="shared" si="7"/>
        <v>15580422.171781328</v>
      </c>
      <c r="S187" s="84"/>
      <c r="T187" s="81" t="e">
        <f t="shared" si="8"/>
        <v>#DIV/0!</v>
      </c>
      <c r="U187" s="81" t="e">
        <f>AVERAGE(T185:T187)</f>
        <v>#DIV/0!</v>
      </c>
      <c r="V187" s="81" t="e">
        <f>_xlfn.STDEV.S(T185:T187)</f>
        <v>#DIV/0!</v>
      </c>
      <c r="W187" s="81">
        <f>MAX(K185:K187)-MIN(K185:K187)</f>
        <v>6.0000000000002274E-2</v>
      </c>
    </row>
    <row r="188" spans="1:23" x14ac:dyDescent="0.4">
      <c r="A188" s="85" t="s">
        <v>366</v>
      </c>
      <c r="B188" s="92" t="s">
        <v>137</v>
      </c>
      <c r="C188" s="130" t="s">
        <v>182</v>
      </c>
      <c r="D188" s="131"/>
      <c r="E188" s="131"/>
      <c r="F188" s="131"/>
      <c r="G188" s="131"/>
      <c r="H188" s="131"/>
      <c r="I188" s="112"/>
      <c r="J188" s="82"/>
      <c r="K188" s="84">
        <v>22.31</v>
      </c>
      <c r="L188" s="86">
        <v>52500</v>
      </c>
      <c r="M188" s="80">
        <v>0.4</v>
      </c>
      <c r="N188" s="81">
        <v>50</v>
      </c>
      <c r="O188">
        <v>-0.92</v>
      </c>
      <c r="P188" s="94">
        <v>-0.25523026700000001</v>
      </c>
      <c r="Q188" s="81">
        <f t="shared" si="6"/>
        <v>3.604588165869842</v>
      </c>
      <c r="R188" s="81">
        <f t="shared" si="7"/>
        <v>23655109.838520836</v>
      </c>
      <c r="S188" s="84"/>
      <c r="T188" s="81" t="e">
        <f t="shared" si="8"/>
        <v>#DIV/0!</v>
      </c>
      <c r="U188" s="81"/>
      <c r="V188" s="84"/>
      <c r="W188" s="84"/>
    </row>
    <row r="189" spans="1:23" x14ac:dyDescent="0.4">
      <c r="A189" s="85" t="s">
        <v>367</v>
      </c>
      <c r="B189" s="92" t="s">
        <v>137</v>
      </c>
      <c r="C189" s="130" t="s">
        <v>182</v>
      </c>
      <c r="D189" s="131"/>
      <c r="E189" s="131"/>
      <c r="F189" s="131"/>
      <c r="G189" s="131"/>
      <c r="H189" s="131"/>
      <c r="I189" s="112"/>
      <c r="J189" s="82"/>
      <c r="K189" s="84">
        <v>22.43</v>
      </c>
      <c r="L189" s="86">
        <v>48600</v>
      </c>
      <c r="M189" s="80">
        <v>0.4</v>
      </c>
      <c r="N189" s="81">
        <v>50</v>
      </c>
      <c r="O189">
        <v>-0.92</v>
      </c>
      <c r="P189" s="94">
        <v>-0.25523026700000001</v>
      </c>
      <c r="Q189" s="81">
        <f t="shared" si="6"/>
        <v>3.604588165869842</v>
      </c>
      <c r="R189" s="81">
        <f t="shared" si="7"/>
        <v>21897873.107659288</v>
      </c>
      <c r="S189" s="84"/>
      <c r="T189" s="81" t="e">
        <f t="shared" si="8"/>
        <v>#DIV/0!</v>
      </c>
      <c r="U189" s="81"/>
      <c r="V189" s="84"/>
      <c r="W189" s="84"/>
    </row>
    <row r="190" spans="1:23" x14ac:dyDescent="0.4">
      <c r="A190" s="85" t="s">
        <v>368</v>
      </c>
      <c r="B190" s="92" t="s">
        <v>137</v>
      </c>
      <c r="C190" s="130" t="s">
        <v>182</v>
      </c>
      <c r="D190" s="131"/>
      <c r="E190" s="131"/>
      <c r="F190" s="131"/>
      <c r="G190" s="131"/>
      <c r="H190" s="131"/>
      <c r="I190" s="112"/>
      <c r="J190" s="82"/>
      <c r="K190" s="84">
        <v>22.22</v>
      </c>
      <c r="L190" s="86">
        <v>55600</v>
      </c>
      <c r="M190" s="80">
        <v>0.4</v>
      </c>
      <c r="N190" s="81">
        <v>50</v>
      </c>
      <c r="O190">
        <v>-0.92</v>
      </c>
      <c r="P190" s="94">
        <v>-0.25523026700000001</v>
      </c>
      <c r="Q190" s="81">
        <f t="shared" si="6"/>
        <v>3.604588165869842</v>
      </c>
      <c r="R190" s="81">
        <f t="shared" si="7"/>
        <v>25051887.752795398</v>
      </c>
      <c r="S190" s="84"/>
      <c r="T190" s="81" t="e">
        <f t="shared" si="8"/>
        <v>#DIV/0!</v>
      </c>
      <c r="U190" s="81" t="e">
        <f>AVERAGE(T188:T190)</f>
        <v>#DIV/0!</v>
      </c>
      <c r="V190" s="81" t="e">
        <f>_xlfn.STDEV.S(T188:T190)</f>
        <v>#DIV/0!</v>
      </c>
      <c r="W190" s="81">
        <f>MAX(K188:K190)-MIN(K188:K190)</f>
        <v>0.21000000000000085</v>
      </c>
    </row>
    <row r="191" spans="1:23" x14ac:dyDescent="0.4">
      <c r="A191" s="85" t="s">
        <v>369</v>
      </c>
      <c r="B191" s="92" t="s">
        <v>145</v>
      </c>
      <c r="C191" s="130" t="s">
        <v>185</v>
      </c>
      <c r="D191" s="131"/>
      <c r="E191" s="131"/>
      <c r="F191" s="131"/>
      <c r="G191" s="131"/>
      <c r="H191" s="131"/>
      <c r="I191" s="112"/>
      <c r="J191" s="82"/>
      <c r="K191" s="84">
        <v>29.59</v>
      </c>
      <c r="L191" s="86">
        <v>91.8</v>
      </c>
      <c r="M191" s="80"/>
      <c r="N191" s="81"/>
      <c r="O191" s="84"/>
      <c r="P191" s="84"/>
      <c r="Q191" s="81" t="e">
        <f t="shared" si="6"/>
        <v>#DIV/0!</v>
      </c>
      <c r="R191" s="81" t="e">
        <f t="shared" si="7"/>
        <v>#DIV/0!</v>
      </c>
      <c r="S191" s="84"/>
      <c r="T191" s="81" t="e">
        <f t="shared" si="8"/>
        <v>#DIV/0!</v>
      </c>
      <c r="U191" s="81"/>
      <c r="V191" s="84"/>
      <c r="W191" s="84"/>
    </row>
    <row r="192" spans="1:23" x14ac:dyDescent="0.4">
      <c r="A192" s="85" t="s">
        <v>370</v>
      </c>
      <c r="B192" s="92" t="s">
        <v>145</v>
      </c>
      <c r="C192" s="130" t="s">
        <v>185</v>
      </c>
      <c r="D192" s="131"/>
      <c r="E192" s="131"/>
      <c r="F192" s="131"/>
      <c r="G192" s="131"/>
      <c r="H192" s="131"/>
      <c r="I192" s="112"/>
      <c r="J192" s="82"/>
      <c r="K192" s="84">
        <v>29.18</v>
      </c>
      <c r="L192" s="86">
        <v>151</v>
      </c>
      <c r="M192" s="80"/>
      <c r="N192" s="81"/>
      <c r="O192" s="84"/>
      <c r="P192" s="84"/>
      <c r="Q192" s="81" t="e">
        <f t="shared" si="6"/>
        <v>#DIV/0!</v>
      </c>
      <c r="R192" s="81" t="e">
        <f t="shared" si="7"/>
        <v>#DIV/0!</v>
      </c>
      <c r="S192" s="84"/>
      <c r="T192" s="81" t="e">
        <f t="shared" si="8"/>
        <v>#DIV/0!</v>
      </c>
      <c r="U192" s="81"/>
      <c r="V192" s="84"/>
      <c r="W192" s="84"/>
    </row>
    <row r="193" spans="1:23" x14ac:dyDescent="0.4">
      <c r="A193" s="85" t="s">
        <v>371</v>
      </c>
      <c r="B193" s="92" t="s">
        <v>145</v>
      </c>
      <c r="C193" s="130" t="s">
        <v>185</v>
      </c>
      <c r="D193" s="131"/>
      <c r="E193" s="131"/>
      <c r="F193" s="131"/>
      <c r="G193" s="131"/>
      <c r="H193" s="131"/>
      <c r="I193" s="112"/>
      <c r="J193" s="82"/>
      <c r="K193" s="84">
        <v>29.64</v>
      </c>
      <c r="L193" s="86">
        <v>86.8</v>
      </c>
      <c r="M193" s="80"/>
      <c r="N193" s="81"/>
      <c r="O193" s="84"/>
      <c r="P193" s="84"/>
      <c r="Q193" s="81" t="e">
        <f t="shared" si="6"/>
        <v>#DIV/0!</v>
      </c>
      <c r="R193" s="81" t="e">
        <f t="shared" si="7"/>
        <v>#DIV/0!</v>
      </c>
      <c r="S193" s="84"/>
      <c r="T193" s="81" t="e">
        <f t="shared" si="8"/>
        <v>#DIV/0!</v>
      </c>
      <c r="U193" s="81" t="e">
        <f>AVERAGE(T191:T193)</f>
        <v>#DIV/0!</v>
      </c>
      <c r="V193" s="81" t="e">
        <f>_xlfn.STDEV.S(T191:T193)</f>
        <v>#DIV/0!</v>
      </c>
      <c r="W193" s="81">
        <f>MAX(K191:K193)-MIN(K191:K193)</f>
        <v>0.46000000000000085</v>
      </c>
    </row>
    <row r="194" spans="1:23" x14ac:dyDescent="0.4">
      <c r="A194" s="85" t="s">
        <v>372</v>
      </c>
      <c r="B194" s="92" t="s">
        <v>146</v>
      </c>
      <c r="C194" s="130" t="s">
        <v>177</v>
      </c>
      <c r="D194" s="131"/>
      <c r="E194" s="131"/>
      <c r="F194" s="131"/>
      <c r="G194" s="131"/>
      <c r="H194" s="131"/>
      <c r="I194" s="112"/>
      <c r="J194" s="82"/>
      <c r="K194" s="84">
        <v>14.59</v>
      </c>
      <c r="L194" s="86">
        <v>8840000</v>
      </c>
      <c r="M194" s="80"/>
      <c r="N194" s="81"/>
      <c r="O194" s="84"/>
      <c r="P194" s="84"/>
      <c r="Q194" s="81" t="e">
        <f t="shared" si="6"/>
        <v>#DIV/0!</v>
      </c>
      <c r="R194" s="81" t="e">
        <f t="shared" si="7"/>
        <v>#DIV/0!</v>
      </c>
      <c r="S194" s="84"/>
      <c r="T194" s="81" t="e">
        <f t="shared" si="8"/>
        <v>#DIV/0!</v>
      </c>
      <c r="U194" s="81"/>
      <c r="V194" s="84"/>
      <c r="W194" s="84"/>
    </row>
    <row r="195" spans="1:23" x14ac:dyDescent="0.4">
      <c r="A195" s="85" t="s">
        <v>373</v>
      </c>
      <c r="B195" s="92" t="s">
        <v>146</v>
      </c>
      <c r="C195" s="130" t="s">
        <v>177</v>
      </c>
      <c r="D195" s="131"/>
      <c r="E195" s="131"/>
      <c r="F195" s="131"/>
      <c r="G195" s="131"/>
      <c r="H195" s="131"/>
      <c r="I195" s="112"/>
      <c r="J195" s="82"/>
      <c r="K195" s="84">
        <v>14.64</v>
      </c>
      <c r="L195" s="86">
        <v>8560000</v>
      </c>
      <c r="M195" s="80"/>
      <c r="N195" s="81"/>
      <c r="O195" s="84"/>
      <c r="P195" s="84"/>
      <c r="Q195" s="81" t="e">
        <f t="shared" si="6"/>
        <v>#DIV/0!</v>
      </c>
      <c r="R195" s="81" t="e">
        <f t="shared" si="7"/>
        <v>#DIV/0!</v>
      </c>
      <c r="S195" s="84"/>
      <c r="T195" s="81" t="e">
        <f t="shared" si="8"/>
        <v>#DIV/0!</v>
      </c>
      <c r="U195" s="81"/>
      <c r="V195" s="84"/>
      <c r="W195" s="84"/>
    </row>
    <row r="196" spans="1:23" x14ac:dyDescent="0.4">
      <c r="A196" s="85" t="s">
        <v>374</v>
      </c>
      <c r="B196" s="92" t="s">
        <v>146</v>
      </c>
      <c r="C196" s="130" t="s">
        <v>177</v>
      </c>
      <c r="D196" s="131"/>
      <c r="E196" s="131"/>
      <c r="F196" s="131"/>
      <c r="G196" s="131"/>
      <c r="H196" s="131"/>
      <c r="I196" s="112"/>
      <c r="J196" s="82"/>
      <c r="K196" s="84">
        <v>14.65</v>
      </c>
      <c r="L196" s="86">
        <v>8510000</v>
      </c>
      <c r="M196" s="80"/>
      <c r="N196" s="81"/>
      <c r="O196" s="84"/>
      <c r="P196" s="84"/>
      <c r="Q196" s="81" t="e">
        <f t="shared" si="6"/>
        <v>#DIV/0!</v>
      </c>
      <c r="R196" s="81" t="e">
        <f t="shared" si="7"/>
        <v>#DIV/0!</v>
      </c>
      <c r="S196" s="84"/>
      <c r="T196" s="81" t="e">
        <f t="shared" si="8"/>
        <v>#DIV/0!</v>
      </c>
      <c r="U196" s="81" t="e">
        <f>AVERAGE(T194:T196)</f>
        <v>#DIV/0!</v>
      </c>
      <c r="V196" s="81" t="e">
        <f>_xlfn.STDEV.S(T194:T196)</f>
        <v>#DIV/0!</v>
      </c>
      <c r="W196" s="81">
        <f>MAX(K194:K196)-MIN(K194:K196)</f>
        <v>6.0000000000000497E-2</v>
      </c>
    </row>
    <row r="197" spans="1:23" x14ac:dyDescent="0.4">
      <c r="A197" s="85" t="s">
        <v>375</v>
      </c>
      <c r="B197" s="92" t="s">
        <v>174</v>
      </c>
      <c r="C197" s="132"/>
      <c r="D197" s="133"/>
      <c r="E197" s="133"/>
      <c r="F197" s="133"/>
      <c r="G197" s="133"/>
      <c r="H197" s="133"/>
      <c r="I197" s="112"/>
      <c r="J197" s="82"/>
      <c r="K197" s="84"/>
      <c r="L197" s="84"/>
      <c r="M197" s="80"/>
      <c r="N197" s="84"/>
      <c r="O197" s="84"/>
      <c r="P197" s="84"/>
      <c r="Q197" s="81" t="e">
        <f t="shared" si="6"/>
        <v>#DIV/0!</v>
      </c>
      <c r="R197" s="81" t="e">
        <f t="shared" si="7"/>
        <v>#DIV/0!</v>
      </c>
      <c r="S197" s="84"/>
      <c r="T197" s="81" t="e">
        <f t="shared" si="8"/>
        <v>#DIV/0!</v>
      </c>
      <c r="U197" s="81"/>
      <c r="V197" s="84"/>
      <c r="W197" s="84"/>
    </row>
    <row r="198" spans="1:23" x14ac:dyDescent="0.4">
      <c r="A198" s="85" t="s">
        <v>376</v>
      </c>
      <c r="B198" s="92" t="s">
        <v>174</v>
      </c>
      <c r="C198" s="132"/>
      <c r="D198" s="133"/>
      <c r="E198" s="133"/>
      <c r="F198" s="133"/>
      <c r="G198" s="133"/>
      <c r="H198" s="133"/>
      <c r="I198" s="112"/>
      <c r="J198" s="82"/>
      <c r="K198" s="84"/>
      <c r="L198" s="84"/>
      <c r="M198" s="80"/>
      <c r="N198" s="84"/>
      <c r="O198" s="84"/>
      <c r="P198" s="84"/>
      <c r="Q198" s="81" t="e">
        <f t="shared" si="6"/>
        <v>#DIV/0!</v>
      </c>
      <c r="R198" s="81" t="e">
        <f t="shared" si="7"/>
        <v>#DIV/0!</v>
      </c>
      <c r="S198" s="84"/>
      <c r="T198" s="81" t="e">
        <f t="shared" si="8"/>
        <v>#DIV/0!</v>
      </c>
      <c r="U198" s="81"/>
      <c r="V198" s="84"/>
      <c r="W198" s="84"/>
    </row>
    <row r="199" spans="1:23" x14ac:dyDescent="0.4">
      <c r="A199" s="85" t="s">
        <v>377</v>
      </c>
      <c r="B199" s="92" t="s">
        <v>174</v>
      </c>
      <c r="C199" s="132"/>
      <c r="D199" s="133"/>
      <c r="E199" s="133"/>
      <c r="F199" s="133"/>
      <c r="G199" s="133"/>
      <c r="H199" s="133"/>
      <c r="I199" s="112"/>
      <c r="J199" s="82"/>
      <c r="K199" s="84"/>
      <c r="L199" s="84"/>
      <c r="M199" s="80"/>
      <c r="N199" s="84"/>
      <c r="O199" s="84"/>
      <c r="P199" s="84"/>
      <c r="Q199" s="81" t="e">
        <f t="shared" si="6"/>
        <v>#DIV/0!</v>
      </c>
      <c r="R199" s="81" t="e">
        <f t="shared" si="7"/>
        <v>#DIV/0!</v>
      </c>
      <c r="S199" s="84"/>
      <c r="T199" s="81" t="e">
        <f t="shared" si="8"/>
        <v>#DIV/0!</v>
      </c>
      <c r="U199" s="81" t="e">
        <f>AVERAGE(T197:T199)</f>
        <v>#DIV/0!</v>
      </c>
      <c r="V199" s="81" t="e">
        <f>_xlfn.STDEV.S(T197:T199)</f>
        <v>#DIV/0!</v>
      </c>
      <c r="W199" s="81">
        <f>MAX(K197:K199)-MIN(K197:K199)</f>
        <v>0</v>
      </c>
    </row>
    <row r="200" spans="1:23" x14ac:dyDescent="0.4">
      <c r="A200" s="85" t="s">
        <v>378</v>
      </c>
      <c r="B200" s="92" t="s">
        <v>174</v>
      </c>
      <c r="C200" s="132"/>
      <c r="D200" s="133"/>
      <c r="E200" s="133"/>
      <c r="F200" s="133"/>
      <c r="G200" s="133"/>
      <c r="H200" s="133"/>
      <c r="I200" s="112"/>
      <c r="J200" s="82"/>
      <c r="K200" s="84"/>
      <c r="L200" s="84"/>
      <c r="M200" s="80"/>
      <c r="N200" s="84"/>
      <c r="O200" s="84"/>
      <c r="P200" s="84"/>
      <c r="Q200" s="81" t="e">
        <f t="shared" si="6"/>
        <v>#DIV/0!</v>
      </c>
      <c r="R200" s="81" t="e">
        <f t="shared" si="7"/>
        <v>#DIV/0!</v>
      </c>
      <c r="S200" s="84"/>
      <c r="T200" s="81" t="e">
        <f t="shared" si="8"/>
        <v>#DIV/0!</v>
      </c>
      <c r="U200" s="81"/>
      <c r="V200" s="84"/>
      <c r="W200" s="84"/>
    </row>
    <row r="201" spans="1:23" x14ac:dyDescent="0.4">
      <c r="A201" s="85" t="s">
        <v>379</v>
      </c>
      <c r="B201" s="92" t="s">
        <v>174</v>
      </c>
      <c r="C201" s="132"/>
      <c r="D201" s="133"/>
      <c r="E201" s="133"/>
      <c r="F201" s="133"/>
      <c r="G201" s="133"/>
      <c r="H201" s="133"/>
      <c r="I201" s="112"/>
      <c r="J201" s="82"/>
      <c r="K201" s="84"/>
      <c r="L201" s="84"/>
      <c r="M201" s="80"/>
      <c r="N201" s="84"/>
      <c r="O201" s="84"/>
      <c r="P201" s="84"/>
      <c r="Q201" s="81" t="e">
        <f t="shared" si="6"/>
        <v>#DIV/0!</v>
      </c>
      <c r="R201" s="81" t="e">
        <f t="shared" si="7"/>
        <v>#DIV/0!</v>
      </c>
      <c r="S201" s="84"/>
      <c r="T201" s="81" t="e">
        <f t="shared" si="8"/>
        <v>#DIV/0!</v>
      </c>
      <c r="U201" s="81"/>
      <c r="V201" s="84"/>
      <c r="W201" s="84"/>
    </row>
    <row r="202" spans="1:23" x14ac:dyDescent="0.4">
      <c r="A202" s="85" t="s">
        <v>380</v>
      </c>
      <c r="B202" s="92" t="s">
        <v>174</v>
      </c>
      <c r="C202" s="132"/>
      <c r="D202" s="133"/>
      <c r="E202" s="133"/>
      <c r="F202" s="133"/>
      <c r="G202" s="133"/>
      <c r="H202" s="133"/>
      <c r="I202" s="112"/>
      <c r="J202" s="82"/>
      <c r="K202" s="84"/>
      <c r="L202" s="84"/>
      <c r="M202" s="80"/>
      <c r="N202" s="84"/>
      <c r="O202" s="84"/>
      <c r="P202" s="84"/>
      <c r="Q202" s="81" t="e">
        <f t="shared" si="6"/>
        <v>#DIV/0!</v>
      </c>
      <c r="R202" s="81" t="e">
        <f t="shared" si="7"/>
        <v>#DIV/0!</v>
      </c>
      <c r="S202" s="84"/>
      <c r="T202" s="81" t="e">
        <f t="shared" si="8"/>
        <v>#DIV/0!</v>
      </c>
      <c r="U202" s="81" t="e">
        <f>AVERAGE(T200:T202)</f>
        <v>#DIV/0!</v>
      </c>
      <c r="V202" s="81" t="e">
        <f>_xlfn.STDEV.S(T200:T202)</f>
        <v>#DIV/0!</v>
      </c>
      <c r="W202" s="81">
        <f>MAX(K200:K202)-MIN(K200:K202)</f>
        <v>0</v>
      </c>
    </row>
    <row r="203" spans="1:23" x14ac:dyDescent="0.4">
      <c r="A203" s="76" t="s">
        <v>381</v>
      </c>
      <c r="B203" s="76" t="s">
        <v>79</v>
      </c>
      <c r="C203" s="100" t="s">
        <v>8</v>
      </c>
      <c r="D203" s="129" t="s">
        <v>485</v>
      </c>
      <c r="E203" s="129" t="s">
        <v>484</v>
      </c>
      <c r="F203" s="129" t="s">
        <v>485</v>
      </c>
      <c r="G203" s="129" t="s">
        <v>484</v>
      </c>
      <c r="H203" s="129" t="s">
        <v>484</v>
      </c>
      <c r="I203" s="112">
        <v>4.8</v>
      </c>
      <c r="J203" s="82" t="s">
        <v>81</v>
      </c>
      <c r="K203" s="84">
        <v>10.27</v>
      </c>
      <c r="L203" s="86">
        <v>144000000</v>
      </c>
      <c r="M203" s="80">
        <v>0.4</v>
      </c>
      <c r="N203" s="81">
        <v>50</v>
      </c>
      <c r="O203">
        <v>3.97</v>
      </c>
      <c r="P203" s="94">
        <v>4.2664134210000002</v>
      </c>
      <c r="Q203" s="81">
        <f t="shared" ref="Q203:Q266" si="9">O203/P203</f>
        <v>0.9305239807419966</v>
      </c>
      <c r="R203" s="81">
        <f t="shared" ref="R203:R266" si="10">(L203*N203*Q203)/M203</f>
        <v>16749431653.355938</v>
      </c>
      <c r="S203" s="81"/>
      <c r="T203" s="81" t="e">
        <f t="shared" ref="T203:T266" si="11">R203/S203</f>
        <v>#DIV/0!</v>
      </c>
      <c r="U203" s="81"/>
      <c r="V203" s="81"/>
      <c r="W203" s="81"/>
    </row>
    <row r="204" spans="1:23" x14ac:dyDescent="0.4">
      <c r="A204" s="85" t="s">
        <v>382</v>
      </c>
      <c r="B204" s="85" t="s">
        <v>79</v>
      </c>
      <c r="C204" s="100" t="s">
        <v>8</v>
      </c>
      <c r="D204" s="129" t="s">
        <v>485</v>
      </c>
      <c r="E204" s="129" t="s">
        <v>484</v>
      </c>
      <c r="F204" s="129" t="s">
        <v>485</v>
      </c>
      <c r="G204" s="129" t="s">
        <v>484</v>
      </c>
      <c r="H204" s="129" t="s">
        <v>484</v>
      </c>
      <c r="I204" s="112">
        <v>4.8</v>
      </c>
      <c r="J204" s="82" t="s">
        <v>81</v>
      </c>
      <c r="K204" s="84">
        <v>10.199999999999999</v>
      </c>
      <c r="L204" s="86">
        <v>152000000</v>
      </c>
      <c r="M204" s="80">
        <v>0.4</v>
      </c>
      <c r="N204" s="81">
        <v>50</v>
      </c>
      <c r="O204">
        <v>3.97</v>
      </c>
      <c r="P204" s="94">
        <v>4.2664134210000002</v>
      </c>
      <c r="Q204" s="81">
        <f t="shared" si="9"/>
        <v>0.9305239807419966</v>
      </c>
      <c r="R204" s="81">
        <f t="shared" si="10"/>
        <v>17679955634.097935</v>
      </c>
      <c r="S204" s="87"/>
      <c r="T204" s="81" t="e">
        <f t="shared" si="11"/>
        <v>#DIV/0!</v>
      </c>
      <c r="U204" s="87"/>
      <c r="V204" s="87"/>
      <c r="W204" s="87"/>
    </row>
    <row r="205" spans="1:23" x14ac:dyDescent="0.4">
      <c r="A205" s="85" t="s">
        <v>383</v>
      </c>
      <c r="B205" s="76" t="s">
        <v>79</v>
      </c>
      <c r="C205" s="100" t="s">
        <v>8</v>
      </c>
      <c r="D205" s="129" t="s">
        <v>485</v>
      </c>
      <c r="E205" s="129" t="s">
        <v>484</v>
      </c>
      <c r="F205" s="129" t="s">
        <v>485</v>
      </c>
      <c r="G205" s="129" t="s">
        <v>484</v>
      </c>
      <c r="H205" s="129" t="s">
        <v>484</v>
      </c>
      <c r="I205" s="112">
        <v>4.8</v>
      </c>
      <c r="J205" s="82" t="s">
        <v>81</v>
      </c>
      <c r="K205" s="84">
        <v>10.57</v>
      </c>
      <c r="L205" s="86">
        <v>119000000</v>
      </c>
      <c r="M205" s="80">
        <v>0.4</v>
      </c>
      <c r="N205" s="81">
        <v>50</v>
      </c>
      <c r="O205">
        <v>3.97</v>
      </c>
      <c r="P205" s="94">
        <v>4.2664134210000002</v>
      </c>
      <c r="Q205" s="81">
        <f t="shared" si="9"/>
        <v>0.9305239807419966</v>
      </c>
      <c r="R205" s="81">
        <f t="shared" si="10"/>
        <v>13841544213.537199</v>
      </c>
      <c r="S205" s="81"/>
      <c r="T205" s="81" t="e">
        <f t="shared" si="11"/>
        <v>#DIV/0!</v>
      </c>
      <c r="U205" s="81" t="e">
        <f>AVERAGE(T203:T205)</f>
        <v>#DIV/0!</v>
      </c>
      <c r="V205" s="81" t="e">
        <f>_xlfn.STDEV.S(T203:T205)</f>
        <v>#DIV/0!</v>
      </c>
      <c r="W205" s="81">
        <f>MAX(K203:K205)-MIN(K203:K205)</f>
        <v>0.37000000000000099</v>
      </c>
    </row>
    <row r="206" spans="1:23" x14ac:dyDescent="0.4">
      <c r="A206" s="85" t="s">
        <v>384</v>
      </c>
      <c r="B206" s="76" t="s">
        <v>80</v>
      </c>
      <c r="C206" s="100" t="s">
        <v>9</v>
      </c>
      <c r="D206" s="129" t="s">
        <v>485</v>
      </c>
      <c r="E206" s="129" t="s">
        <v>484</v>
      </c>
      <c r="F206" s="129" t="s">
        <v>485</v>
      </c>
      <c r="G206" s="129" t="s">
        <v>485</v>
      </c>
      <c r="H206" s="129" t="s">
        <v>484</v>
      </c>
      <c r="I206" s="112">
        <v>4.8</v>
      </c>
      <c r="J206" s="82" t="s">
        <v>81</v>
      </c>
      <c r="K206" s="84">
        <v>10.9</v>
      </c>
      <c r="L206" s="86">
        <v>95100000</v>
      </c>
      <c r="M206" s="80">
        <v>0.4</v>
      </c>
      <c r="N206" s="81">
        <v>50</v>
      </c>
      <c r="O206">
        <v>4.59</v>
      </c>
      <c r="P206" s="94">
        <v>4.3930607979999996</v>
      </c>
      <c r="Q206" s="81">
        <f t="shared" si="9"/>
        <v>1.0448296099361201</v>
      </c>
      <c r="R206" s="81">
        <f t="shared" si="10"/>
        <v>12420411988.115627</v>
      </c>
      <c r="S206" s="87"/>
      <c r="T206" s="81" t="e">
        <f t="shared" si="11"/>
        <v>#DIV/0!</v>
      </c>
      <c r="U206" s="81"/>
      <c r="V206" s="87"/>
      <c r="W206" s="87"/>
    </row>
    <row r="207" spans="1:23" x14ac:dyDescent="0.4">
      <c r="A207" s="85" t="s">
        <v>385</v>
      </c>
      <c r="B207" s="85" t="s">
        <v>80</v>
      </c>
      <c r="C207" s="100" t="s">
        <v>9</v>
      </c>
      <c r="D207" s="129" t="s">
        <v>485</v>
      </c>
      <c r="E207" s="129" t="s">
        <v>484</v>
      </c>
      <c r="F207" s="129" t="s">
        <v>485</v>
      </c>
      <c r="G207" s="129" t="s">
        <v>485</v>
      </c>
      <c r="H207" s="129" t="s">
        <v>484</v>
      </c>
      <c r="I207" s="112">
        <v>4.8</v>
      </c>
      <c r="J207" s="82" t="s">
        <v>81</v>
      </c>
      <c r="K207" s="84">
        <v>11.01</v>
      </c>
      <c r="L207" s="86">
        <v>88300000</v>
      </c>
      <c r="M207" s="80">
        <v>0.4</v>
      </c>
      <c r="N207" s="81">
        <v>50</v>
      </c>
      <c r="O207">
        <v>4.59</v>
      </c>
      <c r="P207" s="94">
        <v>4.3930607979999996</v>
      </c>
      <c r="Q207" s="81">
        <f t="shared" si="9"/>
        <v>1.0448296099361201</v>
      </c>
      <c r="R207" s="81">
        <f t="shared" si="10"/>
        <v>11532306819.669926</v>
      </c>
      <c r="S207" s="81"/>
      <c r="T207" s="81" t="e">
        <f t="shared" si="11"/>
        <v>#DIV/0!</v>
      </c>
      <c r="U207" s="81"/>
      <c r="V207" s="81"/>
      <c r="W207" s="81"/>
    </row>
    <row r="208" spans="1:23" x14ac:dyDescent="0.4">
      <c r="A208" s="85" t="s">
        <v>386</v>
      </c>
      <c r="B208" s="76" t="s">
        <v>80</v>
      </c>
      <c r="C208" s="100" t="s">
        <v>9</v>
      </c>
      <c r="D208" s="129" t="s">
        <v>485</v>
      </c>
      <c r="E208" s="129" t="s">
        <v>484</v>
      </c>
      <c r="F208" s="129" t="s">
        <v>485</v>
      </c>
      <c r="G208" s="129" t="s">
        <v>485</v>
      </c>
      <c r="H208" s="129" t="s">
        <v>484</v>
      </c>
      <c r="I208" s="112">
        <v>4.8</v>
      </c>
      <c r="J208" s="82" t="s">
        <v>81</v>
      </c>
      <c r="K208" s="84">
        <v>10.93</v>
      </c>
      <c r="L208" s="86">
        <v>93100000</v>
      </c>
      <c r="M208" s="80">
        <v>0.4</v>
      </c>
      <c r="N208" s="81">
        <v>50</v>
      </c>
      <c r="O208">
        <v>4.59</v>
      </c>
      <c r="P208" s="94">
        <v>4.3930607979999996</v>
      </c>
      <c r="Q208" s="81">
        <f t="shared" si="9"/>
        <v>1.0448296099361201</v>
      </c>
      <c r="R208" s="81">
        <f t="shared" si="10"/>
        <v>12159204585.631596</v>
      </c>
      <c r="S208" s="87"/>
      <c r="T208" s="81" t="e">
        <f t="shared" si="11"/>
        <v>#DIV/0!</v>
      </c>
      <c r="U208" s="81" t="e">
        <f>AVERAGE(T206:T208)</f>
        <v>#DIV/0!</v>
      </c>
      <c r="V208" s="81" t="e">
        <f>_xlfn.STDEV.S(T206:T208)</f>
        <v>#DIV/0!</v>
      </c>
      <c r="W208" s="81">
        <f>MAX(K206:K208)-MIN(K206:K208)</f>
        <v>0.10999999999999943</v>
      </c>
    </row>
    <row r="209" spans="1:23" x14ac:dyDescent="0.4">
      <c r="A209" s="85" t="s">
        <v>387</v>
      </c>
      <c r="B209" s="76" t="s">
        <v>174</v>
      </c>
      <c r="C209" s="130"/>
      <c r="D209" s="131"/>
      <c r="E209" s="131"/>
      <c r="F209" s="131"/>
      <c r="G209" s="131"/>
      <c r="H209" s="131"/>
      <c r="I209" s="112"/>
      <c r="J209" s="82"/>
      <c r="K209" s="84"/>
      <c r="L209" s="84"/>
      <c r="M209" s="80"/>
      <c r="N209" s="81"/>
      <c r="P209" s="94"/>
      <c r="Q209" s="81" t="e">
        <f t="shared" si="9"/>
        <v>#DIV/0!</v>
      </c>
      <c r="R209" s="81" t="e">
        <f t="shared" si="10"/>
        <v>#DIV/0!</v>
      </c>
      <c r="S209" s="81"/>
      <c r="T209" s="81" t="e">
        <f t="shared" si="11"/>
        <v>#DIV/0!</v>
      </c>
      <c r="U209" s="81"/>
      <c r="V209" s="81"/>
      <c r="W209" s="81"/>
    </row>
    <row r="210" spans="1:23" x14ac:dyDescent="0.4">
      <c r="A210" s="85" t="s">
        <v>388</v>
      </c>
      <c r="B210" s="76" t="s">
        <v>174</v>
      </c>
      <c r="C210" s="130"/>
      <c r="D210" s="131"/>
      <c r="E210" s="131"/>
      <c r="F210" s="131"/>
      <c r="G210" s="131"/>
      <c r="H210" s="131"/>
      <c r="I210" s="112"/>
      <c r="J210" s="82"/>
      <c r="K210" s="84"/>
      <c r="L210" s="84"/>
      <c r="M210" s="80"/>
      <c r="N210" s="87"/>
      <c r="P210" s="94"/>
      <c r="Q210" s="81" t="e">
        <f t="shared" si="9"/>
        <v>#DIV/0!</v>
      </c>
      <c r="R210" s="81" t="e">
        <f t="shared" si="10"/>
        <v>#DIV/0!</v>
      </c>
      <c r="S210" s="87"/>
      <c r="T210" s="81" t="e">
        <f t="shared" si="11"/>
        <v>#DIV/0!</v>
      </c>
      <c r="U210" s="81"/>
      <c r="V210" s="87"/>
      <c r="W210" s="87"/>
    </row>
    <row r="211" spans="1:23" x14ac:dyDescent="0.4">
      <c r="A211" s="85" t="s">
        <v>389</v>
      </c>
      <c r="B211" s="76" t="s">
        <v>174</v>
      </c>
      <c r="C211" s="130"/>
      <c r="D211" s="131"/>
      <c r="E211" s="131"/>
      <c r="F211" s="131"/>
      <c r="G211" s="131"/>
      <c r="H211" s="131"/>
      <c r="I211" s="112"/>
      <c r="J211" s="82"/>
      <c r="K211" s="84"/>
      <c r="L211" s="84"/>
      <c r="M211" s="80"/>
      <c r="N211" s="81"/>
      <c r="P211" s="94"/>
      <c r="Q211" s="81" t="e">
        <f t="shared" si="9"/>
        <v>#DIV/0!</v>
      </c>
      <c r="R211" s="81" t="e">
        <f t="shared" si="10"/>
        <v>#DIV/0!</v>
      </c>
      <c r="S211" s="81"/>
      <c r="T211" s="81" t="e">
        <f t="shared" si="11"/>
        <v>#DIV/0!</v>
      </c>
      <c r="U211" s="81" t="e">
        <f>AVERAGE(T209:T211)</f>
        <v>#DIV/0!</v>
      </c>
      <c r="V211" s="81" t="e">
        <f>_xlfn.STDEV.S(T209:T211)</f>
        <v>#DIV/0!</v>
      </c>
      <c r="W211" s="81">
        <f>MAX(K209:K211)-MIN(K209:K211)</f>
        <v>0</v>
      </c>
    </row>
    <row r="212" spans="1:23" x14ac:dyDescent="0.4">
      <c r="A212" s="85" t="s">
        <v>390</v>
      </c>
      <c r="B212" s="85" t="s">
        <v>147</v>
      </c>
      <c r="C212" s="130" t="s">
        <v>175</v>
      </c>
      <c r="D212" s="131"/>
      <c r="E212" s="131"/>
      <c r="F212" s="131"/>
      <c r="G212" s="131"/>
      <c r="H212" s="131"/>
      <c r="I212" s="112"/>
      <c r="J212" s="82"/>
      <c r="K212" s="84">
        <v>6</v>
      </c>
      <c r="L212" s="86">
        <v>2460000000</v>
      </c>
      <c r="M212" s="80"/>
      <c r="N212" s="87"/>
      <c r="P212" s="94"/>
      <c r="Q212" s="81" t="e">
        <f t="shared" si="9"/>
        <v>#DIV/0!</v>
      </c>
      <c r="R212" s="81" t="e">
        <f t="shared" si="10"/>
        <v>#DIV/0!</v>
      </c>
      <c r="S212" s="87"/>
      <c r="T212" s="81" t="e">
        <f t="shared" si="11"/>
        <v>#DIV/0!</v>
      </c>
      <c r="U212" s="81"/>
      <c r="V212" s="87"/>
      <c r="W212" s="87"/>
    </row>
    <row r="213" spans="1:23" x14ac:dyDescent="0.4">
      <c r="A213" s="85" t="s">
        <v>391</v>
      </c>
      <c r="B213" s="90" t="s">
        <v>147</v>
      </c>
      <c r="C213" s="130" t="s">
        <v>175</v>
      </c>
      <c r="D213" s="131"/>
      <c r="E213" s="131"/>
      <c r="F213" s="131"/>
      <c r="G213" s="131"/>
      <c r="H213" s="131"/>
      <c r="I213" s="112"/>
      <c r="J213" s="82"/>
      <c r="K213" s="84">
        <v>6.35</v>
      </c>
      <c r="L213" s="86">
        <v>1960000000</v>
      </c>
      <c r="M213" s="80"/>
      <c r="N213" s="87"/>
      <c r="P213" s="94"/>
      <c r="Q213" s="81" t="e">
        <f t="shared" si="9"/>
        <v>#DIV/0!</v>
      </c>
      <c r="R213" s="81" t="e">
        <f t="shared" si="10"/>
        <v>#DIV/0!</v>
      </c>
      <c r="S213" s="91"/>
      <c r="T213" s="81" t="e">
        <f t="shared" si="11"/>
        <v>#DIV/0!</v>
      </c>
      <c r="U213" s="81"/>
      <c r="V213" s="91"/>
      <c r="W213" s="91"/>
    </row>
    <row r="214" spans="1:23" x14ac:dyDescent="0.4">
      <c r="A214" s="85" t="s">
        <v>392</v>
      </c>
      <c r="B214" s="92" t="s">
        <v>147</v>
      </c>
      <c r="C214" s="130" t="s">
        <v>175</v>
      </c>
      <c r="D214" s="131"/>
      <c r="E214" s="131"/>
      <c r="F214" s="131"/>
      <c r="G214" s="131"/>
      <c r="H214" s="131"/>
      <c r="I214" s="112"/>
      <c r="J214" s="82"/>
      <c r="K214" s="84">
        <v>6</v>
      </c>
      <c r="L214" s="86">
        <v>2460000000</v>
      </c>
      <c r="M214" s="80"/>
      <c r="N214" s="87"/>
      <c r="P214" s="94"/>
      <c r="Q214" s="81" t="e">
        <f t="shared" si="9"/>
        <v>#DIV/0!</v>
      </c>
      <c r="R214" s="81" t="e">
        <f t="shared" si="10"/>
        <v>#DIV/0!</v>
      </c>
      <c r="S214" s="84"/>
      <c r="T214" s="81" t="e">
        <f t="shared" si="11"/>
        <v>#DIV/0!</v>
      </c>
      <c r="U214" s="81" t="e">
        <f>AVERAGE(T212:T214)</f>
        <v>#DIV/0!</v>
      </c>
      <c r="V214" s="81" t="e">
        <f>_xlfn.STDEV.S(T212:T214)</f>
        <v>#DIV/0!</v>
      </c>
      <c r="W214" s="81">
        <f>MAX(K212:K214)-MIN(K212:K214)</f>
        <v>0.34999999999999964</v>
      </c>
    </row>
    <row r="215" spans="1:23" x14ac:dyDescent="0.4">
      <c r="A215" s="85" t="s">
        <v>393</v>
      </c>
      <c r="B215" s="92" t="s">
        <v>90</v>
      </c>
      <c r="C215" s="100" t="s">
        <v>8</v>
      </c>
      <c r="D215" s="129" t="s">
        <v>485</v>
      </c>
      <c r="E215" s="129" t="s">
        <v>484</v>
      </c>
      <c r="F215" s="129" t="s">
        <v>485</v>
      </c>
      <c r="G215" s="129" t="s">
        <v>484</v>
      </c>
      <c r="H215" s="129" t="s">
        <v>484</v>
      </c>
      <c r="I215" s="112">
        <v>5.8</v>
      </c>
      <c r="J215" s="82" t="s">
        <v>81</v>
      </c>
      <c r="K215" s="84">
        <v>7.18</v>
      </c>
      <c r="L215" s="86">
        <v>1120000000</v>
      </c>
      <c r="M215" s="80">
        <v>0.4</v>
      </c>
      <c r="N215" s="87">
        <v>50</v>
      </c>
      <c r="O215">
        <v>28.41</v>
      </c>
      <c r="P215" s="94">
        <v>7.8492788070000001</v>
      </c>
      <c r="Q215" s="81">
        <f t="shared" si="9"/>
        <v>3.6194408045060031</v>
      </c>
      <c r="R215" s="81">
        <f t="shared" si="10"/>
        <v>506721712630.84045</v>
      </c>
      <c r="S215" s="84"/>
      <c r="T215" s="81" t="e">
        <f t="shared" si="11"/>
        <v>#DIV/0!</v>
      </c>
      <c r="U215" s="81"/>
      <c r="V215" s="84"/>
      <c r="W215" s="84"/>
    </row>
    <row r="216" spans="1:23" x14ac:dyDescent="0.4">
      <c r="A216" s="85" t="s">
        <v>394</v>
      </c>
      <c r="B216" s="92" t="s">
        <v>90</v>
      </c>
      <c r="C216" s="100" t="s">
        <v>8</v>
      </c>
      <c r="D216" s="129" t="s">
        <v>485</v>
      </c>
      <c r="E216" s="129" t="s">
        <v>484</v>
      </c>
      <c r="F216" s="129" t="s">
        <v>485</v>
      </c>
      <c r="G216" s="129" t="s">
        <v>484</v>
      </c>
      <c r="H216" s="129" t="s">
        <v>484</v>
      </c>
      <c r="I216" s="112">
        <v>5.8</v>
      </c>
      <c r="J216" s="82" t="s">
        <v>81</v>
      </c>
      <c r="K216" s="84">
        <v>7.43</v>
      </c>
      <c r="L216" s="86">
        <v>951000000</v>
      </c>
      <c r="M216" s="80">
        <v>0.4</v>
      </c>
      <c r="N216" s="87">
        <v>50</v>
      </c>
      <c r="O216">
        <v>28.41</v>
      </c>
      <c r="P216" s="94">
        <v>7.8492788070000001</v>
      </c>
      <c r="Q216" s="81">
        <f t="shared" si="9"/>
        <v>3.6194408045060031</v>
      </c>
      <c r="R216" s="81">
        <f t="shared" si="10"/>
        <v>430261025635.65106</v>
      </c>
      <c r="S216" s="84"/>
      <c r="T216" s="81" t="e">
        <f t="shared" si="11"/>
        <v>#DIV/0!</v>
      </c>
      <c r="U216" s="81"/>
      <c r="V216" s="84"/>
      <c r="W216" s="84"/>
    </row>
    <row r="217" spans="1:23" x14ac:dyDescent="0.4">
      <c r="A217" s="85" t="s">
        <v>395</v>
      </c>
      <c r="B217" s="92" t="s">
        <v>90</v>
      </c>
      <c r="C217" s="100" t="s">
        <v>8</v>
      </c>
      <c r="D217" s="129" t="s">
        <v>485</v>
      </c>
      <c r="E217" s="129" t="s">
        <v>484</v>
      </c>
      <c r="F217" s="129" t="s">
        <v>485</v>
      </c>
      <c r="G217" s="129" t="s">
        <v>484</v>
      </c>
      <c r="H217" s="129" t="s">
        <v>484</v>
      </c>
      <c r="I217" s="112">
        <v>5.8</v>
      </c>
      <c r="J217" s="82" t="s">
        <v>81</v>
      </c>
      <c r="K217" s="84">
        <v>7.82</v>
      </c>
      <c r="L217" s="86">
        <v>736000000</v>
      </c>
      <c r="M217" s="80">
        <v>0.4</v>
      </c>
      <c r="N217" s="87">
        <v>50</v>
      </c>
      <c r="O217">
        <v>28.41</v>
      </c>
      <c r="P217" s="94">
        <v>7.8492788070000001</v>
      </c>
      <c r="Q217" s="81">
        <f t="shared" si="9"/>
        <v>3.6194408045060031</v>
      </c>
      <c r="R217" s="81">
        <f t="shared" si="10"/>
        <v>332988554014.55231</v>
      </c>
      <c r="S217" s="84"/>
      <c r="T217" s="81" t="e">
        <f t="shared" si="11"/>
        <v>#DIV/0!</v>
      </c>
      <c r="U217" s="81" t="e">
        <f>AVERAGE(T215:T217)</f>
        <v>#DIV/0!</v>
      </c>
      <c r="V217" s="81" t="e">
        <f>_xlfn.STDEV.S(T215:T217)</f>
        <v>#DIV/0!</v>
      </c>
      <c r="W217" s="81">
        <f>MAX(K215:K217)-MIN(K215:K217)</f>
        <v>0.64000000000000057</v>
      </c>
    </row>
    <row r="218" spans="1:23" x14ac:dyDescent="0.4">
      <c r="A218" s="85" t="s">
        <v>396</v>
      </c>
      <c r="B218" s="92" t="s">
        <v>91</v>
      </c>
      <c r="C218" s="100" t="s">
        <v>9</v>
      </c>
      <c r="D218" s="129" t="s">
        <v>485</v>
      </c>
      <c r="E218" s="129" t="s">
        <v>484</v>
      </c>
      <c r="F218" s="129" t="s">
        <v>485</v>
      </c>
      <c r="G218" s="129" t="s">
        <v>485</v>
      </c>
      <c r="H218" s="129" t="s">
        <v>484</v>
      </c>
      <c r="I218" s="112">
        <v>5.8</v>
      </c>
      <c r="J218" s="82" t="s">
        <v>81</v>
      </c>
      <c r="K218" s="84">
        <v>9.2100000000000009</v>
      </c>
      <c r="L218" s="86">
        <v>293000000</v>
      </c>
      <c r="M218" s="80">
        <v>0.4</v>
      </c>
      <c r="N218" s="87">
        <v>50</v>
      </c>
      <c r="O218">
        <v>38.799999999999997</v>
      </c>
      <c r="P218" s="94">
        <v>6.9105928140000001</v>
      </c>
      <c r="Q218" s="81">
        <f t="shared" si="9"/>
        <v>5.6145689732139958</v>
      </c>
      <c r="R218" s="81">
        <f t="shared" si="10"/>
        <v>205633588643.96259</v>
      </c>
      <c r="S218" s="84"/>
      <c r="T218" s="81" t="e">
        <f t="shared" si="11"/>
        <v>#DIV/0!</v>
      </c>
      <c r="U218" s="81"/>
      <c r="V218" s="84"/>
      <c r="W218" s="84"/>
    </row>
    <row r="219" spans="1:23" x14ac:dyDescent="0.4">
      <c r="A219" s="85" t="s">
        <v>397</v>
      </c>
      <c r="B219" s="92" t="s">
        <v>91</v>
      </c>
      <c r="C219" s="100" t="s">
        <v>9</v>
      </c>
      <c r="D219" s="129" t="s">
        <v>485</v>
      </c>
      <c r="E219" s="129" t="s">
        <v>484</v>
      </c>
      <c r="F219" s="129" t="s">
        <v>485</v>
      </c>
      <c r="G219" s="129" t="s">
        <v>485</v>
      </c>
      <c r="H219" s="129" t="s">
        <v>484</v>
      </c>
      <c r="I219" s="112">
        <v>5.8</v>
      </c>
      <c r="J219" s="82" t="s">
        <v>81</v>
      </c>
      <c r="K219" s="84">
        <v>8.7899999999999991</v>
      </c>
      <c r="L219" s="86">
        <v>387000000</v>
      </c>
      <c r="M219" s="80">
        <v>0.4</v>
      </c>
      <c r="N219" s="87">
        <v>50</v>
      </c>
      <c r="O219">
        <v>38.799999999999997</v>
      </c>
      <c r="P219" s="94">
        <v>6.9105928140000001</v>
      </c>
      <c r="Q219" s="81">
        <f t="shared" si="9"/>
        <v>5.6145689732139958</v>
      </c>
      <c r="R219" s="81">
        <f t="shared" si="10"/>
        <v>271604774079.22705</v>
      </c>
      <c r="S219" s="84"/>
      <c r="T219" s="81" t="e">
        <f t="shared" si="11"/>
        <v>#DIV/0!</v>
      </c>
      <c r="U219" s="81"/>
      <c r="V219" s="84"/>
      <c r="W219" s="84"/>
    </row>
    <row r="220" spans="1:23" x14ac:dyDescent="0.4">
      <c r="A220" s="85" t="s">
        <v>398</v>
      </c>
      <c r="B220" s="92" t="s">
        <v>91</v>
      </c>
      <c r="C220" s="100" t="s">
        <v>9</v>
      </c>
      <c r="D220" s="129" t="s">
        <v>485</v>
      </c>
      <c r="E220" s="129" t="s">
        <v>484</v>
      </c>
      <c r="F220" s="129" t="s">
        <v>485</v>
      </c>
      <c r="G220" s="129" t="s">
        <v>485</v>
      </c>
      <c r="H220" s="129" t="s">
        <v>484</v>
      </c>
      <c r="I220" s="112">
        <v>5.8</v>
      </c>
      <c r="J220" s="82" t="s">
        <v>81</v>
      </c>
      <c r="K220" s="84">
        <v>8.85</v>
      </c>
      <c r="L220" s="86">
        <v>372000000</v>
      </c>
      <c r="M220" s="80">
        <v>0.4</v>
      </c>
      <c r="N220" s="87">
        <v>50</v>
      </c>
      <c r="O220">
        <v>38.799999999999997</v>
      </c>
      <c r="P220" s="94">
        <v>6.9105928140000001</v>
      </c>
      <c r="Q220" s="81">
        <f t="shared" si="9"/>
        <v>5.6145689732139958</v>
      </c>
      <c r="R220" s="81">
        <f t="shared" si="10"/>
        <v>261077457254.45078</v>
      </c>
      <c r="S220" s="84"/>
      <c r="T220" s="81" t="e">
        <f t="shared" si="11"/>
        <v>#DIV/0!</v>
      </c>
      <c r="U220" s="81" t="e">
        <f>AVERAGE(T218:T220)</f>
        <v>#DIV/0!</v>
      </c>
      <c r="V220" s="81" t="e">
        <f>_xlfn.STDEV.S(T218:T220)</f>
        <v>#DIV/0!</v>
      </c>
      <c r="W220" s="81">
        <f>MAX(K218:K220)-MIN(K218:K220)</f>
        <v>0.42000000000000171</v>
      </c>
    </row>
    <row r="221" spans="1:23" x14ac:dyDescent="0.4">
      <c r="A221" s="85" t="s">
        <v>399</v>
      </c>
      <c r="B221" s="76" t="s">
        <v>174</v>
      </c>
      <c r="C221" s="130"/>
      <c r="D221" s="131"/>
      <c r="E221" s="131"/>
      <c r="F221" s="131"/>
      <c r="G221" s="131"/>
      <c r="H221" s="131"/>
      <c r="I221" s="112"/>
      <c r="J221" s="82"/>
      <c r="K221" s="84"/>
      <c r="L221" s="84"/>
      <c r="M221" s="80"/>
      <c r="N221" s="84"/>
      <c r="P221" s="94"/>
      <c r="Q221" s="81" t="e">
        <f t="shared" si="9"/>
        <v>#DIV/0!</v>
      </c>
      <c r="R221" s="81" t="e">
        <f t="shared" si="10"/>
        <v>#DIV/0!</v>
      </c>
      <c r="S221" s="84"/>
      <c r="T221" s="81" t="e">
        <f t="shared" si="11"/>
        <v>#DIV/0!</v>
      </c>
      <c r="U221" s="81"/>
      <c r="V221" s="84"/>
      <c r="W221" s="84"/>
    </row>
    <row r="222" spans="1:23" x14ac:dyDescent="0.4">
      <c r="A222" s="85" t="s">
        <v>400</v>
      </c>
      <c r="B222" s="76" t="s">
        <v>174</v>
      </c>
      <c r="C222" s="130"/>
      <c r="D222" s="131"/>
      <c r="E222" s="131"/>
      <c r="F222" s="131"/>
      <c r="G222" s="131"/>
      <c r="H222" s="131"/>
      <c r="I222" s="112"/>
      <c r="J222" s="82"/>
      <c r="K222" s="84"/>
      <c r="L222" s="84"/>
      <c r="M222" s="80"/>
      <c r="N222" s="84"/>
      <c r="P222" s="94"/>
      <c r="Q222" s="81" t="e">
        <f t="shared" si="9"/>
        <v>#DIV/0!</v>
      </c>
      <c r="R222" s="81" t="e">
        <f t="shared" si="10"/>
        <v>#DIV/0!</v>
      </c>
      <c r="S222" s="84"/>
      <c r="T222" s="81" t="e">
        <f t="shared" si="11"/>
        <v>#DIV/0!</v>
      </c>
      <c r="U222" s="81"/>
      <c r="V222" s="84"/>
      <c r="W222" s="84"/>
    </row>
    <row r="223" spans="1:23" x14ac:dyDescent="0.4">
      <c r="A223" s="85" t="s">
        <v>401</v>
      </c>
      <c r="B223" s="76" t="s">
        <v>174</v>
      </c>
      <c r="C223" s="130"/>
      <c r="D223" s="131"/>
      <c r="E223" s="131"/>
      <c r="F223" s="131"/>
      <c r="G223" s="131"/>
      <c r="H223" s="131"/>
      <c r="I223" s="112"/>
      <c r="J223" s="82"/>
      <c r="K223" s="84"/>
      <c r="L223" s="84"/>
      <c r="M223" s="80"/>
      <c r="N223" s="84"/>
      <c r="P223" s="94"/>
      <c r="Q223" s="81" t="e">
        <f t="shared" si="9"/>
        <v>#DIV/0!</v>
      </c>
      <c r="R223" s="81" t="e">
        <f t="shared" si="10"/>
        <v>#DIV/0!</v>
      </c>
      <c r="S223" s="84"/>
      <c r="T223" s="81" t="e">
        <f t="shared" si="11"/>
        <v>#DIV/0!</v>
      </c>
      <c r="U223" s="81" t="e">
        <f>AVERAGE(T221:T223)</f>
        <v>#DIV/0!</v>
      </c>
      <c r="V223" s="81" t="e">
        <f>_xlfn.STDEV.S(T221:T223)</f>
        <v>#DIV/0!</v>
      </c>
      <c r="W223" s="81">
        <f>MAX(K221:K223)-MIN(K221:K223)</f>
        <v>0</v>
      </c>
    </row>
    <row r="224" spans="1:23" x14ac:dyDescent="0.4">
      <c r="A224" s="85" t="s">
        <v>402</v>
      </c>
      <c r="B224" s="92" t="s">
        <v>148</v>
      </c>
      <c r="C224" s="130" t="s">
        <v>176</v>
      </c>
      <c r="D224" s="131"/>
      <c r="E224" s="131"/>
      <c r="F224" s="131"/>
      <c r="G224" s="131"/>
      <c r="H224" s="131"/>
      <c r="I224" s="112"/>
      <c r="J224" s="82"/>
      <c r="K224" s="84">
        <v>10.43</v>
      </c>
      <c r="L224" s="86">
        <v>130000000</v>
      </c>
      <c r="M224" s="80"/>
      <c r="N224" s="87"/>
      <c r="P224" s="94"/>
      <c r="Q224" s="81" t="e">
        <f t="shared" si="9"/>
        <v>#DIV/0!</v>
      </c>
      <c r="R224" s="81" t="e">
        <f t="shared" si="10"/>
        <v>#DIV/0!</v>
      </c>
      <c r="S224" s="84"/>
      <c r="T224" s="81" t="e">
        <f t="shared" si="11"/>
        <v>#DIV/0!</v>
      </c>
      <c r="U224" s="81"/>
      <c r="V224" s="84"/>
      <c r="W224" s="84"/>
    </row>
    <row r="225" spans="1:23" x14ac:dyDescent="0.4">
      <c r="A225" s="85" t="s">
        <v>403</v>
      </c>
      <c r="B225" s="92" t="s">
        <v>148</v>
      </c>
      <c r="C225" s="130" t="s">
        <v>176</v>
      </c>
      <c r="D225" s="131"/>
      <c r="E225" s="131"/>
      <c r="F225" s="131"/>
      <c r="G225" s="131"/>
      <c r="H225" s="131"/>
      <c r="I225" s="112"/>
      <c r="J225" s="82"/>
      <c r="K225" s="84">
        <v>10.47</v>
      </c>
      <c r="L225" s="86">
        <v>126000000</v>
      </c>
      <c r="M225" s="80"/>
      <c r="N225" s="87"/>
      <c r="P225" s="94"/>
      <c r="Q225" s="81" t="e">
        <f t="shared" si="9"/>
        <v>#DIV/0!</v>
      </c>
      <c r="R225" s="81" t="e">
        <f t="shared" si="10"/>
        <v>#DIV/0!</v>
      </c>
      <c r="S225" s="84"/>
      <c r="T225" s="81" t="e">
        <f t="shared" si="11"/>
        <v>#DIV/0!</v>
      </c>
      <c r="U225" s="81"/>
      <c r="V225" s="84"/>
      <c r="W225" s="84"/>
    </row>
    <row r="226" spans="1:23" x14ac:dyDescent="0.4">
      <c r="A226" s="85" t="s">
        <v>404</v>
      </c>
      <c r="B226" s="92" t="s">
        <v>148</v>
      </c>
      <c r="C226" s="130" t="s">
        <v>176</v>
      </c>
      <c r="D226" s="131"/>
      <c r="E226" s="131"/>
      <c r="F226" s="131"/>
      <c r="G226" s="131"/>
      <c r="H226" s="131"/>
      <c r="I226" s="112"/>
      <c r="J226" s="82"/>
      <c r="K226" s="84">
        <v>10.5</v>
      </c>
      <c r="L226" s="86">
        <v>124000000</v>
      </c>
      <c r="M226" s="80"/>
      <c r="N226" s="87"/>
      <c r="P226" s="94"/>
      <c r="Q226" s="81" t="e">
        <f t="shared" si="9"/>
        <v>#DIV/0!</v>
      </c>
      <c r="R226" s="81" t="e">
        <f t="shared" si="10"/>
        <v>#DIV/0!</v>
      </c>
      <c r="S226" s="84"/>
      <c r="T226" s="81" t="e">
        <f t="shared" si="11"/>
        <v>#DIV/0!</v>
      </c>
      <c r="U226" s="81" t="e">
        <f>AVERAGE(T224:T226)</f>
        <v>#DIV/0!</v>
      </c>
      <c r="V226" s="81" t="e">
        <f>_xlfn.STDEV.S(T224:T226)</f>
        <v>#DIV/0!</v>
      </c>
      <c r="W226" s="81">
        <f>MAX(K224:K226)-MIN(K224:K226)</f>
        <v>7.0000000000000284E-2</v>
      </c>
    </row>
    <row r="227" spans="1:23" x14ac:dyDescent="0.4">
      <c r="A227" s="85" t="s">
        <v>405</v>
      </c>
      <c r="B227" s="92" t="s">
        <v>100</v>
      </c>
      <c r="C227" s="100" t="s">
        <v>8</v>
      </c>
      <c r="D227" s="129" t="s">
        <v>485</v>
      </c>
      <c r="E227" s="129" t="s">
        <v>484</v>
      </c>
      <c r="F227" s="129" t="s">
        <v>485</v>
      </c>
      <c r="G227" s="129" t="s">
        <v>484</v>
      </c>
      <c r="H227" s="129" t="s">
        <v>484</v>
      </c>
      <c r="I227" s="112">
        <v>4.8</v>
      </c>
      <c r="J227" s="82" t="s">
        <v>132</v>
      </c>
      <c r="K227" s="84">
        <v>13.43</v>
      </c>
      <c r="L227" s="86">
        <v>17800000</v>
      </c>
      <c r="M227" s="80">
        <v>0.4</v>
      </c>
      <c r="N227" s="87">
        <v>50</v>
      </c>
      <c r="O227">
        <v>0.66</v>
      </c>
      <c r="P227" s="94">
        <v>-0.136152194</v>
      </c>
      <c r="Q227" s="81">
        <f t="shared" si="9"/>
        <v>-4.8475164491289799</v>
      </c>
      <c r="R227" s="81">
        <f t="shared" si="10"/>
        <v>-10785724099.311981</v>
      </c>
      <c r="S227" s="84"/>
      <c r="T227" s="81" t="e">
        <f t="shared" si="11"/>
        <v>#DIV/0!</v>
      </c>
      <c r="U227" s="81"/>
      <c r="V227" s="84"/>
      <c r="W227" s="84"/>
    </row>
    <row r="228" spans="1:23" x14ac:dyDescent="0.4">
      <c r="A228" s="85" t="s">
        <v>406</v>
      </c>
      <c r="B228" s="92" t="s">
        <v>100</v>
      </c>
      <c r="C228" s="100" t="s">
        <v>8</v>
      </c>
      <c r="D228" s="129" t="s">
        <v>485</v>
      </c>
      <c r="E228" s="129" t="s">
        <v>484</v>
      </c>
      <c r="F228" s="129" t="s">
        <v>485</v>
      </c>
      <c r="G228" s="129" t="s">
        <v>484</v>
      </c>
      <c r="H228" s="129" t="s">
        <v>484</v>
      </c>
      <c r="I228" s="112">
        <v>4.8</v>
      </c>
      <c r="J228" s="82" t="s">
        <v>132</v>
      </c>
      <c r="K228" s="84">
        <v>13.47</v>
      </c>
      <c r="L228" s="86">
        <v>17300000</v>
      </c>
      <c r="M228" s="80">
        <v>0.4</v>
      </c>
      <c r="N228" s="87">
        <v>50</v>
      </c>
      <c r="O228">
        <v>0.66</v>
      </c>
      <c r="P228" s="94">
        <v>-0.136152194</v>
      </c>
      <c r="Q228" s="81">
        <f t="shared" si="9"/>
        <v>-4.8475164491289799</v>
      </c>
      <c r="R228" s="81">
        <f t="shared" si="10"/>
        <v>-10482754321.241419</v>
      </c>
      <c r="S228" s="84"/>
      <c r="T228" s="81" t="e">
        <f t="shared" si="11"/>
        <v>#DIV/0!</v>
      </c>
      <c r="U228" s="81"/>
      <c r="V228" s="84"/>
      <c r="W228" s="84"/>
    </row>
    <row r="229" spans="1:23" x14ac:dyDescent="0.4">
      <c r="A229" s="85" t="s">
        <v>407</v>
      </c>
      <c r="B229" s="92" t="s">
        <v>100</v>
      </c>
      <c r="C229" s="100" t="s">
        <v>8</v>
      </c>
      <c r="D229" s="129" t="s">
        <v>485</v>
      </c>
      <c r="E229" s="129" t="s">
        <v>484</v>
      </c>
      <c r="F229" s="129" t="s">
        <v>485</v>
      </c>
      <c r="G229" s="129" t="s">
        <v>484</v>
      </c>
      <c r="H229" s="129" t="s">
        <v>484</v>
      </c>
      <c r="I229" s="112">
        <v>4.8</v>
      </c>
      <c r="J229" s="82" t="s">
        <v>132</v>
      </c>
      <c r="K229" s="84">
        <v>13.71</v>
      </c>
      <c r="L229" s="86">
        <v>14700000</v>
      </c>
      <c r="M229" s="80">
        <v>0.4</v>
      </c>
      <c r="N229" s="87">
        <v>50</v>
      </c>
      <c r="O229">
        <v>0.66</v>
      </c>
      <c r="P229" s="94">
        <v>-0.136152194</v>
      </c>
      <c r="Q229" s="81">
        <f t="shared" si="9"/>
        <v>-4.8475164491289799</v>
      </c>
      <c r="R229" s="81">
        <f t="shared" si="10"/>
        <v>-8907311475.2744999</v>
      </c>
      <c r="S229" s="84"/>
      <c r="T229" s="81" t="e">
        <f t="shared" si="11"/>
        <v>#DIV/0!</v>
      </c>
      <c r="U229" s="81" t="e">
        <f>AVERAGE(T227:T229)</f>
        <v>#DIV/0!</v>
      </c>
      <c r="V229" s="81" t="e">
        <f>_xlfn.STDEV.S(T227:T229)</f>
        <v>#DIV/0!</v>
      </c>
      <c r="W229" s="81">
        <f>MAX(K227:K229)-MIN(K227:K229)</f>
        <v>0.28000000000000114</v>
      </c>
    </row>
    <row r="230" spans="1:23" x14ac:dyDescent="0.4">
      <c r="A230" s="85" t="s">
        <v>408</v>
      </c>
      <c r="B230" s="92" t="s">
        <v>101</v>
      </c>
      <c r="C230" s="100" t="s">
        <v>9</v>
      </c>
      <c r="D230" s="129" t="s">
        <v>485</v>
      </c>
      <c r="E230" s="129" t="s">
        <v>484</v>
      </c>
      <c r="F230" s="129" t="s">
        <v>485</v>
      </c>
      <c r="G230" s="129" t="s">
        <v>485</v>
      </c>
      <c r="H230" s="129" t="s">
        <v>484</v>
      </c>
      <c r="I230" s="112">
        <v>4.8</v>
      </c>
      <c r="J230" s="82" t="s">
        <v>132</v>
      </c>
      <c r="K230" s="84">
        <v>13.68</v>
      </c>
      <c r="L230" s="86">
        <v>15000000</v>
      </c>
      <c r="M230" s="80">
        <v>0.4</v>
      </c>
      <c r="N230" s="87">
        <v>50</v>
      </c>
      <c r="O230">
        <v>0.61</v>
      </c>
      <c r="P230" s="94">
        <v>-1.7535663E-2</v>
      </c>
      <c r="Q230" s="81">
        <f t="shared" si="9"/>
        <v>-34.786252450221014</v>
      </c>
      <c r="R230" s="81">
        <f t="shared" si="10"/>
        <v>-65224223344.164398</v>
      </c>
      <c r="S230" s="84"/>
      <c r="T230" s="81" t="e">
        <f t="shared" si="11"/>
        <v>#DIV/0!</v>
      </c>
      <c r="U230" s="81"/>
      <c r="V230" s="84"/>
      <c r="W230" s="84"/>
    </row>
    <row r="231" spans="1:23" x14ac:dyDescent="0.4">
      <c r="A231" s="85" t="s">
        <v>409</v>
      </c>
      <c r="B231" s="92" t="s">
        <v>101</v>
      </c>
      <c r="C231" s="100" t="s">
        <v>9</v>
      </c>
      <c r="D231" s="129" t="s">
        <v>485</v>
      </c>
      <c r="E231" s="129" t="s">
        <v>484</v>
      </c>
      <c r="F231" s="129" t="s">
        <v>485</v>
      </c>
      <c r="G231" s="129" t="s">
        <v>485</v>
      </c>
      <c r="H231" s="129" t="s">
        <v>484</v>
      </c>
      <c r="I231" s="112">
        <v>4.8</v>
      </c>
      <c r="J231" s="82" t="s">
        <v>132</v>
      </c>
      <c r="K231" s="84">
        <v>13.27</v>
      </c>
      <c r="L231" s="86">
        <v>19800000</v>
      </c>
      <c r="M231" s="80">
        <v>0.4</v>
      </c>
      <c r="N231" s="87">
        <v>50</v>
      </c>
      <c r="O231">
        <v>0.61</v>
      </c>
      <c r="P231" s="94">
        <v>-1.7535663E-2</v>
      </c>
      <c r="Q231" s="81">
        <f t="shared" si="9"/>
        <v>-34.786252450221014</v>
      </c>
      <c r="R231" s="81">
        <f t="shared" si="10"/>
        <v>-86095974814.296997</v>
      </c>
      <c r="S231" s="84"/>
      <c r="T231" s="81" t="e">
        <f t="shared" si="11"/>
        <v>#DIV/0!</v>
      </c>
      <c r="U231" s="81"/>
      <c r="V231" s="84"/>
      <c r="W231" s="84"/>
    </row>
    <row r="232" spans="1:23" x14ac:dyDescent="0.4">
      <c r="A232" s="85" t="s">
        <v>410</v>
      </c>
      <c r="B232" s="92" t="s">
        <v>101</v>
      </c>
      <c r="C232" s="100" t="s">
        <v>9</v>
      </c>
      <c r="D232" s="129" t="s">
        <v>485</v>
      </c>
      <c r="E232" s="129" t="s">
        <v>484</v>
      </c>
      <c r="F232" s="129" t="s">
        <v>485</v>
      </c>
      <c r="G232" s="129" t="s">
        <v>485</v>
      </c>
      <c r="H232" s="129" t="s">
        <v>484</v>
      </c>
      <c r="I232" s="112">
        <v>4.8</v>
      </c>
      <c r="J232" s="82" t="s">
        <v>132</v>
      </c>
      <c r="K232" s="84">
        <v>13.52</v>
      </c>
      <c r="L232" s="86">
        <v>16700000</v>
      </c>
      <c r="M232" s="80">
        <v>0.4</v>
      </c>
      <c r="N232" s="87">
        <v>50</v>
      </c>
      <c r="O232">
        <v>0.61</v>
      </c>
      <c r="P232" s="94">
        <v>-1.7535663E-2</v>
      </c>
      <c r="Q232" s="81">
        <f t="shared" si="9"/>
        <v>-34.786252450221014</v>
      </c>
      <c r="R232" s="81">
        <f t="shared" si="10"/>
        <v>-72616301989.836365</v>
      </c>
      <c r="S232" s="84"/>
      <c r="T232" s="81" t="e">
        <f t="shared" si="11"/>
        <v>#DIV/0!</v>
      </c>
      <c r="U232" s="81" t="e">
        <f>AVERAGE(T230:T232)</f>
        <v>#DIV/0!</v>
      </c>
      <c r="V232" s="81" t="e">
        <f>_xlfn.STDEV.S(T230:T232)</f>
        <v>#DIV/0!</v>
      </c>
      <c r="W232" s="81">
        <f>MAX(K230:K232)-MIN(K230:K232)</f>
        <v>0.41000000000000014</v>
      </c>
    </row>
    <row r="233" spans="1:23" x14ac:dyDescent="0.4">
      <c r="A233" s="85" t="s">
        <v>411</v>
      </c>
      <c r="B233" s="76" t="s">
        <v>174</v>
      </c>
      <c r="C233" s="130"/>
      <c r="D233" s="131"/>
      <c r="E233" s="131"/>
      <c r="F233" s="131"/>
      <c r="G233" s="131"/>
      <c r="H233" s="131"/>
      <c r="I233" s="112"/>
      <c r="J233" s="82"/>
      <c r="K233" s="84"/>
      <c r="L233" s="84"/>
      <c r="M233" s="80"/>
      <c r="N233" s="84"/>
      <c r="P233" s="94"/>
      <c r="Q233" s="81" t="e">
        <f t="shared" si="9"/>
        <v>#DIV/0!</v>
      </c>
      <c r="R233" s="81" t="e">
        <f t="shared" si="10"/>
        <v>#DIV/0!</v>
      </c>
      <c r="S233" s="84"/>
      <c r="T233" s="81" t="e">
        <f t="shared" si="11"/>
        <v>#DIV/0!</v>
      </c>
      <c r="U233" s="81"/>
      <c r="V233" s="84"/>
      <c r="W233" s="84"/>
    </row>
    <row r="234" spans="1:23" x14ac:dyDescent="0.4">
      <c r="A234" s="85" t="s">
        <v>412</v>
      </c>
      <c r="B234" s="76" t="s">
        <v>174</v>
      </c>
      <c r="C234" s="130"/>
      <c r="D234" s="131"/>
      <c r="E234" s="131"/>
      <c r="F234" s="131"/>
      <c r="G234" s="131"/>
      <c r="H234" s="131"/>
      <c r="I234" s="112"/>
      <c r="J234" s="82"/>
      <c r="K234" s="84"/>
      <c r="L234" s="84"/>
      <c r="M234" s="80"/>
      <c r="N234" s="84"/>
      <c r="P234" s="94"/>
      <c r="Q234" s="81" t="e">
        <f t="shared" si="9"/>
        <v>#DIV/0!</v>
      </c>
      <c r="R234" s="81" t="e">
        <f t="shared" si="10"/>
        <v>#DIV/0!</v>
      </c>
      <c r="S234" s="84"/>
      <c r="T234" s="81" t="e">
        <f t="shared" si="11"/>
        <v>#DIV/0!</v>
      </c>
      <c r="U234" s="81"/>
      <c r="V234" s="84"/>
      <c r="W234" s="84"/>
    </row>
    <row r="235" spans="1:23" x14ac:dyDescent="0.4">
      <c r="A235" s="85" t="s">
        <v>413</v>
      </c>
      <c r="B235" s="76" t="s">
        <v>174</v>
      </c>
      <c r="C235" s="130"/>
      <c r="D235" s="131"/>
      <c r="E235" s="131"/>
      <c r="F235" s="131"/>
      <c r="G235" s="131"/>
      <c r="H235" s="131"/>
      <c r="I235" s="112"/>
      <c r="J235" s="82"/>
      <c r="K235" s="84"/>
      <c r="L235" s="84"/>
      <c r="M235" s="80"/>
      <c r="N235" s="84"/>
      <c r="P235" s="94"/>
      <c r="Q235" s="81" t="e">
        <f t="shared" si="9"/>
        <v>#DIV/0!</v>
      </c>
      <c r="R235" s="81" t="e">
        <f t="shared" si="10"/>
        <v>#DIV/0!</v>
      </c>
      <c r="S235" s="84"/>
      <c r="T235" s="81" t="e">
        <f t="shared" si="11"/>
        <v>#DIV/0!</v>
      </c>
      <c r="U235" s="81" t="e">
        <f>AVERAGE(T233:T235)</f>
        <v>#DIV/0!</v>
      </c>
      <c r="V235" s="81" t="e">
        <f>_xlfn.STDEV.S(T233:T235)</f>
        <v>#DIV/0!</v>
      </c>
      <c r="W235" s="81">
        <f>MAX(K233:K235)-MIN(K233:K235)</f>
        <v>0</v>
      </c>
    </row>
    <row r="236" spans="1:23" x14ac:dyDescent="0.4">
      <c r="A236" s="85" t="s">
        <v>414</v>
      </c>
      <c r="B236" s="92" t="s">
        <v>146</v>
      </c>
      <c r="C236" s="130" t="s">
        <v>177</v>
      </c>
      <c r="D236" s="131"/>
      <c r="E236" s="131"/>
      <c r="F236" s="131"/>
      <c r="G236" s="131"/>
      <c r="H236" s="131"/>
      <c r="I236" s="112"/>
      <c r="J236" s="82"/>
      <c r="K236" s="84">
        <v>14.51</v>
      </c>
      <c r="L236" s="86">
        <v>8650000</v>
      </c>
      <c r="M236" s="80"/>
      <c r="N236" s="87"/>
      <c r="P236" s="94"/>
      <c r="Q236" s="81" t="e">
        <f t="shared" si="9"/>
        <v>#DIV/0!</v>
      </c>
      <c r="R236" s="81" t="e">
        <f t="shared" si="10"/>
        <v>#DIV/0!</v>
      </c>
      <c r="S236" s="84"/>
      <c r="T236" s="81" t="e">
        <f t="shared" si="11"/>
        <v>#DIV/0!</v>
      </c>
      <c r="U236" s="81"/>
      <c r="V236" s="84"/>
      <c r="W236" s="84"/>
    </row>
    <row r="237" spans="1:23" x14ac:dyDescent="0.4">
      <c r="A237" s="85" t="s">
        <v>415</v>
      </c>
      <c r="B237" s="92" t="s">
        <v>146</v>
      </c>
      <c r="C237" s="130" t="s">
        <v>177</v>
      </c>
      <c r="D237" s="131"/>
      <c r="E237" s="131"/>
      <c r="F237" s="131"/>
      <c r="G237" s="131"/>
      <c r="H237" s="131"/>
      <c r="I237" s="112"/>
      <c r="J237" s="82"/>
      <c r="K237" s="84">
        <v>14.58</v>
      </c>
      <c r="L237" s="86">
        <v>8260000</v>
      </c>
      <c r="M237" s="80"/>
      <c r="N237" s="87"/>
      <c r="P237" s="94"/>
      <c r="Q237" s="81" t="e">
        <f t="shared" si="9"/>
        <v>#DIV/0!</v>
      </c>
      <c r="R237" s="81" t="e">
        <f t="shared" si="10"/>
        <v>#DIV/0!</v>
      </c>
      <c r="S237" s="84"/>
      <c r="T237" s="81" t="e">
        <f t="shared" si="11"/>
        <v>#DIV/0!</v>
      </c>
      <c r="U237" s="81"/>
      <c r="V237" s="84"/>
      <c r="W237" s="84"/>
    </row>
    <row r="238" spans="1:23" x14ac:dyDescent="0.4">
      <c r="A238" s="85" t="s">
        <v>416</v>
      </c>
      <c r="B238" s="92" t="s">
        <v>146</v>
      </c>
      <c r="C238" s="130" t="s">
        <v>177</v>
      </c>
      <c r="D238" s="131"/>
      <c r="E238" s="131"/>
      <c r="F238" s="131"/>
      <c r="G238" s="131"/>
      <c r="H238" s="131"/>
      <c r="I238" s="112"/>
      <c r="J238" s="82"/>
      <c r="K238" s="84">
        <v>14.53</v>
      </c>
      <c r="L238" s="86">
        <v>8560000</v>
      </c>
      <c r="M238" s="80"/>
      <c r="N238" s="87"/>
      <c r="P238" s="94"/>
      <c r="Q238" s="81" t="e">
        <f t="shared" si="9"/>
        <v>#DIV/0!</v>
      </c>
      <c r="R238" s="81" t="e">
        <f t="shared" si="10"/>
        <v>#DIV/0!</v>
      </c>
      <c r="S238" s="84"/>
      <c r="T238" s="81" t="e">
        <f t="shared" si="11"/>
        <v>#DIV/0!</v>
      </c>
      <c r="U238" s="81" t="e">
        <f>AVERAGE(T236:T238)</f>
        <v>#DIV/0!</v>
      </c>
      <c r="V238" s="81" t="e">
        <f>_xlfn.STDEV.S(T236:T238)</f>
        <v>#DIV/0!</v>
      </c>
      <c r="W238" s="81">
        <f>MAX(K236:K238)-MIN(K236:K238)</f>
        <v>7.0000000000000284E-2</v>
      </c>
    </row>
    <row r="239" spans="1:23" x14ac:dyDescent="0.4">
      <c r="A239" s="85" t="s">
        <v>417</v>
      </c>
      <c r="B239" s="92" t="s">
        <v>110</v>
      </c>
      <c r="C239" s="100" t="s">
        <v>8</v>
      </c>
      <c r="D239" s="129" t="s">
        <v>485</v>
      </c>
      <c r="E239" s="129" t="s">
        <v>484</v>
      </c>
      <c r="F239" s="129" t="s">
        <v>485</v>
      </c>
      <c r="G239" s="129" t="s">
        <v>484</v>
      </c>
      <c r="H239" s="129" t="s">
        <v>484</v>
      </c>
      <c r="I239" s="112">
        <v>5.8</v>
      </c>
      <c r="J239" s="82" t="s">
        <v>132</v>
      </c>
      <c r="K239" s="84">
        <v>9.89</v>
      </c>
      <c r="L239" s="86">
        <v>187000000</v>
      </c>
      <c r="M239" s="80">
        <v>0.4</v>
      </c>
      <c r="N239" s="87">
        <v>50</v>
      </c>
      <c r="O239">
        <v>7.24</v>
      </c>
      <c r="P239" s="94">
        <v>3.9626258700000001</v>
      </c>
      <c r="Q239" s="81">
        <f t="shared" si="9"/>
        <v>1.8270713000720404</v>
      </c>
      <c r="R239" s="81">
        <f t="shared" si="10"/>
        <v>42707791639.183945</v>
      </c>
      <c r="S239" s="84"/>
      <c r="T239" s="81" t="e">
        <f t="shared" si="11"/>
        <v>#DIV/0!</v>
      </c>
      <c r="U239" s="81"/>
      <c r="V239" s="84"/>
      <c r="W239" s="84"/>
    </row>
    <row r="240" spans="1:23" x14ac:dyDescent="0.4">
      <c r="A240" s="85" t="s">
        <v>418</v>
      </c>
      <c r="B240" s="92" t="s">
        <v>110</v>
      </c>
      <c r="C240" s="100" t="s">
        <v>8</v>
      </c>
      <c r="D240" s="129" t="s">
        <v>485</v>
      </c>
      <c r="E240" s="129" t="s">
        <v>484</v>
      </c>
      <c r="F240" s="129" t="s">
        <v>485</v>
      </c>
      <c r="G240" s="129" t="s">
        <v>484</v>
      </c>
      <c r="H240" s="129" t="s">
        <v>484</v>
      </c>
      <c r="I240" s="112">
        <v>5.8</v>
      </c>
      <c r="J240" s="82" t="s">
        <v>132</v>
      </c>
      <c r="K240" s="84">
        <v>9.81</v>
      </c>
      <c r="L240" s="86">
        <v>196000000</v>
      </c>
      <c r="M240" s="80">
        <v>0.4</v>
      </c>
      <c r="N240" s="87">
        <v>50</v>
      </c>
      <c r="O240">
        <v>7.24</v>
      </c>
      <c r="P240" s="94">
        <v>3.9626258700000001</v>
      </c>
      <c r="Q240" s="81">
        <f t="shared" si="9"/>
        <v>1.8270713000720404</v>
      </c>
      <c r="R240" s="81">
        <f t="shared" si="10"/>
        <v>44763246851.764992</v>
      </c>
      <c r="S240" s="84"/>
      <c r="T240" s="81" t="e">
        <f t="shared" si="11"/>
        <v>#DIV/0!</v>
      </c>
      <c r="U240" s="81"/>
      <c r="V240" s="84"/>
      <c r="W240" s="84"/>
    </row>
    <row r="241" spans="1:23" x14ac:dyDescent="0.4">
      <c r="A241" s="85" t="s">
        <v>419</v>
      </c>
      <c r="B241" s="92" t="s">
        <v>110</v>
      </c>
      <c r="C241" s="100" t="s">
        <v>8</v>
      </c>
      <c r="D241" s="129" t="s">
        <v>485</v>
      </c>
      <c r="E241" s="129" t="s">
        <v>484</v>
      </c>
      <c r="F241" s="129" t="s">
        <v>485</v>
      </c>
      <c r="G241" s="129" t="s">
        <v>484</v>
      </c>
      <c r="H241" s="129" t="s">
        <v>484</v>
      </c>
      <c r="I241" s="112">
        <v>5.8</v>
      </c>
      <c r="J241" s="82" t="s">
        <v>132</v>
      </c>
      <c r="K241" s="84">
        <v>9.93</v>
      </c>
      <c r="L241" s="86">
        <v>181000000</v>
      </c>
      <c r="M241" s="80">
        <v>0.4</v>
      </c>
      <c r="N241" s="87">
        <v>50</v>
      </c>
      <c r="O241">
        <v>7.24</v>
      </c>
      <c r="P241" s="94">
        <v>3.9626258700000001</v>
      </c>
      <c r="Q241" s="81">
        <f t="shared" si="9"/>
        <v>1.8270713000720404</v>
      </c>
      <c r="R241" s="81">
        <f t="shared" si="10"/>
        <v>41337488164.129913</v>
      </c>
      <c r="S241" s="84"/>
      <c r="T241" s="81" t="e">
        <f t="shared" si="11"/>
        <v>#DIV/0!</v>
      </c>
      <c r="U241" s="81" t="e">
        <f>AVERAGE(T239:T241)</f>
        <v>#DIV/0!</v>
      </c>
      <c r="V241" s="81" t="e">
        <f>_xlfn.STDEV.S(T239:T241)</f>
        <v>#DIV/0!</v>
      </c>
      <c r="W241" s="81">
        <f>MAX(K239:K241)-MIN(K239:K241)</f>
        <v>0.11999999999999922</v>
      </c>
    </row>
    <row r="242" spans="1:23" x14ac:dyDescent="0.4">
      <c r="A242" s="85" t="s">
        <v>420</v>
      </c>
      <c r="B242" s="92" t="s">
        <v>111</v>
      </c>
      <c r="C242" s="100" t="s">
        <v>9</v>
      </c>
      <c r="D242" s="129" t="s">
        <v>485</v>
      </c>
      <c r="E242" s="129" t="s">
        <v>484</v>
      </c>
      <c r="F242" s="129" t="s">
        <v>485</v>
      </c>
      <c r="G242" s="129" t="s">
        <v>485</v>
      </c>
      <c r="H242" s="129" t="s">
        <v>484</v>
      </c>
      <c r="I242" s="112">
        <v>5.8</v>
      </c>
      <c r="J242" s="82" t="s">
        <v>132</v>
      </c>
      <c r="K242" s="84">
        <v>10.97</v>
      </c>
      <c r="L242" s="86">
        <v>90900000</v>
      </c>
      <c r="M242" s="80">
        <v>0.4</v>
      </c>
      <c r="N242" s="87">
        <v>50</v>
      </c>
      <c r="O242">
        <v>6.09</v>
      </c>
      <c r="P242" s="94">
        <v>3.51862158</v>
      </c>
      <c r="Q242" s="81">
        <f t="shared" si="9"/>
        <v>1.7307914083787321</v>
      </c>
      <c r="R242" s="81">
        <f t="shared" si="10"/>
        <v>19666117377.703342</v>
      </c>
      <c r="S242" s="84"/>
      <c r="T242" s="81" t="e">
        <f t="shared" si="11"/>
        <v>#DIV/0!</v>
      </c>
      <c r="U242" s="81"/>
      <c r="V242" s="84"/>
      <c r="W242" s="84"/>
    </row>
    <row r="243" spans="1:23" x14ac:dyDescent="0.4">
      <c r="A243" s="85" t="s">
        <v>421</v>
      </c>
      <c r="B243" s="92" t="s">
        <v>111</v>
      </c>
      <c r="C243" s="100" t="s">
        <v>9</v>
      </c>
      <c r="D243" s="129" t="s">
        <v>485</v>
      </c>
      <c r="E243" s="129" t="s">
        <v>484</v>
      </c>
      <c r="F243" s="129" t="s">
        <v>485</v>
      </c>
      <c r="G243" s="129" t="s">
        <v>485</v>
      </c>
      <c r="H243" s="129" t="s">
        <v>484</v>
      </c>
      <c r="I243" s="112">
        <v>5.8</v>
      </c>
      <c r="J243" s="82" t="s">
        <v>132</v>
      </c>
      <c r="K243" s="84">
        <v>10.89</v>
      </c>
      <c r="L243" s="86">
        <v>95700000</v>
      </c>
      <c r="M243" s="80">
        <v>0.4</v>
      </c>
      <c r="N243" s="87">
        <v>50</v>
      </c>
      <c r="O243">
        <v>6.09</v>
      </c>
      <c r="P243" s="94">
        <v>3.51862158</v>
      </c>
      <c r="Q243" s="81">
        <f t="shared" si="9"/>
        <v>1.7307914083787321</v>
      </c>
      <c r="R243" s="81">
        <f t="shared" si="10"/>
        <v>20704592222.730583</v>
      </c>
      <c r="S243" s="84"/>
      <c r="T243" s="81" t="e">
        <f t="shared" si="11"/>
        <v>#DIV/0!</v>
      </c>
      <c r="U243" s="81"/>
      <c r="V243" s="84"/>
      <c r="W243" s="84"/>
    </row>
    <row r="244" spans="1:23" x14ac:dyDescent="0.4">
      <c r="A244" s="85" t="s">
        <v>422</v>
      </c>
      <c r="B244" s="92" t="s">
        <v>111</v>
      </c>
      <c r="C244" s="100" t="s">
        <v>9</v>
      </c>
      <c r="D244" s="129" t="s">
        <v>485</v>
      </c>
      <c r="E244" s="129" t="s">
        <v>484</v>
      </c>
      <c r="F244" s="129" t="s">
        <v>485</v>
      </c>
      <c r="G244" s="129" t="s">
        <v>485</v>
      </c>
      <c r="H244" s="129" t="s">
        <v>484</v>
      </c>
      <c r="I244" s="112">
        <v>5.8</v>
      </c>
      <c r="J244" s="82" t="s">
        <v>132</v>
      </c>
      <c r="K244" s="84">
        <v>11.03</v>
      </c>
      <c r="L244" s="86">
        <v>87300000</v>
      </c>
      <c r="M244" s="80">
        <v>0.4</v>
      </c>
      <c r="N244" s="87">
        <v>50</v>
      </c>
      <c r="O244">
        <v>6.09</v>
      </c>
      <c r="P244" s="94">
        <v>3.51862158</v>
      </c>
      <c r="Q244" s="81">
        <f t="shared" si="9"/>
        <v>1.7307914083787321</v>
      </c>
      <c r="R244" s="81">
        <f t="shared" si="10"/>
        <v>18887261243.932915</v>
      </c>
      <c r="S244" s="84"/>
      <c r="T244" s="81" t="e">
        <f t="shared" si="11"/>
        <v>#DIV/0!</v>
      </c>
      <c r="U244" s="81" t="e">
        <f>AVERAGE(T242:T244)</f>
        <v>#DIV/0!</v>
      </c>
      <c r="V244" s="81" t="e">
        <f>_xlfn.STDEV.S(T242:T244)</f>
        <v>#DIV/0!</v>
      </c>
      <c r="W244" s="81">
        <f>MAX(K242:K244)-MIN(K242:K244)</f>
        <v>0.13999999999999879</v>
      </c>
    </row>
    <row r="245" spans="1:23" x14ac:dyDescent="0.4">
      <c r="A245" s="85" t="s">
        <v>423</v>
      </c>
      <c r="B245" s="76" t="s">
        <v>174</v>
      </c>
      <c r="C245" s="130"/>
      <c r="D245" s="131"/>
      <c r="E245" s="131"/>
      <c r="F245" s="131"/>
      <c r="G245" s="131"/>
      <c r="H245" s="131"/>
      <c r="I245" s="112"/>
      <c r="J245" s="82"/>
      <c r="K245" s="84"/>
      <c r="L245" s="84"/>
      <c r="M245" s="80"/>
      <c r="N245" s="84"/>
      <c r="P245" s="94"/>
      <c r="Q245" s="81" t="e">
        <f t="shared" si="9"/>
        <v>#DIV/0!</v>
      </c>
      <c r="R245" s="81" t="e">
        <f t="shared" si="10"/>
        <v>#DIV/0!</v>
      </c>
      <c r="S245" s="84"/>
      <c r="T245" s="81" t="e">
        <f t="shared" si="11"/>
        <v>#DIV/0!</v>
      </c>
      <c r="U245" s="81"/>
      <c r="V245" s="84"/>
      <c r="W245" s="84"/>
    </row>
    <row r="246" spans="1:23" x14ac:dyDescent="0.4">
      <c r="A246" s="85" t="s">
        <v>424</v>
      </c>
      <c r="B246" s="76" t="s">
        <v>174</v>
      </c>
      <c r="C246" s="130"/>
      <c r="D246" s="131"/>
      <c r="E246" s="131"/>
      <c r="F246" s="131"/>
      <c r="G246" s="131"/>
      <c r="H246" s="131"/>
      <c r="I246" s="112"/>
      <c r="J246" s="82"/>
      <c r="K246" s="84"/>
      <c r="L246" s="84"/>
      <c r="M246" s="80"/>
      <c r="N246" s="84"/>
      <c r="P246" s="94"/>
      <c r="Q246" s="81" t="e">
        <f t="shared" si="9"/>
        <v>#DIV/0!</v>
      </c>
      <c r="R246" s="81" t="e">
        <f t="shared" si="10"/>
        <v>#DIV/0!</v>
      </c>
      <c r="S246" s="84"/>
      <c r="T246" s="81" t="e">
        <f t="shared" si="11"/>
        <v>#DIV/0!</v>
      </c>
      <c r="U246" s="81"/>
      <c r="V246" s="84"/>
      <c r="W246" s="84"/>
    </row>
    <row r="247" spans="1:23" x14ac:dyDescent="0.4">
      <c r="A247" s="85" t="s">
        <v>425</v>
      </c>
      <c r="B247" s="76" t="s">
        <v>174</v>
      </c>
      <c r="C247" s="130"/>
      <c r="D247" s="131"/>
      <c r="E247" s="131"/>
      <c r="F247" s="131"/>
      <c r="G247" s="131"/>
      <c r="H247" s="131"/>
      <c r="I247" s="112"/>
      <c r="J247" s="82"/>
      <c r="K247" s="84"/>
      <c r="L247" s="84"/>
      <c r="M247" s="80"/>
      <c r="N247" s="84"/>
      <c r="P247" s="94"/>
      <c r="Q247" s="81" t="e">
        <f t="shared" si="9"/>
        <v>#DIV/0!</v>
      </c>
      <c r="R247" s="81" t="e">
        <f t="shared" si="10"/>
        <v>#DIV/0!</v>
      </c>
      <c r="S247" s="84"/>
      <c r="T247" s="81" t="e">
        <f t="shared" si="11"/>
        <v>#DIV/0!</v>
      </c>
      <c r="U247" s="81" t="e">
        <f>AVERAGE(T245:T247)</f>
        <v>#DIV/0!</v>
      </c>
      <c r="V247" s="81" t="e">
        <f>_xlfn.STDEV.S(T245:T247)</f>
        <v>#DIV/0!</v>
      </c>
      <c r="W247" s="81">
        <f>MAX(K245:K247)-MIN(K245:K247)</f>
        <v>0</v>
      </c>
    </row>
    <row r="248" spans="1:23" x14ac:dyDescent="0.4">
      <c r="A248" s="85" t="s">
        <v>426</v>
      </c>
      <c r="B248" s="92" t="s">
        <v>149</v>
      </c>
      <c r="C248" s="130" t="s">
        <v>178</v>
      </c>
      <c r="D248" s="131"/>
      <c r="E248" s="131"/>
      <c r="F248" s="131"/>
      <c r="G248" s="131"/>
      <c r="H248" s="131"/>
      <c r="I248" s="112"/>
      <c r="J248" s="82"/>
      <c r="K248" s="84">
        <v>20.98</v>
      </c>
      <c r="L248" s="86">
        <v>118000</v>
      </c>
      <c r="M248" s="80"/>
      <c r="N248" s="87"/>
      <c r="P248" s="94"/>
      <c r="Q248" s="81" t="e">
        <f t="shared" si="9"/>
        <v>#DIV/0!</v>
      </c>
      <c r="R248" s="81" t="e">
        <f t="shared" si="10"/>
        <v>#DIV/0!</v>
      </c>
      <c r="S248" s="84"/>
      <c r="T248" s="81" t="e">
        <f t="shared" si="11"/>
        <v>#DIV/0!</v>
      </c>
      <c r="U248" s="81"/>
      <c r="V248" s="84"/>
      <c r="W248" s="84"/>
    </row>
    <row r="249" spans="1:23" x14ac:dyDescent="0.4">
      <c r="A249" s="85" t="s">
        <v>427</v>
      </c>
      <c r="B249" s="92" t="s">
        <v>149</v>
      </c>
      <c r="C249" s="130" t="s">
        <v>178</v>
      </c>
      <c r="D249" s="131"/>
      <c r="E249" s="131"/>
      <c r="F249" s="131"/>
      <c r="G249" s="131"/>
      <c r="H249" s="131"/>
      <c r="I249" s="112"/>
      <c r="J249" s="82"/>
      <c r="K249" s="84">
        <v>21.72</v>
      </c>
      <c r="L249" s="86">
        <v>72100</v>
      </c>
      <c r="M249" s="80"/>
      <c r="N249" s="87"/>
      <c r="P249" s="94"/>
      <c r="Q249" s="81" t="e">
        <f t="shared" si="9"/>
        <v>#DIV/0!</v>
      </c>
      <c r="R249" s="81" t="e">
        <f t="shared" si="10"/>
        <v>#DIV/0!</v>
      </c>
      <c r="S249" s="84"/>
      <c r="T249" s="81" t="e">
        <f t="shared" si="11"/>
        <v>#DIV/0!</v>
      </c>
      <c r="U249" s="81"/>
      <c r="V249" s="84"/>
      <c r="W249" s="84"/>
    </row>
    <row r="250" spans="1:23" x14ac:dyDescent="0.4">
      <c r="A250" s="85" t="s">
        <v>428</v>
      </c>
      <c r="B250" s="92" t="s">
        <v>149</v>
      </c>
      <c r="C250" s="130" t="s">
        <v>178</v>
      </c>
      <c r="D250" s="131"/>
      <c r="E250" s="131"/>
      <c r="F250" s="131"/>
      <c r="G250" s="131"/>
      <c r="H250" s="131"/>
      <c r="I250" s="112"/>
      <c r="J250" s="82"/>
      <c r="K250" s="84">
        <v>21.66</v>
      </c>
      <c r="L250" s="86">
        <v>75300</v>
      </c>
      <c r="M250" s="80"/>
      <c r="N250" s="87"/>
      <c r="P250" s="94"/>
      <c r="Q250" s="81" t="e">
        <f t="shared" si="9"/>
        <v>#DIV/0!</v>
      </c>
      <c r="R250" s="81" t="e">
        <f t="shared" si="10"/>
        <v>#DIV/0!</v>
      </c>
      <c r="S250" s="84"/>
      <c r="T250" s="81" t="e">
        <f t="shared" si="11"/>
        <v>#DIV/0!</v>
      </c>
      <c r="U250" s="81" t="e">
        <f>AVERAGE(T248:T250)</f>
        <v>#DIV/0!</v>
      </c>
      <c r="V250" s="81" t="e">
        <f>_xlfn.STDEV.S(T248:T250)</f>
        <v>#DIV/0!</v>
      </c>
      <c r="W250" s="81">
        <f>MAX(K248:K250)-MIN(K248:K250)</f>
        <v>0.73999999999999844</v>
      </c>
    </row>
    <row r="251" spans="1:23" x14ac:dyDescent="0.4">
      <c r="A251" s="85" t="s">
        <v>429</v>
      </c>
      <c r="B251" s="92" t="s">
        <v>120</v>
      </c>
      <c r="C251" s="100" t="s">
        <v>8</v>
      </c>
      <c r="D251" s="129" t="s">
        <v>485</v>
      </c>
      <c r="E251" s="129" t="s">
        <v>484</v>
      </c>
      <c r="F251" s="129" t="s">
        <v>485</v>
      </c>
      <c r="G251" s="129" t="s">
        <v>484</v>
      </c>
      <c r="H251" s="129" t="s">
        <v>484</v>
      </c>
      <c r="I251" s="112">
        <v>4.8</v>
      </c>
      <c r="J251" s="82" t="s">
        <v>133</v>
      </c>
      <c r="K251" s="84">
        <v>11.34</v>
      </c>
      <c r="L251" s="86">
        <v>71000000</v>
      </c>
      <c r="M251" s="80">
        <v>0.4</v>
      </c>
      <c r="N251" s="87">
        <v>50</v>
      </c>
      <c r="O251">
        <v>3.41</v>
      </c>
      <c r="P251" s="94">
        <v>3.3580046440000002</v>
      </c>
      <c r="Q251" s="81">
        <f t="shared" si="9"/>
        <v>1.0154840036010384</v>
      </c>
      <c r="R251" s="81">
        <f t="shared" si="10"/>
        <v>9012420531.9592152</v>
      </c>
      <c r="S251" s="84"/>
      <c r="T251" s="81" t="e">
        <f t="shared" si="11"/>
        <v>#DIV/0!</v>
      </c>
      <c r="U251" s="81"/>
      <c r="V251" s="84"/>
      <c r="W251" s="84"/>
    </row>
    <row r="252" spans="1:23" x14ac:dyDescent="0.4">
      <c r="A252" s="85" t="s">
        <v>430</v>
      </c>
      <c r="B252" s="92" t="s">
        <v>120</v>
      </c>
      <c r="C252" s="100" t="s">
        <v>8</v>
      </c>
      <c r="D252" s="129" t="s">
        <v>485</v>
      </c>
      <c r="E252" s="129" t="s">
        <v>484</v>
      </c>
      <c r="F252" s="129" t="s">
        <v>485</v>
      </c>
      <c r="G252" s="129" t="s">
        <v>484</v>
      </c>
      <c r="H252" s="129" t="s">
        <v>484</v>
      </c>
      <c r="I252" s="112">
        <v>4.8</v>
      </c>
      <c r="J252" s="82" t="s">
        <v>133</v>
      </c>
      <c r="K252" s="84">
        <v>11.29</v>
      </c>
      <c r="L252" s="86">
        <v>73600000</v>
      </c>
      <c r="M252" s="80">
        <v>0.4</v>
      </c>
      <c r="N252" s="87">
        <v>50</v>
      </c>
      <c r="O252">
        <v>3.41</v>
      </c>
      <c r="P252" s="94">
        <v>3.3580046440000002</v>
      </c>
      <c r="Q252" s="81">
        <f t="shared" si="9"/>
        <v>1.0154840036010384</v>
      </c>
      <c r="R252" s="81">
        <f t="shared" si="10"/>
        <v>9342452833.1295528</v>
      </c>
      <c r="S252" s="84"/>
      <c r="T252" s="81" t="e">
        <f t="shared" si="11"/>
        <v>#DIV/0!</v>
      </c>
      <c r="U252" s="81"/>
      <c r="V252" s="84"/>
      <c r="W252" s="84"/>
    </row>
    <row r="253" spans="1:23" x14ac:dyDescent="0.4">
      <c r="A253" s="85" t="s">
        <v>431</v>
      </c>
      <c r="B253" s="92" t="s">
        <v>120</v>
      </c>
      <c r="C253" s="100" t="s">
        <v>8</v>
      </c>
      <c r="D253" s="129" t="s">
        <v>485</v>
      </c>
      <c r="E253" s="129" t="s">
        <v>484</v>
      </c>
      <c r="F253" s="129" t="s">
        <v>485</v>
      </c>
      <c r="G253" s="129" t="s">
        <v>484</v>
      </c>
      <c r="H253" s="129" t="s">
        <v>484</v>
      </c>
      <c r="I253" s="112">
        <v>4.8</v>
      </c>
      <c r="J253" s="82" t="s">
        <v>133</v>
      </c>
      <c r="K253" s="84">
        <v>11.3</v>
      </c>
      <c r="L253" s="86">
        <v>73100000</v>
      </c>
      <c r="M253" s="80">
        <v>0.4</v>
      </c>
      <c r="N253" s="87">
        <v>50</v>
      </c>
      <c r="O253">
        <v>3.41</v>
      </c>
      <c r="P253" s="94">
        <v>3.3580046440000002</v>
      </c>
      <c r="Q253" s="81">
        <f t="shared" si="9"/>
        <v>1.0154840036010384</v>
      </c>
      <c r="R253" s="81">
        <f t="shared" si="10"/>
        <v>9278985082.9044876</v>
      </c>
      <c r="S253" s="84"/>
      <c r="T253" s="81" t="e">
        <f t="shared" si="11"/>
        <v>#DIV/0!</v>
      </c>
      <c r="U253" s="81" t="e">
        <f>AVERAGE(T251:T253)</f>
        <v>#DIV/0!</v>
      </c>
      <c r="V253" s="81" t="e">
        <f>_xlfn.STDEV.S(T251:T253)</f>
        <v>#DIV/0!</v>
      </c>
      <c r="W253" s="81">
        <f>MAX(K251:K253)-MIN(K251:K253)</f>
        <v>5.0000000000000711E-2</v>
      </c>
    </row>
    <row r="254" spans="1:23" x14ac:dyDescent="0.4">
      <c r="A254" s="85" t="s">
        <v>432</v>
      </c>
      <c r="B254" s="92" t="s">
        <v>121</v>
      </c>
      <c r="C254" s="100" t="s">
        <v>9</v>
      </c>
      <c r="D254" s="129" t="s">
        <v>485</v>
      </c>
      <c r="E254" s="129" t="s">
        <v>484</v>
      </c>
      <c r="F254" s="129" t="s">
        <v>485</v>
      </c>
      <c r="G254" s="129" t="s">
        <v>485</v>
      </c>
      <c r="H254" s="129" t="s">
        <v>484</v>
      </c>
      <c r="I254" s="112">
        <v>4.8</v>
      </c>
      <c r="J254" s="82" t="s">
        <v>133</v>
      </c>
      <c r="K254" s="84">
        <v>11.15</v>
      </c>
      <c r="L254" s="86">
        <v>80800000</v>
      </c>
      <c r="M254" s="80">
        <v>0.4</v>
      </c>
      <c r="N254" s="87">
        <v>50</v>
      </c>
      <c r="O254">
        <v>5.14</v>
      </c>
      <c r="P254" s="94">
        <v>4.0757038860000003</v>
      </c>
      <c r="Q254" s="81">
        <f t="shared" si="9"/>
        <v>1.2611318544646595</v>
      </c>
      <c r="R254" s="81">
        <f t="shared" si="10"/>
        <v>12737431730.09306</v>
      </c>
      <c r="S254" s="84"/>
      <c r="T254" s="81" t="e">
        <f t="shared" si="11"/>
        <v>#DIV/0!</v>
      </c>
      <c r="U254" s="81"/>
      <c r="V254" s="84"/>
      <c r="W254" s="84"/>
    </row>
    <row r="255" spans="1:23" x14ac:dyDescent="0.4">
      <c r="A255" s="85" t="s">
        <v>433</v>
      </c>
      <c r="B255" s="92" t="s">
        <v>121</v>
      </c>
      <c r="C255" s="100" t="s">
        <v>9</v>
      </c>
      <c r="D255" s="129" t="s">
        <v>485</v>
      </c>
      <c r="E255" s="129" t="s">
        <v>484</v>
      </c>
      <c r="F255" s="129" t="s">
        <v>485</v>
      </c>
      <c r="G255" s="129" t="s">
        <v>485</v>
      </c>
      <c r="H255" s="129" t="s">
        <v>484</v>
      </c>
      <c r="I255" s="112">
        <v>4.8</v>
      </c>
      <c r="J255" s="82" t="s">
        <v>133</v>
      </c>
      <c r="K255" s="84">
        <v>11.17</v>
      </c>
      <c r="L255" s="86">
        <v>79300000</v>
      </c>
      <c r="M255" s="80">
        <v>0.4</v>
      </c>
      <c r="N255" s="87">
        <v>50</v>
      </c>
      <c r="O255">
        <v>5.14</v>
      </c>
      <c r="P255" s="94">
        <v>4.0757038860000003</v>
      </c>
      <c r="Q255" s="81">
        <f t="shared" si="9"/>
        <v>1.2611318544646595</v>
      </c>
      <c r="R255" s="81">
        <f t="shared" si="10"/>
        <v>12500969507.380936</v>
      </c>
      <c r="S255" s="84"/>
      <c r="T255" s="81" t="e">
        <f t="shared" si="11"/>
        <v>#DIV/0!</v>
      </c>
      <c r="U255" s="81"/>
      <c r="V255" s="84"/>
      <c r="W255" s="84"/>
    </row>
    <row r="256" spans="1:23" x14ac:dyDescent="0.4">
      <c r="A256" s="85" t="s">
        <v>434</v>
      </c>
      <c r="B256" s="92" t="s">
        <v>121</v>
      </c>
      <c r="C256" s="100" t="s">
        <v>9</v>
      </c>
      <c r="D256" s="129" t="s">
        <v>485</v>
      </c>
      <c r="E256" s="129" t="s">
        <v>484</v>
      </c>
      <c r="F256" s="129" t="s">
        <v>485</v>
      </c>
      <c r="G256" s="129" t="s">
        <v>485</v>
      </c>
      <c r="H256" s="129" t="s">
        <v>484</v>
      </c>
      <c r="I256" s="112">
        <v>4.8</v>
      </c>
      <c r="J256" s="82" t="s">
        <v>133</v>
      </c>
      <c r="K256" s="84">
        <v>11.17</v>
      </c>
      <c r="L256" s="86">
        <v>79700000</v>
      </c>
      <c r="M256" s="80">
        <v>0.4</v>
      </c>
      <c r="N256" s="87">
        <v>50</v>
      </c>
      <c r="O256">
        <v>5.14</v>
      </c>
      <c r="P256" s="94">
        <v>4.0757038860000003</v>
      </c>
      <c r="Q256" s="81">
        <f t="shared" si="9"/>
        <v>1.2611318544646595</v>
      </c>
      <c r="R256" s="81">
        <f t="shared" si="10"/>
        <v>12564026100.10417</v>
      </c>
      <c r="S256" s="84"/>
      <c r="T256" s="81" t="e">
        <f t="shared" si="11"/>
        <v>#DIV/0!</v>
      </c>
      <c r="U256" s="81" t="e">
        <f>AVERAGE(T254:T256)</f>
        <v>#DIV/0!</v>
      </c>
      <c r="V256" s="81" t="e">
        <f>_xlfn.STDEV.S(T254:T256)</f>
        <v>#DIV/0!</v>
      </c>
      <c r="W256" s="81">
        <f>MAX(K254:K256)-MIN(K254:K256)</f>
        <v>1.9999999999999574E-2</v>
      </c>
    </row>
    <row r="257" spans="1:23" x14ac:dyDescent="0.4">
      <c r="A257" s="85" t="s">
        <v>435</v>
      </c>
      <c r="B257" s="76" t="s">
        <v>174</v>
      </c>
      <c r="C257" s="130"/>
      <c r="D257" s="131"/>
      <c r="E257" s="131"/>
      <c r="F257" s="131"/>
      <c r="G257" s="131"/>
      <c r="H257" s="131"/>
      <c r="I257" s="112"/>
      <c r="J257" s="82"/>
      <c r="K257" s="84"/>
      <c r="L257" s="84"/>
      <c r="M257" s="80"/>
      <c r="N257" s="84"/>
      <c r="P257" s="94"/>
      <c r="Q257" s="81" t="e">
        <f t="shared" si="9"/>
        <v>#DIV/0!</v>
      </c>
      <c r="R257" s="81" t="e">
        <f t="shared" si="10"/>
        <v>#DIV/0!</v>
      </c>
      <c r="S257" s="84"/>
      <c r="T257" s="81" t="e">
        <f t="shared" si="11"/>
        <v>#DIV/0!</v>
      </c>
      <c r="U257" s="81"/>
      <c r="V257" s="84"/>
      <c r="W257" s="84"/>
    </row>
    <row r="258" spans="1:23" x14ac:dyDescent="0.4">
      <c r="A258" s="85" t="s">
        <v>436</v>
      </c>
      <c r="B258" s="76" t="s">
        <v>174</v>
      </c>
      <c r="C258" s="130"/>
      <c r="D258" s="131"/>
      <c r="E258" s="131"/>
      <c r="F258" s="131"/>
      <c r="G258" s="131"/>
      <c r="H258" s="131"/>
      <c r="I258" s="112"/>
      <c r="J258" s="82"/>
      <c r="K258" s="84"/>
      <c r="L258" s="84"/>
      <c r="M258" s="80"/>
      <c r="N258" s="84"/>
      <c r="P258" s="94"/>
      <c r="Q258" s="81" t="e">
        <f t="shared" si="9"/>
        <v>#DIV/0!</v>
      </c>
      <c r="R258" s="81" t="e">
        <f t="shared" si="10"/>
        <v>#DIV/0!</v>
      </c>
      <c r="S258" s="84"/>
      <c r="T258" s="81" t="e">
        <f t="shared" si="11"/>
        <v>#DIV/0!</v>
      </c>
      <c r="U258" s="81"/>
      <c r="V258" s="84"/>
      <c r="W258" s="84"/>
    </row>
    <row r="259" spans="1:23" x14ac:dyDescent="0.4">
      <c r="A259" s="85" t="s">
        <v>437</v>
      </c>
      <c r="B259" s="76" t="s">
        <v>174</v>
      </c>
      <c r="C259" s="130"/>
      <c r="D259" s="131"/>
      <c r="E259" s="131"/>
      <c r="F259" s="131"/>
      <c r="G259" s="131"/>
      <c r="H259" s="131"/>
      <c r="I259" s="112"/>
      <c r="J259" s="82"/>
      <c r="K259" s="84"/>
      <c r="L259" s="84"/>
      <c r="M259" s="80"/>
      <c r="N259" s="84"/>
      <c r="P259" s="94"/>
      <c r="Q259" s="81" t="e">
        <f t="shared" si="9"/>
        <v>#DIV/0!</v>
      </c>
      <c r="R259" s="81" t="e">
        <f t="shared" si="10"/>
        <v>#DIV/0!</v>
      </c>
      <c r="S259" s="84"/>
      <c r="T259" s="81" t="e">
        <f t="shared" si="11"/>
        <v>#DIV/0!</v>
      </c>
      <c r="U259" s="81" t="e">
        <f>AVERAGE(T257:T259)</f>
        <v>#DIV/0!</v>
      </c>
      <c r="V259" s="81" t="e">
        <f>_xlfn.STDEV.S(T257:T259)</f>
        <v>#DIV/0!</v>
      </c>
      <c r="W259" s="81">
        <f>MAX(K257:K259)-MIN(K257:K259)</f>
        <v>0</v>
      </c>
    </row>
    <row r="260" spans="1:23" x14ac:dyDescent="0.4">
      <c r="A260" s="85" t="s">
        <v>438</v>
      </c>
      <c r="B260" s="92" t="s">
        <v>150</v>
      </c>
      <c r="C260" s="130" t="s">
        <v>179</v>
      </c>
      <c r="D260" s="131"/>
      <c r="E260" s="131"/>
      <c r="F260" s="131"/>
      <c r="G260" s="131"/>
      <c r="H260" s="131"/>
      <c r="I260" s="112"/>
      <c r="J260" s="82"/>
      <c r="K260" s="84">
        <v>24.87</v>
      </c>
      <c r="L260" s="86">
        <v>8710</v>
      </c>
      <c r="M260" s="80"/>
      <c r="N260" s="87"/>
      <c r="P260" s="94"/>
      <c r="Q260" s="81" t="e">
        <f t="shared" si="9"/>
        <v>#DIV/0!</v>
      </c>
      <c r="R260" s="81" t="e">
        <f t="shared" si="10"/>
        <v>#DIV/0!</v>
      </c>
      <c r="S260" s="84"/>
      <c r="T260" s="81" t="e">
        <f t="shared" si="11"/>
        <v>#DIV/0!</v>
      </c>
      <c r="U260" s="81"/>
      <c r="V260" s="84"/>
      <c r="W260" s="84"/>
    </row>
    <row r="261" spans="1:23" x14ac:dyDescent="0.4">
      <c r="A261" s="85" t="s">
        <v>439</v>
      </c>
      <c r="B261" s="92" t="s">
        <v>150</v>
      </c>
      <c r="C261" s="130" t="s">
        <v>179</v>
      </c>
      <c r="D261" s="131"/>
      <c r="E261" s="131"/>
      <c r="F261" s="131"/>
      <c r="G261" s="131"/>
      <c r="H261" s="131"/>
      <c r="I261" s="112"/>
      <c r="J261" s="82"/>
      <c r="K261" s="84">
        <v>25.84</v>
      </c>
      <c r="L261" s="86">
        <v>4110</v>
      </c>
      <c r="M261" s="80"/>
      <c r="N261" s="87"/>
      <c r="P261" s="94"/>
      <c r="Q261" s="81" t="e">
        <f t="shared" si="9"/>
        <v>#DIV/0!</v>
      </c>
      <c r="R261" s="81" t="e">
        <f t="shared" si="10"/>
        <v>#DIV/0!</v>
      </c>
      <c r="S261" s="84"/>
      <c r="T261" s="81" t="e">
        <f t="shared" si="11"/>
        <v>#DIV/0!</v>
      </c>
      <c r="U261" s="81"/>
      <c r="V261" s="84"/>
      <c r="W261" s="84"/>
    </row>
    <row r="262" spans="1:23" x14ac:dyDescent="0.4">
      <c r="A262" s="85" t="s">
        <v>440</v>
      </c>
      <c r="B262" s="92" t="s">
        <v>150</v>
      </c>
      <c r="C262" s="130" t="s">
        <v>179</v>
      </c>
      <c r="D262" s="131"/>
      <c r="E262" s="131"/>
      <c r="F262" s="131"/>
      <c r="G262" s="131"/>
      <c r="H262" s="131"/>
      <c r="I262" s="112"/>
      <c r="J262" s="82"/>
      <c r="K262" s="84">
        <v>24.82</v>
      </c>
      <c r="L262" s="86">
        <v>9080</v>
      </c>
      <c r="M262" s="80"/>
      <c r="N262" s="87"/>
      <c r="P262" s="94"/>
      <c r="Q262" s="81" t="e">
        <f t="shared" si="9"/>
        <v>#DIV/0!</v>
      </c>
      <c r="R262" s="81" t="e">
        <f t="shared" si="10"/>
        <v>#DIV/0!</v>
      </c>
      <c r="S262" s="84"/>
      <c r="T262" s="81" t="e">
        <f t="shared" si="11"/>
        <v>#DIV/0!</v>
      </c>
      <c r="U262" s="81" t="e">
        <f>AVERAGE(T260:T262)</f>
        <v>#DIV/0!</v>
      </c>
      <c r="V262" s="81" t="e">
        <f>_xlfn.STDEV.S(T260:T262)</f>
        <v>#DIV/0!</v>
      </c>
      <c r="W262" s="81">
        <f>MAX(K260:K262)-MIN(K260:K262)</f>
        <v>1.0199999999999996</v>
      </c>
    </row>
    <row r="263" spans="1:23" x14ac:dyDescent="0.4">
      <c r="A263" s="85" t="s">
        <v>441</v>
      </c>
      <c r="B263" s="92" t="s">
        <v>130</v>
      </c>
      <c r="C263" s="100" t="s">
        <v>8</v>
      </c>
      <c r="D263" s="129" t="s">
        <v>485</v>
      </c>
      <c r="E263" s="129" t="s">
        <v>484</v>
      </c>
      <c r="F263" s="129" t="s">
        <v>485</v>
      </c>
      <c r="G263" s="129" t="s">
        <v>484</v>
      </c>
      <c r="H263" s="129" t="s">
        <v>484</v>
      </c>
      <c r="I263" s="112">
        <v>5.8</v>
      </c>
      <c r="J263" s="82" t="s">
        <v>133</v>
      </c>
      <c r="K263" s="84">
        <v>8.7799999999999994</v>
      </c>
      <c r="L263" s="86">
        <v>390000000</v>
      </c>
      <c r="M263" s="80">
        <v>0.4</v>
      </c>
      <c r="N263" s="87">
        <v>50</v>
      </c>
      <c r="O263">
        <v>143.59</v>
      </c>
      <c r="P263" s="94">
        <v>6.6052360180000003</v>
      </c>
      <c r="Q263" s="81">
        <f t="shared" si="9"/>
        <v>21.738814420665868</v>
      </c>
      <c r="R263" s="81">
        <f t="shared" si="10"/>
        <v>1059767203007.4611</v>
      </c>
      <c r="S263" s="84"/>
      <c r="T263" s="81" t="e">
        <f t="shared" si="11"/>
        <v>#DIV/0!</v>
      </c>
      <c r="U263" s="81"/>
      <c r="V263" s="84"/>
      <c r="W263" s="84"/>
    </row>
    <row r="264" spans="1:23" x14ac:dyDescent="0.4">
      <c r="A264" s="85" t="s">
        <v>442</v>
      </c>
      <c r="B264" s="92" t="s">
        <v>130</v>
      </c>
      <c r="C264" s="100" t="s">
        <v>8</v>
      </c>
      <c r="D264" s="129" t="s">
        <v>485</v>
      </c>
      <c r="E264" s="129" t="s">
        <v>484</v>
      </c>
      <c r="F264" s="129" t="s">
        <v>485</v>
      </c>
      <c r="G264" s="129" t="s">
        <v>484</v>
      </c>
      <c r="H264" s="129" t="s">
        <v>484</v>
      </c>
      <c r="I264" s="112">
        <v>5.8</v>
      </c>
      <c r="J264" s="82" t="s">
        <v>133</v>
      </c>
      <c r="K264" s="84">
        <v>8.19</v>
      </c>
      <c r="L264" s="86">
        <v>577000000</v>
      </c>
      <c r="M264" s="80">
        <v>0.4</v>
      </c>
      <c r="N264" s="87">
        <v>50</v>
      </c>
      <c r="O264">
        <v>143.59</v>
      </c>
      <c r="P264" s="94">
        <v>6.6052360180000003</v>
      </c>
      <c r="Q264" s="81">
        <f t="shared" si="9"/>
        <v>21.738814420665868</v>
      </c>
      <c r="R264" s="81">
        <f t="shared" si="10"/>
        <v>1567911990090.5256</v>
      </c>
      <c r="S264" s="84"/>
      <c r="T264" s="81" t="e">
        <f t="shared" si="11"/>
        <v>#DIV/0!</v>
      </c>
      <c r="U264" s="81"/>
      <c r="V264" s="84"/>
      <c r="W264" s="84"/>
    </row>
    <row r="265" spans="1:23" x14ac:dyDescent="0.4">
      <c r="A265" s="85" t="s">
        <v>443</v>
      </c>
      <c r="B265" s="92" t="s">
        <v>130</v>
      </c>
      <c r="C265" s="100" t="s">
        <v>8</v>
      </c>
      <c r="D265" s="129" t="s">
        <v>485</v>
      </c>
      <c r="E265" s="129" t="s">
        <v>484</v>
      </c>
      <c r="F265" s="129" t="s">
        <v>485</v>
      </c>
      <c r="G265" s="129" t="s">
        <v>484</v>
      </c>
      <c r="H265" s="129" t="s">
        <v>484</v>
      </c>
      <c r="I265" s="112">
        <v>5.8</v>
      </c>
      <c r="J265" s="82" t="s">
        <v>133</v>
      </c>
      <c r="K265" s="84">
        <v>8.66</v>
      </c>
      <c r="L265" s="86">
        <v>421000000</v>
      </c>
      <c r="M265" s="80">
        <v>0.4</v>
      </c>
      <c r="N265" s="87">
        <v>50</v>
      </c>
      <c r="O265">
        <v>143.59</v>
      </c>
      <c r="P265" s="94">
        <v>6.6052360180000003</v>
      </c>
      <c r="Q265" s="81">
        <f t="shared" si="9"/>
        <v>21.738814420665868</v>
      </c>
      <c r="R265" s="81">
        <f t="shared" si="10"/>
        <v>1144005108887.5413</v>
      </c>
      <c r="S265" s="84"/>
      <c r="T265" s="81" t="e">
        <f t="shared" si="11"/>
        <v>#DIV/0!</v>
      </c>
      <c r="U265" s="81" t="e">
        <f>AVERAGE(T263:T265)</f>
        <v>#DIV/0!</v>
      </c>
      <c r="V265" s="81" t="e">
        <f>_xlfn.STDEV.S(T263:T265)</f>
        <v>#DIV/0!</v>
      </c>
      <c r="W265" s="81">
        <f>MAX(K263:K265)-MIN(K263:K265)</f>
        <v>0.58999999999999986</v>
      </c>
    </row>
    <row r="266" spans="1:23" x14ac:dyDescent="0.4">
      <c r="A266" s="85" t="s">
        <v>444</v>
      </c>
      <c r="B266" s="92" t="s">
        <v>131</v>
      </c>
      <c r="C266" s="100" t="s">
        <v>9</v>
      </c>
      <c r="D266" s="129" t="s">
        <v>485</v>
      </c>
      <c r="E266" s="129" t="s">
        <v>484</v>
      </c>
      <c r="F266" s="129" t="s">
        <v>485</v>
      </c>
      <c r="G266" s="129" t="s">
        <v>485</v>
      </c>
      <c r="H266" s="129" t="s">
        <v>484</v>
      </c>
      <c r="I266" s="112">
        <v>5.8</v>
      </c>
      <c r="J266" s="82" t="s">
        <v>133</v>
      </c>
      <c r="K266" s="84">
        <v>9.58</v>
      </c>
      <c r="L266" s="86">
        <v>229000000</v>
      </c>
      <c r="M266" s="80">
        <v>0.4</v>
      </c>
      <c r="N266" s="87">
        <v>50</v>
      </c>
      <c r="O266">
        <v>145.94999999999999</v>
      </c>
      <c r="P266" s="94">
        <v>7.5074601200000002</v>
      </c>
      <c r="Q266" s="81">
        <f t="shared" si="9"/>
        <v>19.440662709774074</v>
      </c>
      <c r="R266" s="81">
        <f t="shared" si="10"/>
        <v>556488970067.28284</v>
      </c>
      <c r="S266" s="84"/>
      <c r="T266" s="81" t="e">
        <f t="shared" si="11"/>
        <v>#DIV/0!</v>
      </c>
      <c r="U266" s="81"/>
      <c r="V266" s="84"/>
      <c r="W266" s="84"/>
    </row>
    <row r="267" spans="1:23" x14ac:dyDescent="0.4">
      <c r="A267" s="85" t="s">
        <v>445</v>
      </c>
      <c r="B267" s="92" t="s">
        <v>131</v>
      </c>
      <c r="C267" s="100" t="s">
        <v>9</v>
      </c>
      <c r="D267" s="129" t="s">
        <v>485</v>
      </c>
      <c r="E267" s="129" t="s">
        <v>484</v>
      </c>
      <c r="F267" s="129" t="s">
        <v>485</v>
      </c>
      <c r="G267" s="129" t="s">
        <v>485</v>
      </c>
      <c r="H267" s="129" t="s">
        <v>484</v>
      </c>
      <c r="I267" s="112">
        <v>5.8</v>
      </c>
      <c r="J267" s="82" t="s">
        <v>133</v>
      </c>
      <c r="K267" s="84">
        <v>9.08</v>
      </c>
      <c r="L267" s="86">
        <v>319000000</v>
      </c>
      <c r="M267" s="80">
        <v>0.4</v>
      </c>
      <c r="N267" s="87">
        <v>50</v>
      </c>
      <c r="O267">
        <v>145.94999999999999</v>
      </c>
      <c r="P267" s="94">
        <v>7.5074601200000002</v>
      </c>
      <c r="Q267" s="81">
        <f t="shared" ref="Q267:Q298" si="12">O267/P267</f>
        <v>19.440662709774074</v>
      </c>
      <c r="R267" s="81">
        <f t="shared" ref="R267:R298" si="13">(L267*N267*Q267)/M267</f>
        <v>775196425552.24121</v>
      </c>
      <c r="S267" s="84"/>
      <c r="T267" s="81" t="e">
        <f t="shared" ref="T267:T298" si="14">R267/S267</f>
        <v>#DIV/0!</v>
      </c>
      <c r="U267" s="81"/>
      <c r="V267" s="84"/>
      <c r="W267" s="84"/>
    </row>
    <row r="268" spans="1:23" x14ac:dyDescent="0.4">
      <c r="A268" s="85" t="s">
        <v>446</v>
      </c>
      <c r="B268" s="92" t="s">
        <v>131</v>
      </c>
      <c r="C268" s="100" t="s">
        <v>9</v>
      </c>
      <c r="D268" s="129" t="s">
        <v>485</v>
      </c>
      <c r="E268" s="129" t="s">
        <v>484</v>
      </c>
      <c r="F268" s="129" t="s">
        <v>485</v>
      </c>
      <c r="G268" s="129" t="s">
        <v>485</v>
      </c>
      <c r="H268" s="129" t="s">
        <v>484</v>
      </c>
      <c r="I268" s="112">
        <v>5.8</v>
      </c>
      <c r="J268" s="82" t="s">
        <v>133</v>
      </c>
      <c r="K268" s="84">
        <v>9.56</v>
      </c>
      <c r="L268" s="86">
        <v>231000000</v>
      </c>
      <c r="M268" s="80">
        <v>0.4</v>
      </c>
      <c r="N268" s="87">
        <v>50</v>
      </c>
      <c r="O268">
        <v>145.94999999999999</v>
      </c>
      <c r="P268" s="94">
        <v>7.5074601200000002</v>
      </c>
      <c r="Q268" s="81">
        <f t="shared" si="12"/>
        <v>19.440662709774074</v>
      </c>
      <c r="R268" s="81">
        <f t="shared" si="13"/>
        <v>561349135744.72632</v>
      </c>
      <c r="S268" s="84"/>
      <c r="T268" s="81" t="e">
        <f t="shared" si="14"/>
        <v>#DIV/0!</v>
      </c>
      <c r="U268" s="81" t="e">
        <f>AVERAGE(T266:T268)</f>
        <v>#DIV/0!</v>
      </c>
      <c r="V268" s="81" t="e">
        <f>_xlfn.STDEV.S(T266:T268)</f>
        <v>#DIV/0!</v>
      </c>
      <c r="W268" s="81">
        <f>MAX(K266:K268)-MIN(K266:K268)</f>
        <v>0.5</v>
      </c>
    </row>
    <row r="269" spans="1:23" x14ac:dyDescent="0.4">
      <c r="A269" s="85" t="s">
        <v>447</v>
      </c>
      <c r="B269" s="76" t="s">
        <v>174</v>
      </c>
      <c r="C269" s="130"/>
      <c r="D269" s="131"/>
      <c r="E269" s="131"/>
      <c r="F269" s="131"/>
      <c r="G269" s="131"/>
      <c r="H269" s="131"/>
      <c r="I269" s="112"/>
      <c r="J269" s="82"/>
      <c r="K269" s="84"/>
      <c r="L269" s="84"/>
      <c r="M269" s="80"/>
      <c r="N269" s="84"/>
      <c r="P269" s="94"/>
      <c r="Q269" s="81" t="e">
        <f t="shared" si="12"/>
        <v>#DIV/0!</v>
      </c>
      <c r="R269" s="81" t="e">
        <f t="shared" si="13"/>
        <v>#DIV/0!</v>
      </c>
      <c r="S269" s="84"/>
      <c r="T269" s="81" t="e">
        <f t="shared" si="14"/>
        <v>#DIV/0!</v>
      </c>
      <c r="U269" s="81"/>
      <c r="V269" s="84"/>
      <c r="W269" s="84"/>
    </row>
    <row r="270" spans="1:23" x14ac:dyDescent="0.4">
      <c r="A270" s="85" t="s">
        <v>448</v>
      </c>
      <c r="B270" s="76" t="s">
        <v>174</v>
      </c>
      <c r="C270" s="130"/>
      <c r="D270" s="131"/>
      <c r="E270" s="131"/>
      <c r="F270" s="131"/>
      <c r="G270" s="131"/>
      <c r="H270" s="131"/>
      <c r="I270" s="112"/>
      <c r="J270" s="82"/>
      <c r="K270" s="84"/>
      <c r="L270" s="84"/>
      <c r="M270" s="80"/>
      <c r="N270" s="84"/>
      <c r="P270" s="94"/>
      <c r="Q270" s="81" t="e">
        <f t="shared" si="12"/>
        <v>#DIV/0!</v>
      </c>
      <c r="R270" s="81" t="e">
        <f t="shared" si="13"/>
        <v>#DIV/0!</v>
      </c>
      <c r="S270" s="84"/>
      <c r="T270" s="81" t="e">
        <f t="shared" si="14"/>
        <v>#DIV/0!</v>
      </c>
      <c r="U270" s="81"/>
      <c r="V270" s="84"/>
      <c r="W270" s="84"/>
    </row>
    <row r="271" spans="1:23" x14ac:dyDescent="0.4">
      <c r="A271" s="85" t="s">
        <v>449</v>
      </c>
      <c r="B271" s="76" t="s">
        <v>174</v>
      </c>
      <c r="C271" s="130"/>
      <c r="D271" s="131"/>
      <c r="E271" s="131"/>
      <c r="F271" s="131"/>
      <c r="G271" s="131"/>
      <c r="H271" s="131"/>
      <c r="I271" s="112"/>
      <c r="J271" s="82"/>
      <c r="K271" s="84"/>
      <c r="L271" s="84"/>
      <c r="M271" s="80"/>
      <c r="N271" s="84"/>
      <c r="P271" s="94"/>
      <c r="Q271" s="81" t="e">
        <f t="shared" si="12"/>
        <v>#DIV/0!</v>
      </c>
      <c r="R271" s="81" t="e">
        <f t="shared" si="13"/>
        <v>#DIV/0!</v>
      </c>
      <c r="S271" s="84"/>
      <c r="T271" s="81" t="e">
        <f t="shared" si="14"/>
        <v>#DIV/0!</v>
      </c>
      <c r="U271" s="81" t="e">
        <f>AVERAGE(T269:T271)</f>
        <v>#DIV/0!</v>
      </c>
      <c r="V271" s="81" t="e">
        <f>_xlfn.STDEV.S(T269:T271)</f>
        <v>#DIV/0!</v>
      </c>
      <c r="W271" s="81">
        <f>MAX(K269:K271)-MIN(K269:K271)</f>
        <v>0</v>
      </c>
    </row>
    <row r="272" spans="1:23" x14ac:dyDescent="0.4">
      <c r="A272" s="85" t="s">
        <v>450</v>
      </c>
      <c r="B272" s="92" t="s">
        <v>151</v>
      </c>
      <c r="C272" s="130" t="s">
        <v>180</v>
      </c>
      <c r="D272" s="131"/>
      <c r="E272" s="131"/>
      <c r="F272" s="131"/>
      <c r="G272" s="131"/>
      <c r="H272" s="131"/>
      <c r="I272" s="112"/>
      <c r="J272" s="82"/>
      <c r="K272" s="84">
        <v>26.6</v>
      </c>
      <c r="L272" s="86">
        <v>2110</v>
      </c>
      <c r="M272" s="80"/>
      <c r="N272" s="84"/>
      <c r="P272" s="94"/>
      <c r="Q272" s="81" t="e">
        <f t="shared" si="12"/>
        <v>#DIV/0!</v>
      </c>
      <c r="R272" s="81" t="e">
        <f t="shared" si="13"/>
        <v>#DIV/0!</v>
      </c>
      <c r="S272" s="84"/>
      <c r="T272" s="81" t="e">
        <f t="shared" si="14"/>
        <v>#DIV/0!</v>
      </c>
      <c r="U272" s="81"/>
      <c r="V272" s="84"/>
      <c r="W272" s="84"/>
    </row>
    <row r="273" spans="1:23" x14ac:dyDescent="0.4">
      <c r="A273" s="85" t="s">
        <v>451</v>
      </c>
      <c r="B273" s="92" t="s">
        <v>151</v>
      </c>
      <c r="C273" s="130" t="s">
        <v>180</v>
      </c>
      <c r="D273" s="131"/>
      <c r="E273" s="131"/>
      <c r="F273" s="131"/>
      <c r="G273" s="131"/>
      <c r="H273" s="131"/>
      <c r="I273" s="112"/>
      <c r="J273" s="82"/>
      <c r="K273" s="84">
        <v>26.75</v>
      </c>
      <c r="L273" s="86">
        <v>1840</v>
      </c>
      <c r="M273" s="80"/>
      <c r="N273" s="84"/>
      <c r="P273" s="94"/>
      <c r="Q273" s="81" t="e">
        <f t="shared" si="12"/>
        <v>#DIV/0!</v>
      </c>
      <c r="R273" s="81" t="e">
        <f t="shared" si="13"/>
        <v>#DIV/0!</v>
      </c>
      <c r="S273" s="84"/>
      <c r="T273" s="81" t="e">
        <f t="shared" si="14"/>
        <v>#DIV/0!</v>
      </c>
      <c r="U273" s="81"/>
      <c r="V273" s="84"/>
      <c r="W273" s="84"/>
    </row>
    <row r="274" spans="1:23" x14ac:dyDescent="0.4">
      <c r="A274" s="85" t="s">
        <v>452</v>
      </c>
      <c r="B274" s="92" t="s">
        <v>151</v>
      </c>
      <c r="C274" s="130" t="s">
        <v>180</v>
      </c>
      <c r="D274" s="131"/>
      <c r="E274" s="131"/>
      <c r="F274" s="131"/>
      <c r="G274" s="131"/>
      <c r="H274" s="131"/>
      <c r="I274" s="112"/>
      <c r="J274" s="82"/>
      <c r="K274" s="84">
        <v>27.13</v>
      </c>
      <c r="L274" s="86">
        <v>1290</v>
      </c>
      <c r="M274" s="80"/>
      <c r="N274" s="84"/>
      <c r="P274" s="94"/>
      <c r="Q274" s="81" t="e">
        <f t="shared" si="12"/>
        <v>#DIV/0!</v>
      </c>
      <c r="R274" s="81" t="e">
        <f t="shared" si="13"/>
        <v>#DIV/0!</v>
      </c>
      <c r="S274" s="84"/>
      <c r="T274" s="81" t="e">
        <f t="shared" si="14"/>
        <v>#DIV/0!</v>
      </c>
      <c r="U274" s="81" t="e">
        <f>AVERAGE(T272:T274)</f>
        <v>#DIV/0!</v>
      </c>
      <c r="V274" s="81" t="e">
        <f>_xlfn.STDEV.S(T272:T274)</f>
        <v>#DIV/0!</v>
      </c>
      <c r="W274" s="81">
        <f>MAX(K272:K274)-MIN(K272:K274)</f>
        <v>0.52999999999999758</v>
      </c>
    </row>
    <row r="275" spans="1:23" x14ac:dyDescent="0.4">
      <c r="A275" s="85" t="s">
        <v>453</v>
      </c>
      <c r="B275" s="92" t="s">
        <v>138</v>
      </c>
      <c r="C275" s="130" t="s">
        <v>181</v>
      </c>
      <c r="D275" s="131"/>
      <c r="E275" s="131"/>
      <c r="F275" s="131"/>
      <c r="G275" s="131"/>
      <c r="H275" s="131"/>
      <c r="I275" s="112"/>
      <c r="J275" s="82"/>
      <c r="K275" s="84">
        <v>9.58</v>
      </c>
      <c r="L275" s="86">
        <v>228000000</v>
      </c>
      <c r="M275" s="80">
        <v>0.4</v>
      </c>
      <c r="N275" s="87">
        <v>50</v>
      </c>
      <c r="O275">
        <v>32.68</v>
      </c>
      <c r="P275" s="94">
        <v>7.2550884509999998</v>
      </c>
      <c r="Q275" s="81">
        <f t="shared" si="12"/>
        <v>4.5044247524639864</v>
      </c>
      <c r="R275" s="81">
        <f t="shared" si="13"/>
        <v>128376105445.22362</v>
      </c>
      <c r="S275" s="84"/>
      <c r="T275" s="81" t="e">
        <f t="shared" si="14"/>
        <v>#DIV/0!</v>
      </c>
      <c r="U275" s="81"/>
      <c r="V275" s="84"/>
      <c r="W275" s="84"/>
    </row>
    <row r="276" spans="1:23" x14ac:dyDescent="0.4">
      <c r="A276" s="85" t="s">
        <v>454</v>
      </c>
      <c r="B276" s="92" t="s">
        <v>138</v>
      </c>
      <c r="C276" s="130" t="s">
        <v>181</v>
      </c>
      <c r="D276" s="131"/>
      <c r="E276" s="131"/>
      <c r="F276" s="131"/>
      <c r="G276" s="131"/>
      <c r="H276" s="131"/>
      <c r="I276" s="112"/>
      <c r="J276" s="82"/>
      <c r="K276" s="84">
        <v>8.41</v>
      </c>
      <c r="L276" s="86">
        <v>496000000</v>
      </c>
      <c r="M276" s="80">
        <v>0.4</v>
      </c>
      <c r="N276" s="87">
        <v>50</v>
      </c>
      <c r="O276">
        <v>32.68</v>
      </c>
      <c r="P276" s="94">
        <v>7.2550884509999998</v>
      </c>
      <c r="Q276" s="81">
        <f t="shared" si="12"/>
        <v>4.5044247524639864</v>
      </c>
      <c r="R276" s="81">
        <f t="shared" si="13"/>
        <v>279274334652.76715</v>
      </c>
      <c r="S276" s="84"/>
      <c r="T276" s="81" t="e">
        <f t="shared" si="14"/>
        <v>#DIV/0!</v>
      </c>
      <c r="U276" s="81"/>
      <c r="V276" s="84"/>
      <c r="W276" s="84"/>
    </row>
    <row r="277" spans="1:23" x14ac:dyDescent="0.4">
      <c r="A277" s="85" t="s">
        <v>455</v>
      </c>
      <c r="B277" s="92" t="s">
        <v>138</v>
      </c>
      <c r="C277" s="130" t="s">
        <v>181</v>
      </c>
      <c r="D277" s="131"/>
      <c r="E277" s="131"/>
      <c r="F277" s="131"/>
      <c r="G277" s="131"/>
      <c r="H277" s="131"/>
      <c r="I277" s="112"/>
      <c r="J277" s="82"/>
      <c r="K277" s="84">
        <v>8.94</v>
      </c>
      <c r="L277" s="86">
        <v>350000000</v>
      </c>
      <c r="M277" s="80">
        <v>0.4</v>
      </c>
      <c r="N277" s="87">
        <v>50</v>
      </c>
      <c r="O277">
        <v>32.68</v>
      </c>
      <c r="P277" s="94">
        <v>7.2550884509999998</v>
      </c>
      <c r="Q277" s="81">
        <f t="shared" si="12"/>
        <v>4.5044247524639864</v>
      </c>
      <c r="R277" s="81">
        <f t="shared" si="13"/>
        <v>197068582920.29941</v>
      </c>
      <c r="S277" s="84"/>
      <c r="T277" s="81" t="e">
        <f t="shared" si="14"/>
        <v>#DIV/0!</v>
      </c>
      <c r="U277" s="81" t="e">
        <f>AVERAGE(T275:T277)</f>
        <v>#DIV/0!</v>
      </c>
      <c r="V277" s="81" t="e">
        <f>_xlfn.STDEV.S(T275:T277)</f>
        <v>#DIV/0!</v>
      </c>
      <c r="W277" s="81">
        <f>MAX(K275:K277)-MIN(K275:K277)</f>
        <v>1.17</v>
      </c>
    </row>
    <row r="278" spans="1:23" x14ac:dyDescent="0.4">
      <c r="A278" s="85" t="s">
        <v>456</v>
      </c>
      <c r="B278" s="92" t="s">
        <v>138</v>
      </c>
      <c r="C278" s="130" t="s">
        <v>181</v>
      </c>
      <c r="D278" s="131"/>
      <c r="E278" s="131"/>
      <c r="F278" s="131"/>
      <c r="G278" s="131"/>
      <c r="H278" s="131"/>
      <c r="I278" s="112"/>
      <c r="J278" s="82"/>
      <c r="K278" s="84">
        <v>9.76</v>
      </c>
      <c r="L278" s="86">
        <v>203000000</v>
      </c>
      <c r="M278" s="80">
        <v>0.4</v>
      </c>
      <c r="N278" s="87">
        <v>50</v>
      </c>
      <c r="O278">
        <v>36.909999999999997</v>
      </c>
      <c r="P278" s="94">
        <v>6.9136389979999997</v>
      </c>
      <c r="Q278" s="81">
        <f t="shared" si="12"/>
        <v>5.338722489079549</v>
      </c>
      <c r="R278" s="81">
        <f t="shared" si="13"/>
        <v>135470083160.39355</v>
      </c>
      <c r="S278" s="84"/>
      <c r="T278" s="81" t="e">
        <f t="shared" si="14"/>
        <v>#DIV/0!</v>
      </c>
      <c r="U278" s="81"/>
      <c r="V278" s="84"/>
      <c r="W278" s="84"/>
    </row>
    <row r="279" spans="1:23" x14ac:dyDescent="0.4">
      <c r="A279" s="85" t="s">
        <v>457</v>
      </c>
      <c r="B279" s="92" t="s">
        <v>138</v>
      </c>
      <c r="C279" s="130" t="s">
        <v>181</v>
      </c>
      <c r="D279" s="131"/>
      <c r="E279" s="131"/>
      <c r="F279" s="131"/>
      <c r="G279" s="131"/>
      <c r="H279" s="131"/>
      <c r="I279" s="112"/>
      <c r="J279" s="82"/>
      <c r="K279" s="84">
        <v>9.6300000000000008</v>
      </c>
      <c r="L279" s="86">
        <v>221000000</v>
      </c>
      <c r="M279" s="80">
        <v>0.4</v>
      </c>
      <c r="N279" s="87">
        <v>50</v>
      </c>
      <c r="O279">
        <v>36.909999999999997</v>
      </c>
      <c r="P279" s="94">
        <v>6.9136389979999997</v>
      </c>
      <c r="Q279" s="81">
        <f t="shared" si="12"/>
        <v>5.338722489079549</v>
      </c>
      <c r="R279" s="81">
        <f t="shared" si="13"/>
        <v>147482208760.82254</v>
      </c>
      <c r="S279" s="84"/>
      <c r="T279" s="81" t="e">
        <f t="shared" si="14"/>
        <v>#DIV/0!</v>
      </c>
      <c r="U279" s="81"/>
      <c r="V279" s="84"/>
      <c r="W279" s="84"/>
    </row>
    <row r="280" spans="1:23" x14ac:dyDescent="0.4">
      <c r="A280" s="85" t="s">
        <v>458</v>
      </c>
      <c r="B280" s="92" t="s">
        <v>138</v>
      </c>
      <c r="C280" s="130" t="s">
        <v>181</v>
      </c>
      <c r="D280" s="131"/>
      <c r="E280" s="131"/>
      <c r="F280" s="131"/>
      <c r="G280" s="131"/>
      <c r="H280" s="131"/>
      <c r="I280" s="112"/>
      <c r="J280" s="82"/>
      <c r="K280" s="84">
        <v>9.7899999999999991</v>
      </c>
      <c r="L280" s="86">
        <v>199000000</v>
      </c>
      <c r="M280" s="80">
        <v>0.4</v>
      </c>
      <c r="N280" s="87">
        <v>50</v>
      </c>
      <c r="O280">
        <v>36.909999999999997</v>
      </c>
      <c r="P280" s="94">
        <v>6.9136389979999997</v>
      </c>
      <c r="Q280" s="81">
        <f t="shared" si="12"/>
        <v>5.338722489079549</v>
      </c>
      <c r="R280" s="81">
        <f t="shared" si="13"/>
        <v>132800721915.85378</v>
      </c>
      <c r="S280" s="84"/>
      <c r="T280" s="81" t="e">
        <f t="shared" si="14"/>
        <v>#DIV/0!</v>
      </c>
      <c r="U280" s="81" t="e">
        <f>AVERAGE(T278:T280)</f>
        <v>#DIV/0!</v>
      </c>
      <c r="V280" s="81" t="e">
        <f>_xlfn.STDEV.S(T278:T280)</f>
        <v>#DIV/0!</v>
      </c>
      <c r="W280" s="81">
        <f>MAX(K278:K280)-MIN(K278:K280)</f>
        <v>0.15999999999999837</v>
      </c>
    </row>
    <row r="281" spans="1:23" x14ac:dyDescent="0.4">
      <c r="A281" s="85" t="s">
        <v>459</v>
      </c>
      <c r="B281" s="92" t="s">
        <v>139</v>
      </c>
      <c r="C281" s="130" t="s">
        <v>183</v>
      </c>
      <c r="D281" s="131"/>
      <c r="E281" s="131"/>
      <c r="F281" s="131"/>
      <c r="G281" s="131"/>
      <c r="H281" s="131"/>
      <c r="I281" s="112"/>
      <c r="J281" s="82"/>
      <c r="K281" s="84">
        <v>9.17</v>
      </c>
      <c r="L281" s="86">
        <v>301000000</v>
      </c>
      <c r="M281" s="80">
        <v>0.4</v>
      </c>
      <c r="N281" s="87">
        <v>50</v>
      </c>
      <c r="O281" s="96">
        <v>13.945656868071055</v>
      </c>
      <c r="P281" s="94">
        <v>6.5039735009999999</v>
      </c>
      <c r="Q281" s="81">
        <f t="shared" si="12"/>
        <v>2.1441749210581622</v>
      </c>
      <c r="R281" s="81">
        <f t="shared" si="13"/>
        <v>80674581404.813354</v>
      </c>
      <c r="S281" s="84"/>
      <c r="T281" s="81" t="e">
        <f t="shared" si="14"/>
        <v>#DIV/0!</v>
      </c>
      <c r="U281" s="81"/>
      <c r="V281" s="84"/>
      <c r="W281" s="84"/>
    </row>
    <row r="282" spans="1:23" x14ac:dyDescent="0.4">
      <c r="A282" s="85" t="s">
        <v>460</v>
      </c>
      <c r="B282" s="92" t="s">
        <v>139</v>
      </c>
      <c r="C282" s="130" t="s">
        <v>183</v>
      </c>
      <c r="D282" s="131"/>
      <c r="E282" s="131"/>
      <c r="F282" s="131"/>
      <c r="G282" s="131"/>
      <c r="H282" s="131"/>
      <c r="I282" s="112"/>
      <c r="J282" s="82"/>
      <c r="K282" s="84">
        <v>9.42</v>
      </c>
      <c r="L282" s="86">
        <v>255000000</v>
      </c>
      <c r="M282" s="80">
        <v>0.4</v>
      </c>
      <c r="N282" s="87">
        <v>50</v>
      </c>
      <c r="O282" s="96">
        <v>13.945656868071055</v>
      </c>
      <c r="P282" s="94">
        <v>6.5039735009999999</v>
      </c>
      <c r="Q282" s="81">
        <f t="shared" si="12"/>
        <v>2.1441749210581622</v>
      </c>
      <c r="R282" s="81">
        <f t="shared" si="13"/>
        <v>68345575608.72892</v>
      </c>
      <c r="S282" s="84"/>
      <c r="T282" s="81" t="e">
        <f t="shared" si="14"/>
        <v>#DIV/0!</v>
      </c>
      <c r="U282" s="81"/>
      <c r="V282" s="84"/>
      <c r="W282" s="84"/>
    </row>
    <row r="283" spans="1:23" x14ac:dyDescent="0.4">
      <c r="A283" s="85" t="s">
        <v>461</v>
      </c>
      <c r="B283" s="92" t="s">
        <v>139</v>
      </c>
      <c r="C283" s="130" t="s">
        <v>183</v>
      </c>
      <c r="D283" s="131"/>
      <c r="E283" s="131"/>
      <c r="F283" s="131"/>
      <c r="G283" s="131"/>
      <c r="H283" s="131"/>
      <c r="I283" s="112"/>
      <c r="J283" s="82"/>
      <c r="K283" s="84">
        <v>9.25</v>
      </c>
      <c r="L283" s="86">
        <v>284000000</v>
      </c>
      <c r="M283" s="80">
        <v>0.4</v>
      </c>
      <c r="N283" s="87">
        <v>50</v>
      </c>
      <c r="O283" s="96">
        <v>13.945656868071055</v>
      </c>
      <c r="P283" s="94">
        <v>6.5039735009999999</v>
      </c>
      <c r="Q283" s="81">
        <f t="shared" si="12"/>
        <v>2.1441749210581622</v>
      </c>
      <c r="R283" s="81">
        <f t="shared" si="13"/>
        <v>76118209697.564743</v>
      </c>
      <c r="S283" s="84"/>
      <c r="T283" s="81" t="e">
        <f t="shared" si="14"/>
        <v>#DIV/0!</v>
      </c>
      <c r="U283" s="81" t="e">
        <f>AVERAGE(T281:T283)</f>
        <v>#DIV/0!</v>
      </c>
      <c r="V283" s="81" t="e">
        <f>_xlfn.STDEV.S(T281:T283)</f>
        <v>#DIV/0!</v>
      </c>
      <c r="W283" s="81">
        <f>MAX(K281:K283)-MIN(K281:K283)</f>
        <v>0.25</v>
      </c>
    </row>
    <row r="284" spans="1:23" x14ac:dyDescent="0.4">
      <c r="A284" s="85" t="s">
        <v>462</v>
      </c>
      <c r="B284" s="92" t="s">
        <v>152</v>
      </c>
      <c r="C284" s="130" t="s">
        <v>184</v>
      </c>
      <c r="D284" s="131"/>
      <c r="E284" s="131"/>
      <c r="F284" s="131"/>
      <c r="G284" s="131"/>
      <c r="H284" s="131"/>
      <c r="I284" s="112"/>
      <c r="J284" s="82"/>
      <c r="K284" s="84">
        <v>24.79</v>
      </c>
      <c r="L284" s="86">
        <v>9270</v>
      </c>
      <c r="M284" s="80"/>
      <c r="N284" s="87"/>
      <c r="O284" s="97"/>
      <c r="P284" s="94"/>
      <c r="Q284" s="81" t="e">
        <f t="shared" si="12"/>
        <v>#DIV/0!</v>
      </c>
      <c r="R284" s="81" t="e">
        <f t="shared" si="13"/>
        <v>#DIV/0!</v>
      </c>
      <c r="S284" s="84"/>
      <c r="T284" s="81" t="e">
        <f t="shared" si="14"/>
        <v>#DIV/0!</v>
      </c>
      <c r="U284" s="81"/>
      <c r="V284" s="84"/>
      <c r="W284" s="84"/>
    </row>
    <row r="285" spans="1:23" x14ac:dyDescent="0.4">
      <c r="A285" s="85" t="s">
        <v>463</v>
      </c>
      <c r="B285" s="92" t="s">
        <v>152</v>
      </c>
      <c r="C285" s="130" t="s">
        <v>184</v>
      </c>
      <c r="D285" s="131"/>
      <c r="E285" s="131"/>
      <c r="F285" s="131"/>
      <c r="G285" s="131"/>
      <c r="H285" s="131"/>
      <c r="I285" s="112"/>
      <c r="J285" s="82"/>
      <c r="K285" s="84">
        <v>29.12</v>
      </c>
      <c r="L285" s="86">
        <v>151</v>
      </c>
      <c r="M285" s="80"/>
      <c r="N285" s="87"/>
      <c r="O285" s="97"/>
      <c r="P285" s="94"/>
      <c r="Q285" s="81" t="e">
        <f t="shared" si="12"/>
        <v>#DIV/0!</v>
      </c>
      <c r="R285" s="81" t="e">
        <f t="shared" si="13"/>
        <v>#DIV/0!</v>
      </c>
      <c r="S285" s="84"/>
      <c r="T285" s="81" t="e">
        <f t="shared" si="14"/>
        <v>#DIV/0!</v>
      </c>
      <c r="U285" s="81"/>
      <c r="V285" s="84"/>
      <c r="W285" s="84"/>
    </row>
    <row r="286" spans="1:23" x14ac:dyDescent="0.4">
      <c r="A286" s="85" t="s">
        <v>464</v>
      </c>
      <c r="B286" s="92" t="s">
        <v>152</v>
      </c>
      <c r="C286" s="130" t="s">
        <v>184</v>
      </c>
      <c r="D286" s="131"/>
      <c r="E286" s="131"/>
      <c r="F286" s="131"/>
      <c r="G286" s="131"/>
      <c r="H286" s="131"/>
      <c r="I286" s="112"/>
      <c r="J286" s="82"/>
      <c r="K286" s="84">
        <v>25.77</v>
      </c>
      <c r="L286" s="86">
        <v>4340</v>
      </c>
      <c r="M286" s="80"/>
      <c r="N286" s="87"/>
      <c r="O286" s="97"/>
      <c r="P286" s="94"/>
      <c r="Q286" s="81" t="e">
        <f t="shared" si="12"/>
        <v>#DIV/0!</v>
      </c>
      <c r="R286" s="81" t="e">
        <f t="shared" si="13"/>
        <v>#DIV/0!</v>
      </c>
      <c r="S286" s="84"/>
      <c r="T286" s="81" t="e">
        <f t="shared" si="14"/>
        <v>#DIV/0!</v>
      </c>
      <c r="U286" s="81" t="e">
        <f>AVERAGE(T284:T286)</f>
        <v>#DIV/0!</v>
      </c>
      <c r="V286" s="81" t="e">
        <f>_xlfn.STDEV.S(T284:T286)</f>
        <v>#DIV/0!</v>
      </c>
      <c r="W286" s="81">
        <f>MAX(K284:K286)-MIN(K284:K286)</f>
        <v>4.3300000000000018</v>
      </c>
    </row>
    <row r="287" spans="1:23" x14ac:dyDescent="0.4">
      <c r="A287" s="85" t="s">
        <v>465</v>
      </c>
      <c r="B287" s="92" t="s">
        <v>145</v>
      </c>
      <c r="C287" s="130" t="s">
        <v>185</v>
      </c>
      <c r="D287" s="131"/>
      <c r="E287" s="131"/>
      <c r="F287" s="131"/>
      <c r="G287" s="131"/>
      <c r="H287" s="131"/>
      <c r="I287" s="112"/>
      <c r="J287" s="82"/>
      <c r="K287" s="84">
        <v>29.76</v>
      </c>
      <c r="L287" s="86">
        <v>69.3</v>
      </c>
      <c r="M287" s="80"/>
      <c r="N287" s="84"/>
      <c r="O287" s="97"/>
      <c r="P287" s="94"/>
      <c r="Q287" s="81" t="e">
        <f t="shared" si="12"/>
        <v>#DIV/0!</v>
      </c>
      <c r="R287" s="81" t="e">
        <f t="shared" si="13"/>
        <v>#DIV/0!</v>
      </c>
      <c r="S287" s="84"/>
      <c r="T287" s="81" t="e">
        <f t="shared" si="14"/>
        <v>#DIV/0!</v>
      </c>
      <c r="U287" s="81"/>
      <c r="V287" s="84"/>
      <c r="W287" s="84"/>
    </row>
    <row r="288" spans="1:23" x14ac:dyDescent="0.4">
      <c r="A288" s="85" t="s">
        <v>466</v>
      </c>
      <c r="B288" s="92" t="s">
        <v>145</v>
      </c>
      <c r="C288" s="130" t="s">
        <v>185</v>
      </c>
      <c r="D288" s="131"/>
      <c r="E288" s="131"/>
      <c r="F288" s="131"/>
      <c r="G288" s="131"/>
      <c r="H288" s="131"/>
      <c r="I288" s="112"/>
      <c r="J288" s="82"/>
      <c r="K288" s="84">
        <v>29.41</v>
      </c>
      <c r="L288" s="86">
        <v>107</v>
      </c>
      <c r="M288" s="80"/>
      <c r="N288" s="84"/>
      <c r="O288" s="97"/>
      <c r="P288" s="94"/>
      <c r="Q288" s="81" t="e">
        <f t="shared" si="12"/>
        <v>#DIV/0!</v>
      </c>
      <c r="R288" s="81" t="e">
        <f t="shared" si="13"/>
        <v>#DIV/0!</v>
      </c>
      <c r="S288" s="84"/>
      <c r="T288" s="81" t="e">
        <f t="shared" si="14"/>
        <v>#DIV/0!</v>
      </c>
      <c r="U288" s="81"/>
      <c r="V288" s="84"/>
      <c r="W288" s="84"/>
    </row>
    <row r="289" spans="1:23" x14ac:dyDescent="0.4">
      <c r="A289" s="85" t="s">
        <v>467</v>
      </c>
      <c r="B289" s="92" t="s">
        <v>145</v>
      </c>
      <c r="C289" s="130" t="s">
        <v>185</v>
      </c>
      <c r="D289" s="131"/>
      <c r="E289" s="131"/>
      <c r="F289" s="131"/>
      <c r="G289" s="131"/>
      <c r="H289" s="131"/>
      <c r="I289" s="112"/>
      <c r="J289" s="82"/>
      <c r="K289" s="84">
        <v>29.93</v>
      </c>
      <c r="L289" s="86">
        <v>56.2</v>
      </c>
      <c r="M289" s="80"/>
      <c r="N289" s="84"/>
      <c r="O289" s="97"/>
      <c r="P289" s="94"/>
      <c r="Q289" s="81" t="e">
        <f t="shared" si="12"/>
        <v>#DIV/0!</v>
      </c>
      <c r="R289" s="81" t="e">
        <f t="shared" si="13"/>
        <v>#DIV/0!</v>
      </c>
      <c r="S289" s="84"/>
      <c r="T289" s="81" t="e">
        <f t="shared" si="14"/>
        <v>#DIV/0!</v>
      </c>
      <c r="U289" s="81" t="e">
        <f>AVERAGE(T287:T289)</f>
        <v>#DIV/0!</v>
      </c>
      <c r="V289" s="81" t="e">
        <f>_xlfn.STDEV.S(T287:T289)</f>
        <v>#DIV/0!</v>
      </c>
      <c r="W289" s="81">
        <f>MAX(K287:K289)-MIN(K287:K289)</f>
        <v>0.51999999999999957</v>
      </c>
    </row>
    <row r="290" spans="1:23" x14ac:dyDescent="0.4">
      <c r="A290" s="85" t="s">
        <v>468</v>
      </c>
      <c r="B290" s="76" t="s">
        <v>174</v>
      </c>
      <c r="C290" s="130"/>
      <c r="D290" s="131"/>
      <c r="E290" s="131"/>
      <c r="F290" s="131"/>
      <c r="G290" s="131"/>
      <c r="H290" s="131"/>
      <c r="I290" s="112"/>
      <c r="J290" s="82"/>
      <c r="K290" s="84"/>
      <c r="L290" s="84"/>
      <c r="M290" s="80"/>
      <c r="N290" s="84"/>
      <c r="O290" s="97"/>
      <c r="P290" s="94"/>
      <c r="Q290" s="81" t="e">
        <f t="shared" si="12"/>
        <v>#DIV/0!</v>
      </c>
      <c r="R290" s="81" t="e">
        <f t="shared" si="13"/>
        <v>#DIV/0!</v>
      </c>
      <c r="S290" s="84"/>
      <c r="T290" s="81" t="e">
        <f t="shared" si="14"/>
        <v>#DIV/0!</v>
      </c>
      <c r="U290" s="81"/>
      <c r="V290" s="84"/>
      <c r="W290" s="84"/>
    </row>
    <row r="291" spans="1:23" x14ac:dyDescent="0.4">
      <c r="A291" s="85" t="s">
        <v>469</v>
      </c>
      <c r="B291" s="76" t="s">
        <v>174</v>
      </c>
      <c r="C291" s="130"/>
      <c r="D291" s="131"/>
      <c r="E291" s="131"/>
      <c r="F291" s="131"/>
      <c r="G291" s="131"/>
      <c r="H291" s="131"/>
      <c r="I291" s="112"/>
      <c r="J291" s="82"/>
      <c r="K291" s="84"/>
      <c r="L291" s="84"/>
      <c r="M291" s="80"/>
      <c r="N291" s="84"/>
      <c r="O291" s="97"/>
      <c r="P291" s="94"/>
      <c r="Q291" s="81" t="e">
        <f t="shared" si="12"/>
        <v>#DIV/0!</v>
      </c>
      <c r="R291" s="81" t="e">
        <f t="shared" si="13"/>
        <v>#DIV/0!</v>
      </c>
      <c r="S291" s="84"/>
      <c r="T291" s="81" t="e">
        <f t="shared" si="14"/>
        <v>#DIV/0!</v>
      </c>
      <c r="U291" s="81"/>
      <c r="V291" s="84"/>
      <c r="W291" s="84"/>
    </row>
    <row r="292" spans="1:23" x14ac:dyDescent="0.4">
      <c r="A292" s="85" t="s">
        <v>470</v>
      </c>
      <c r="B292" s="76" t="s">
        <v>174</v>
      </c>
      <c r="C292" s="130"/>
      <c r="D292" s="131"/>
      <c r="E292" s="131"/>
      <c r="F292" s="131"/>
      <c r="G292" s="131"/>
      <c r="H292" s="131"/>
      <c r="I292" s="112"/>
      <c r="J292" s="82"/>
      <c r="K292" s="84"/>
      <c r="L292" s="84"/>
      <c r="M292" s="80"/>
      <c r="N292" s="84"/>
      <c r="O292" s="97"/>
      <c r="P292" s="94"/>
      <c r="Q292" s="81" t="e">
        <f t="shared" si="12"/>
        <v>#DIV/0!</v>
      </c>
      <c r="R292" s="81" t="e">
        <f t="shared" si="13"/>
        <v>#DIV/0!</v>
      </c>
      <c r="S292" s="84"/>
      <c r="T292" s="81" t="e">
        <f t="shared" si="14"/>
        <v>#DIV/0!</v>
      </c>
      <c r="U292" s="81" t="e">
        <f>AVERAGE(T290:T292)</f>
        <v>#DIV/0!</v>
      </c>
      <c r="V292" s="81" t="e">
        <f>_xlfn.STDEV.S(T290:T292)</f>
        <v>#DIV/0!</v>
      </c>
      <c r="W292" s="81">
        <f>MAX(K290:K292)-MIN(K290:K292)</f>
        <v>0</v>
      </c>
    </row>
    <row r="293" spans="1:23" x14ac:dyDescent="0.4">
      <c r="A293" s="85" t="s">
        <v>471</v>
      </c>
      <c r="B293" s="92" t="s">
        <v>139</v>
      </c>
      <c r="C293" s="132" t="s">
        <v>183</v>
      </c>
      <c r="D293" s="133"/>
      <c r="E293" s="133"/>
      <c r="F293" s="133"/>
      <c r="G293" s="133"/>
      <c r="H293" s="133"/>
      <c r="I293" s="112"/>
      <c r="J293" s="82"/>
      <c r="K293" s="84">
        <v>9.31</v>
      </c>
      <c r="L293" s="86">
        <v>273000000</v>
      </c>
      <c r="M293" s="80">
        <v>0.4</v>
      </c>
      <c r="N293" s="87">
        <v>50</v>
      </c>
      <c r="O293" s="96">
        <v>9.770407725758286</v>
      </c>
      <c r="P293" s="94">
        <v>5.7393814980000002</v>
      </c>
      <c r="Q293" s="81">
        <f t="shared" si="12"/>
        <v>1.7023450574182908</v>
      </c>
      <c r="R293" s="81">
        <f t="shared" si="13"/>
        <v>58092525084.39917</v>
      </c>
      <c r="S293" s="84"/>
      <c r="T293" s="81" t="e">
        <f t="shared" si="14"/>
        <v>#DIV/0!</v>
      </c>
      <c r="U293" s="81"/>
      <c r="V293" s="84"/>
      <c r="W293" s="84"/>
    </row>
    <row r="294" spans="1:23" x14ac:dyDescent="0.4">
      <c r="A294" s="85" t="s">
        <v>472</v>
      </c>
      <c r="B294" s="92" t="s">
        <v>139</v>
      </c>
      <c r="C294" s="132" t="s">
        <v>183</v>
      </c>
      <c r="D294" s="133"/>
      <c r="E294" s="133"/>
      <c r="F294" s="133"/>
      <c r="G294" s="133"/>
      <c r="H294" s="133"/>
      <c r="I294" s="112"/>
      <c r="J294" s="82"/>
      <c r="K294" s="84">
        <v>9.2799999999999994</v>
      </c>
      <c r="L294" s="86">
        <v>280000000</v>
      </c>
      <c r="M294" s="80">
        <v>0.4</v>
      </c>
      <c r="N294" s="87">
        <v>50</v>
      </c>
      <c r="O294" s="96">
        <v>9.770407725758286</v>
      </c>
      <c r="P294" s="94">
        <v>5.7393814980000002</v>
      </c>
      <c r="Q294" s="81">
        <f t="shared" si="12"/>
        <v>1.7023450574182908</v>
      </c>
      <c r="R294" s="81">
        <f t="shared" si="13"/>
        <v>59582077009.640175</v>
      </c>
      <c r="S294" s="84"/>
      <c r="T294" s="81" t="e">
        <f t="shared" si="14"/>
        <v>#DIV/0!</v>
      </c>
      <c r="U294" s="81"/>
      <c r="V294" s="84"/>
      <c r="W294" s="84"/>
    </row>
    <row r="295" spans="1:23" x14ac:dyDescent="0.4">
      <c r="A295" s="85" t="s">
        <v>473</v>
      </c>
      <c r="B295" s="92" t="s">
        <v>139</v>
      </c>
      <c r="C295" s="132" t="s">
        <v>183</v>
      </c>
      <c r="D295" s="133"/>
      <c r="E295" s="133"/>
      <c r="F295" s="133"/>
      <c r="G295" s="133"/>
      <c r="H295" s="133"/>
      <c r="I295" s="112"/>
      <c r="J295" s="82"/>
      <c r="K295" s="84">
        <v>9.2799999999999994</v>
      </c>
      <c r="L295" s="86">
        <v>279000000</v>
      </c>
      <c r="M295" s="80">
        <v>0.4</v>
      </c>
      <c r="N295" s="87">
        <v>50</v>
      </c>
      <c r="O295" s="96">
        <v>9.770407725758286</v>
      </c>
      <c r="P295" s="94">
        <v>5.7393814980000002</v>
      </c>
      <c r="Q295" s="81">
        <f t="shared" si="12"/>
        <v>1.7023450574182908</v>
      </c>
      <c r="R295" s="81">
        <f t="shared" si="13"/>
        <v>59369283877.462891</v>
      </c>
      <c r="S295" s="84"/>
      <c r="T295" s="81" t="e">
        <f t="shared" si="14"/>
        <v>#DIV/0!</v>
      </c>
      <c r="U295" s="81" t="e">
        <f>AVERAGE(T293:T295)</f>
        <v>#DIV/0!</v>
      </c>
      <c r="V295" s="81" t="e">
        <f>_xlfn.STDEV.S(T293:T295)</f>
        <v>#DIV/0!</v>
      </c>
      <c r="W295" s="81">
        <f>MAX(K293:K295)-MIN(K293:K295)</f>
        <v>3.0000000000001137E-2</v>
      </c>
    </row>
    <row r="296" spans="1:23" x14ac:dyDescent="0.4">
      <c r="A296" s="85" t="s">
        <v>474</v>
      </c>
      <c r="B296" s="92" t="s">
        <v>153</v>
      </c>
      <c r="C296" s="130" t="s">
        <v>186</v>
      </c>
      <c r="D296" s="131"/>
      <c r="E296" s="131"/>
      <c r="F296" s="131"/>
      <c r="G296" s="131"/>
      <c r="H296" s="131"/>
      <c r="I296" s="112"/>
      <c r="J296" s="82"/>
      <c r="K296" s="84">
        <v>29.24</v>
      </c>
      <c r="L296" s="86">
        <v>131</v>
      </c>
      <c r="M296" s="80"/>
      <c r="N296" s="84"/>
      <c r="O296" s="97"/>
      <c r="P296" s="94"/>
      <c r="Q296" s="81" t="e">
        <f t="shared" si="12"/>
        <v>#DIV/0!</v>
      </c>
      <c r="R296" s="81" t="e">
        <f t="shared" si="13"/>
        <v>#DIV/0!</v>
      </c>
      <c r="S296" s="84"/>
      <c r="T296" s="81" t="e">
        <f t="shared" si="14"/>
        <v>#DIV/0!</v>
      </c>
      <c r="U296" s="81"/>
      <c r="V296" s="84"/>
      <c r="W296" s="84"/>
    </row>
    <row r="297" spans="1:23" x14ac:dyDescent="0.4">
      <c r="A297" s="85" t="s">
        <v>475</v>
      </c>
      <c r="B297" s="92" t="s">
        <v>153</v>
      </c>
      <c r="C297" s="130" t="s">
        <v>186</v>
      </c>
      <c r="D297" s="131"/>
      <c r="E297" s="131"/>
      <c r="F297" s="131"/>
      <c r="G297" s="131"/>
      <c r="H297" s="131"/>
      <c r="I297" s="112"/>
      <c r="J297" s="82"/>
      <c r="K297" s="84">
        <v>29.12</v>
      </c>
      <c r="L297" s="86">
        <v>151</v>
      </c>
      <c r="M297" s="80"/>
      <c r="N297" s="84"/>
      <c r="O297" s="97"/>
      <c r="P297" s="94"/>
      <c r="Q297" s="81" t="e">
        <f t="shared" si="12"/>
        <v>#DIV/0!</v>
      </c>
      <c r="R297" s="81" t="e">
        <f t="shared" si="13"/>
        <v>#DIV/0!</v>
      </c>
      <c r="S297" s="84"/>
      <c r="T297" s="81" t="e">
        <f t="shared" si="14"/>
        <v>#DIV/0!</v>
      </c>
      <c r="U297" s="81"/>
      <c r="V297" s="84"/>
      <c r="W297" s="84"/>
    </row>
    <row r="298" spans="1:23" x14ac:dyDescent="0.4">
      <c r="A298" s="85" t="s">
        <v>476</v>
      </c>
      <c r="B298" s="92" t="s">
        <v>153</v>
      </c>
      <c r="C298" s="130" t="s">
        <v>186</v>
      </c>
      <c r="D298" s="131"/>
      <c r="E298" s="131"/>
      <c r="F298" s="131"/>
      <c r="G298" s="131"/>
      <c r="H298" s="131"/>
      <c r="I298" s="112"/>
      <c r="J298" s="82"/>
      <c r="K298" s="84">
        <v>28.73</v>
      </c>
      <c r="L298" s="86">
        <v>237</v>
      </c>
      <c r="M298" s="80"/>
      <c r="N298" s="84"/>
      <c r="O298" s="97"/>
      <c r="P298" s="94"/>
      <c r="Q298" s="81" t="e">
        <f t="shared" si="12"/>
        <v>#DIV/0!</v>
      </c>
      <c r="R298" s="81" t="e">
        <f t="shared" si="13"/>
        <v>#DIV/0!</v>
      </c>
      <c r="S298" s="84"/>
      <c r="T298" s="81" t="e">
        <f t="shared" si="14"/>
        <v>#DIV/0!</v>
      </c>
      <c r="U298" s="81" t="e">
        <f>AVERAGE(T296:T298)</f>
        <v>#DIV/0!</v>
      </c>
      <c r="V298" s="81" t="e">
        <f>_xlfn.STDEV.S(T296:T298)</f>
        <v>#DIV/0!</v>
      </c>
      <c r="W298" s="81">
        <f>MAX(K296:K298)-MIN(K296:K298)</f>
        <v>0.50999999999999801</v>
      </c>
    </row>
  </sheetData>
  <conditionalFormatting sqref="A11:H298">
    <cfRule type="expression" dxfId="143" priority="1" stopIfTrue="1">
      <formula>MOD(ROW(),2)=1</formula>
    </cfRule>
    <cfRule type="expression" dxfId="142" priority="2" stopIfTrue="1">
      <formula>MOD(ROW(),2)=0</formula>
    </cfRule>
  </conditionalFormatting>
  <conditionalFormatting sqref="I11:I298">
    <cfRule type="expression" dxfId="141" priority="4" stopIfTrue="1">
      <formula>MOD(ROW(),2)=1</formula>
    </cfRule>
    <cfRule type="expression" dxfId="140" priority="5" stopIfTrue="1">
      <formula>MOD(ROW(),2)=0</formula>
    </cfRule>
  </conditionalFormatting>
  <conditionalFormatting sqref="I179:I184">
    <cfRule type="expression" dxfId="139" priority="3" stopIfTrue="1">
      <formula>MOD(ROW(),2)=0</formula>
    </cfRule>
  </conditionalFormatting>
  <conditionalFormatting sqref="J107:J184">
    <cfRule type="expression" dxfId="138" priority="17" stopIfTrue="1">
      <formula>MOD(ROW(),2)=0</formula>
    </cfRule>
  </conditionalFormatting>
  <conditionalFormatting sqref="J227:J232">
    <cfRule type="expression" dxfId="137" priority="16" stopIfTrue="1">
      <formula>MOD(ROW(),2)=0</formula>
    </cfRule>
  </conditionalFormatting>
  <conditionalFormatting sqref="J239:J244">
    <cfRule type="expression" dxfId="136" priority="15" stopIfTrue="1">
      <formula>MOD(ROW(),2)=0</formula>
    </cfRule>
  </conditionalFormatting>
  <conditionalFormatting sqref="J251:J256">
    <cfRule type="expression" dxfId="135" priority="14" stopIfTrue="1">
      <formula>MOD(ROW(),2)=0</formula>
    </cfRule>
  </conditionalFormatting>
  <conditionalFormatting sqref="J263:J268">
    <cfRule type="expression" dxfId="134" priority="13" stopIfTrue="1">
      <formula>MOD(ROW(),2)=0</formula>
    </cfRule>
  </conditionalFormatting>
  <conditionalFormatting sqref="J11:W11 J12:P70 J71:O106">
    <cfRule type="expression" dxfId="133" priority="46" stopIfTrue="1">
      <formula>MOD(ROW(),2)=0</formula>
    </cfRule>
  </conditionalFormatting>
  <conditionalFormatting sqref="J11:W298">
    <cfRule type="expression" dxfId="132" priority="34" stopIfTrue="1">
      <formula>MOD(ROW(),2)=1</formula>
    </cfRule>
  </conditionalFormatting>
  <conditionalFormatting sqref="N107:O196">
    <cfRule type="expression" dxfId="131" priority="45" stopIfTrue="1">
      <formula>MOD(ROW(),2)=0</formula>
    </cfRule>
  </conditionalFormatting>
  <conditionalFormatting sqref="O221:O262">
    <cfRule type="expression" dxfId="130" priority="38" stopIfTrue="1">
      <formula>MOD(ROW(),2)=1</formula>
    </cfRule>
    <cfRule type="expression" dxfId="129" priority="39" stopIfTrue="1">
      <formula>MOD(ROW(),2)=0</formula>
    </cfRule>
  </conditionalFormatting>
  <conditionalFormatting sqref="O269:P280">
    <cfRule type="expression" dxfId="128" priority="28" stopIfTrue="1">
      <formula>MOD(ROW(),2)=1</formula>
    </cfRule>
  </conditionalFormatting>
  <conditionalFormatting sqref="P71:P196">
    <cfRule type="expression" dxfId="127" priority="44" stopIfTrue="1">
      <formula>MOD(ROW(),2)=0</formula>
    </cfRule>
  </conditionalFormatting>
  <conditionalFormatting sqref="P215:P220">
    <cfRule type="expression" dxfId="126" priority="36" stopIfTrue="1">
      <formula>MOD(ROW(),2)=1</formula>
    </cfRule>
    <cfRule type="expression" dxfId="125" priority="37" stopIfTrue="1">
      <formula>MOD(ROW(),2)=0</formula>
    </cfRule>
  </conditionalFormatting>
  <conditionalFormatting sqref="P221:P232">
    <cfRule type="expression" dxfId="124" priority="32" stopIfTrue="1">
      <formula>MOD(ROW(),2)=1</formula>
    </cfRule>
    <cfRule type="expression" dxfId="123" priority="33" stopIfTrue="1">
      <formula>MOD(ROW(),2)=0</formula>
    </cfRule>
  </conditionalFormatting>
  <conditionalFormatting sqref="P263:P268">
    <cfRule type="expression" dxfId="122" priority="40" stopIfTrue="1">
      <formula>MOD(ROW(),2)=1</formula>
    </cfRule>
    <cfRule type="expression" dxfId="121" priority="41" stopIfTrue="1">
      <formula>MOD(ROW(),2)=0</formula>
    </cfRule>
  </conditionalFormatting>
  <conditionalFormatting sqref="P269:P274">
    <cfRule type="expression" dxfId="120" priority="30" stopIfTrue="1">
      <formula>MOD(ROW(),2)=1</formula>
    </cfRule>
    <cfRule type="expression" dxfId="119" priority="31" stopIfTrue="1">
      <formula>MOD(ROW(),2)=0</formula>
    </cfRule>
  </conditionalFormatting>
  <conditionalFormatting sqref="P269:P280">
    <cfRule type="expression" dxfId="118" priority="29" stopIfTrue="1">
      <formula>MOD(ROW(),2)=0</formula>
    </cfRule>
  </conditionalFormatting>
  <conditionalFormatting sqref="P275:P280">
    <cfRule type="expression" dxfId="117" priority="42" stopIfTrue="1">
      <formula>MOD(ROW(),2)=1</formula>
    </cfRule>
    <cfRule type="expression" dxfId="116" priority="43" stopIfTrue="1">
      <formula>MOD(ROW(),2)=0</formula>
    </cfRule>
  </conditionalFormatting>
  <conditionalFormatting sqref="P275:P286">
    <cfRule type="expression" dxfId="115" priority="24" stopIfTrue="1">
      <formula>MOD(ROW(),2)=1</formula>
    </cfRule>
    <cfRule type="expression" dxfId="114" priority="25" stopIfTrue="1">
      <formula>MOD(ROW(),2)=0</formula>
    </cfRule>
    <cfRule type="expression" dxfId="113" priority="26" stopIfTrue="1">
      <formula>MOD(ROW(),2)=1</formula>
    </cfRule>
    <cfRule type="expression" dxfId="112" priority="27" stopIfTrue="1">
      <formula>MOD(ROW(),2)=0</formula>
    </cfRule>
  </conditionalFormatting>
  <conditionalFormatting sqref="P293:P295">
    <cfRule type="expression" dxfId="111" priority="20" stopIfTrue="1">
      <formula>MOD(ROW(),2)=1</formula>
    </cfRule>
    <cfRule type="expression" dxfId="110" priority="21" stopIfTrue="1">
      <formula>MOD(ROW(),2)=0</formula>
    </cfRule>
    <cfRule type="expression" dxfId="109" priority="22" stopIfTrue="1">
      <formula>MOD(ROW(),2)=1</formula>
    </cfRule>
    <cfRule type="expression" dxfId="108" priority="23" stopIfTrue="1">
      <formula>MOD(ROW(),2)=0</formula>
    </cfRule>
  </conditionalFormatting>
  <conditionalFormatting sqref="Q12:W298 J107:M298 N197:P214 N215:O220 P215:P283 N221:N289 O263:O283 O284:P289 N290:P298">
    <cfRule type="expression" dxfId="107" priority="35" stopIfTrue="1">
      <formula>MOD(ROW(),2)=0</formula>
    </cfRule>
  </conditionalFormatting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02A2-3F2D-4149-91C5-FAA1D4799260}">
  <dimension ref="A1:BR298"/>
  <sheetViews>
    <sheetView zoomScale="48" workbookViewId="0">
      <selection activeCell="E4" sqref="E4"/>
    </sheetView>
  </sheetViews>
  <sheetFormatPr defaultRowHeight="16" x14ac:dyDescent="0.4"/>
  <cols>
    <col min="1" max="1" width="21.7265625" bestFit="1" customWidth="1"/>
    <col min="2" max="2" width="13.7265625" customWidth="1"/>
    <col min="3" max="3" width="28.453125" style="125" bestFit="1" customWidth="1"/>
    <col min="4" max="8" width="28.453125" style="100" customWidth="1"/>
    <col min="9" max="9" width="10.54296875" style="32" bestFit="1" customWidth="1"/>
    <col min="10" max="11" width="6.90625" bestFit="1" customWidth="1"/>
    <col min="12" max="12" width="31.54296875" bestFit="1" customWidth="1"/>
    <col min="13" max="13" width="41.7265625" bestFit="1" customWidth="1"/>
    <col min="14" max="14" width="23.54296875" bestFit="1" customWidth="1"/>
    <col min="15" max="15" width="25.6328125" bestFit="1" customWidth="1"/>
    <col min="16" max="16" width="29.81640625" bestFit="1" customWidth="1"/>
    <col min="17" max="18" width="14.453125" bestFit="1" customWidth="1"/>
    <col min="19" max="19" width="18.6328125" bestFit="1" customWidth="1"/>
    <col min="20" max="20" width="13" bestFit="1" customWidth="1"/>
    <col min="21" max="21" width="21.08984375" bestFit="1" customWidth="1"/>
    <col min="22" max="22" width="18.453125" bestFit="1" customWidth="1"/>
    <col min="23" max="23" width="12.6328125" bestFit="1" customWidth="1"/>
    <col min="24" max="24" width="8.7265625" customWidth="1"/>
    <col min="25" max="25" width="19.26953125" bestFit="1" customWidth="1"/>
    <col min="26" max="26" width="13.7265625" customWidth="1"/>
    <col min="27" max="27" width="16.26953125" customWidth="1"/>
    <col min="28" max="28" width="5.6328125" customWidth="1"/>
    <col min="29" max="29" width="7.81640625" customWidth="1"/>
    <col min="30" max="30" width="28.26953125" bestFit="1" customWidth="1"/>
    <col min="31" max="31" width="37.6328125" bestFit="1" customWidth="1"/>
    <col min="32" max="32" width="21.453125" bestFit="1" customWidth="1"/>
    <col min="33" max="33" width="23" bestFit="1" customWidth="1"/>
    <col min="34" max="34" width="26.90625" bestFit="1" customWidth="1"/>
    <col min="35" max="35" width="12.90625" bestFit="1" customWidth="1"/>
    <col min="36" max="36" width="10.7265625" bestFit="1" customWidth="1"/>
    <col min="37" max="37" width="17.1796875" bestFit="1" customWidth="1"/>
    <col min="38" max="38" width="11.54296875" bestFit="1" customWidth="1"/>
    <col min="39" max="39" width="19" bestFit="1" customWidth="1"/>
    <col min="40" max="40" width="16.6328125" bestFit="1" customWidth="1"/>
    <col min="41" max="41" width="11.26953125" bestFit="1" customWidth="1"/>
    <col min="42" max="42" width="8.7265625" customWidth="1"/>
    <col min="43" max="43" width="19.26953125" bestFit="1" customWidth="1"/>
    <col min="44" max="44" width="13.7265625" customWidth="1"/>
    <col min="45" max="45" width="16.26953125" customWidth="1"/>
    <col min="46" max="46" width="5.6328125" customWidth="1"/>
    <col min="47" max="47" width="7.81640625" customWidth="1"/>
    <col min="48" max="48" width="28.26953125" bestFit="1" customWidth="1"/>
    <col min="49" max="49" width="37.6328125" bestFit="1" customWidth="1"/>
    <col min="50" max="50" width="21.453125" bestFit="1" customWidth="1"/>
    <col min="51" max="51" width="23" bestFit="1" customWidth="1"/>
    <col min="52" max="52" width="26.90625" bestFit="1" customWidth="1"/>
    <col min="53" max="53" width="12.90625" bestFit="1" customWidth="1"/>
    <col min="54" max="54" width="10.7265625" bestFit="1" customWidth="1"/>
    <col min="55" max="55" width="17.1796875" bestFit="1" customWidth="1"/>
    <col min="56" max="56" width="11.54296875" bestFit="1" customWidth="1"/>
    <col min="57" max="57" width="19" bestFit="1" customWidth="1"/>
    <col min="58" max="58" width="16.6328125" bestFit="1" customWidth="1"/>
    <col min="59" max="59" width="11.26953125" bestFit="1" customWidth="1"/>
    <col min="60" max="60" width="8.7265625" customWidth="1"/>
  </cols>
  <sheetData>
    <row r="1" spans="1:70" x14ac:dyDescent="0.4">
      <c r="A1" s="74" t="s">
        <v>659</v>
      </c>
      <c r="B1" s="69"/>
      <c r="I1" s="100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70" x14ac:dyDescent="0.4">
      <c r="A2" s="69"/>
      <c r="I2" s="100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spans="1:70" x14ac:dyDescent="0.4">
      <c r="A3" s="69" t="s">
        <v>154</v>
      </c>
      <c r="B3" s="69"/>
      <c r="I3" s="100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4" spans="1:70" x14ac:dyDescent="0.4">
      <c r="A4" s="70"/>
      <c r="B4" s="69" t="s">
        <v>155</v>
      </c>
      <c r="I4" s="100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5" spans="1:70" x14ac:dyDescent="0.4">
      <c r="A5" s="71"/>
      <c r="B5" s="69" t="s">
        <v>156</v>
      </c>
      <c r="I5" s="100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</row>
    <row r="6" spans="1:70" x14ac:dyDescent="0.4">
      <c r="A6" s="72"/>
      <c r="B6" s="69" t="s">
        <v>157</v>
      </c>
      <c r="I6" s="100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</row>
    <row r="7" spans="1:70" x14ac:dyDescent="0.4">
      <c r="A7" s="73"/>
      <c r="B7" s="69" t="s">
        <v>158</v>
      </c>
      <c r="I7" s="100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</row>
    <row r="8" spans="1:70" x14ac:dyDescent="0.4">
      <c r="A8" s="69"/>
      <c r="B8" s="69"/>
      <c r="I8" s="100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</row>
    <row r="9" spans="1:70" x14ac:dyDescent="0.4">
      <c r="A9" s="74"/>
      <c r="B9" s="75"/>
      <c r="D9" s="101"/>
      <c r="E9" s="101"/>
      <c r="F9" s="101"/>
      <c r="G9" s="101"/>
      <c r="H9" s="101"/>
      <c r="I9" s="101"/>
      <c r="J9" s="75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Y9" s="74"/>
      <c r="Z9" s="75"/>
      <c r="AA9" s="75"/>
      <c r="AB9" s="75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Q9" s="74"/>
      <c r="AR9" s="75"/>
      <c r="AS9" s="75"/>
      <c r="AT9" s="75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</row>
    <row r="10" spans="1:70" x14ac:dyDescent="0.4">
      <c r="A10" s="113" t="s">
        <v>159</v>
      </c>
      <c r="B10" s="123" t="s">
        <v>160</v>
      </c>
      <c r="C10" s="126" t="s">
        <v>486</v>
      </c>
      <c r="D10" s="121" t="s">
        <v>481</v>
      </c>
      <c r="E10" s="121" t="s">
        <v>2</v>
      </c>
      <c r="F10" s="121" t="s">
        <v>482</v>
      </c>
      <c r="G10" s="121" t="s">
        <v>1</v>
      </c>
      <c r="H10" s="121" t="s">
        <v>483</v>
      </c>
      <c r="I10" s="116" t="s">
        <v>70</v>
      </c>
      <c r="J10" s="117" t="s">
        <v>66</v>
      </c>
      <c r="K10" s="118" t="s">
        <v>161</v>
      </c>
      <c r="L10" s="118" t="s">
        <v>162</v>
      </c>
      <c r="M10" s="119" t="s">
        <v>163</v>
      </c>
      <c r="N10" s="119" t="s">
        <v>164</v>
      </c>
      <c r="O10" s="119" t="s">
        <v>165</v>
      </c>
      <c r="P10" s="119" t="s">
        <v>166</v>
      </c>
      <c r="Q10" s="119" t="s">
        <v>167</v>
      </c>
      <c r="R10" s="120" t="s">
        <v>168</v>
      </c>
      <c r="S10" s="120" t="s">
        <v>169</v>
      </c>
      <c r="T10" s="120" t="s">
        <v>170</v>
      </c>
      <c r="U10" s="120" t="s">
        <v>171</v>
      </c>
      <c r="V10" s="120" t="s">
        <v>172</v>
      </c>
      <c r="W10" s="120" t="s">
        <v>173</v>
      </c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</row>
    <row r="11" spans="1:70" x14ac:dyDescent="0.4">
      <c r="A11" s="76" t="s">
        <v>189</v>
      </c>
      <c r="B11" s="76" t="s">
        <v>71</v>
      </c>
      <c r="C11" s="125" t="s">
        <v>0</v>
      </c>
      <c r="D11" s="129" t="s">
        <v>484</v>
      </c>
      <c r="E11" s="129" t="s">
        <v>484</v>
      </c>
      <c r="F11" s="129" t="s">
        <v>484</v>
      </c>
      <c r="G11" s="129" t="s">
        <v>484</v>
      </c>
      <c r="H11" s="129" t="s">
        <v>484</v>
      </c>
      <c r="I11" s="111">
        <v>4.8</v>
      </c>
      <c r="J11" s="77" t="s">
        <v>81</v>
      </c>
      <c r="K11" s="78">
        <v>31.54</v>
      </c>
      <c r="L11" s="79">
        <v>15100</v>
      </c>
      <c r="M11" s="80">
        <v>0.4</v>
      </c>
      <c r="N11" s="81">
        <v>50</v>
      </c>
      <c r="O11" s="78">
        <v>3.14</v>
      </c>
      <c r="P11" s="95">
        <v>3.8415170079999998</v>
      </c>
      <c r="Q11" s="81">
        <f t="shared" ref="Q11:Q74" si="0">O11/P11</f>
        <v>0.81738542181667218</v>
      </c>
      <c r="R11" s="81">
        <f t="shared" ref="R11:R74" si="1">(L11*N11*Q11)/M11</f>
        <v>1542814.9836789689</v>
      </c>
      <c r="S11" s="81"/>
      <c r="T11" s="81" t="e">
        <f t="shared" ref="T11:T42" si="2">R11/S11</f>
        <v>#DIV/0!</v>
      </c>
      <c r="U11" s="81"/>
      <c r="V11" s="81"/>
      <c r="W11" s="81"/>
      <c r="Y11" s="75"/>
      <c r="Z11" s="75"/>
      <c r="AA11" s="75"/>
      <c r="AB11" s="98"/>
      <c r="AD11" s="88"/>
      <c r="AE11" s="99"/>
      <c r="AF11" s="69"/>
      <c r="AH11" s="15"/>
      <c r="AI11" s="69"/>
      <c r="AJ11" s="69"/>
      <c r="AK11" s="69"/>
      <c r="AL11" s="69"/>
      <c r="AM11" s="69"/>
      <c r="AN11" s="69"/>
      <c r="AO11" s="69"/>
      <c r="AQ11" s="75"/>
      <c r="AR11" s="75"/>
      <c r="AS11" s="75"/>
      <c r="AT11" s="98"/>
      <c r="AV11" s="88"/>
      <c r="AW11" s="99"/>
      <c r="AX11" s="69"/>
      <c r="AZ11" s="15"/>
      <c r="BA11" s="69"/>
      <c r="BB11" s="69"/>
      <c r="BC11" s="69"/>
      <c r="BD11" s="69"/>
      <c r="BE11" s="69"/>
      <c r="BF11" s="69"/>
      <c r="BG11" s="69"/>
    </row>
    <row r="12" spans="1:70" x14ac:dyDescent="0.4">
      <c r="A12" s="85" t="s">
        <v>190</v>
      </c>
      <c r="B12" s="85" t="s">
        <v>71</v>
      </c>
      <c r="C12" s="125" t="s">
        <v>0</v>
      </c>
      <c r="D12" s="129" t="s">
        <v>484</v>
      </c>
      <c r="E12" s="129" t="s">
        <v>484</v>
      </c>
      <c r="F12" s="129" t="s">
        <v>484</v>
      </c>
      <c r="G12" s="129" t="s">
        <v>484</v>
      </c>
      <c r="H12" s="129" t="s">
        <v>484</v>
      </c>
      <c r="I12" s="111">
        <v>4.8</v>
      </c>
      <c r="J12" s="77" t="s">
        <v>81</v>
      </c>
      <c r="K12" s="84">
        <v>31.55</v>
      </c>
      <c r="L12" s="86">
        <v>15000</v>
      </c>
      <c r="M12" s="80">
        <v>0.4</v>
      </c>
      <c r="N12" s="81">
        <v>50</v>
      </c>
      <c r="O12" s="84">
        <v>3.14</v>
      </c>
      <c r="P12" s="94">
        <v>3.8415170079999998</v>
      </c>
      <c r="Q12" s="81">
        <f t="shared" si="0"/>
        <v>0.81738542181667218</v>
      </c>
      <c r="R12" s="81">
        <f t="shared" si="1"/>
        <v>1532597.6659062603</v>
      </c>
      <c r="S12" s="87"/>
      <c r="T12" s="81" t="e">
        <f t="shared" si="2"/>
        <v>#DIV/0!</v>
      </c>
      <c r="U12" s="87"/>
      <c r="V12" s="87"/>
      <c r="W12" s="87"/>
      <c r="Y12" s="75"/>
      <c r="Z12" s="75"/>
      <c r="AA12" s="75"/>
      <c r="AB12" s="98"/>
      <c r="AD12" s="88"/>
      <c r="AE12" s="99"/>
      <c r="AF12" s="69"/>
      <c r="AH12" s="15"/>
      <c r="AI12" s="69"/>
      <c r="AJ12" s="69"/>
      <c r="AK12" s="69"/>
      <c r="AL12" s="69"/>
      <c r="AM12" s="69"/>
      <c r="AN12" s="69"/>
      <c r="AO12" s="69"/>
      <c r="AQ12" s="75"/>
      <c r="AR12" s="75"/>
      <c r="AS12" s="75"/>
      <c r="AT12" s="98"/>
      <c r="AV12" s="88"/>
      <c r="AW12" s="99"/>
      <c r="AX12" s="69"/>
      <c r="AZ12" s="15"/>
      <c r="BA12" s="69"/>
      <c r="BB12" s="69"/>
      <c r="BC12" s="69"/>
      <c r="BD12" s="69"/>
      <c r="BE12" s="69"/>
      <c r="BF12" s="69"/>
      <c r="BG12" s="69"/>
    </row>
    <row r="13" spans="1:70" x14ac:dyDescent="0.4">
      <c r="A13" s="85" t="s">
        <v>191</v>
      </c>
      <c r="B13" s="76" t="s">
        <v>71</v>
      </c>
      <c r="C13" s="125" t="s">
        <v>0</v>
      </c>
      <c r="D13" s="129" t="s">
        <v>484</v>
      </c>
      <c r="E13" s="129" t="s">
        <v>484</v>
      </c>
      <c r="F13" s="129" t="s">
        <v>484</v>
      </c>
      <c r="G13" s="129" t="s">
        <v>484</v>
      </c>
      <c r="H13" s="129" t="s">
        <v>484</v>
      </c>
      <c r="I13" s="111">
        <v>4.8</v>
      </c>
      <c r="J13" s="77" t="s">
        <v>81</v>
      </c>
      <c r="K13" s="84">
        <v>31.88</v>
      </c>
      <c r="L13" s="86">
        <v>14300</v>
      </c>
      <c r="M13" s="80">
        <v>0.4</v>
      </c>
      <c r="N13" s="81">
        <v>50</v>
      </c>
      <c r="O13" s="84">
        <v>3.14</v>
      </c>
      <c r="P13" s="94">
        <v>3.8415170079999998</v>
      </c>
      <c r="Q13" s="81">
        <f t="shared" si="0"/>
        <v>0.81738542181667218</v>
      </c>
      <c r="R13" s="81">
        <f t="shared" si="1"/>
        <v>1461076.4414973014</v>
      </c>
      <c r="S13" s="81"/>
      <c r="T13" s="81" t="e">
        <f t="shared" si="2"/>
        <v>#DIV/0!</v>
      </c>
      <c r="U13" s="81" t="e">
        <f>AVERAGE(T11:T13)</f>
        <v>#DIV/0!</v>
      </c>
      <c r="V13" s="81" t="e">
        <f>_xlfn.STDEV.S(T11:T13)</f>
        <v>#DIV/0!</v>
      </c>
      <c r="W13" s="81">
        <f>MAX(K11:K13)-MIN(K11:K13)</f>
        <v>0.33999999999999986</v>
      </c>
      <c r="Y13" s="75"/>
      <c r="Z13" s="75"/>
      <c r="AA13" s="75"/>
      <c r="AB13" s="98"/>
      <c r="AD13" s="88"/>
      <c r="AE13" s="99"/>
      <c r="AF13" s="69"/>
      <c r="AH13" s="15"/>
      <c r="AI13" s="69"/>
      <c r="AJ13" s="69"/>
      <c r="AK13" s="69"/>
      <c r="AL13" s="69"/>
      <c r="AM13" s="69"/>
      <c r="AN13" s="69"/>
      <c r="AO13" s="69"/>
      <c r="AQ13" s="75"/>
      <c r="AR13" s="75"/>
      <c r="AS13" s="75"/>
      <c r="AT13" s="98"/>
      <c r="AV13" s="88"/>
      <c r="AW13" s="99"/>
      <c r="AX13" s="69"/>
      <c r="AZ13" s="15"/>
      <c r="BA13" s="69"/>
      <c r="BB13" s="69"/>
      <c r="BC13" s="69"/>
      <c r="BD13" s="69"/>
      <c r="BE13" s="69"/>
      <c r="BF13" s="69"/>
      <c r="BG13" s="69"/>
      <c r="BR13" s="88"/>
    </row>
    <row r="14" spans="1:70" x14ac:dyDescent="0.4">
      <c r="A14" s="85" t="s">
        <v>192</v>
      </c>
      <c r="B14" s="76" t="s">
        <v>72</v>
      </c>
      <c r="C14" s="125" t="s">
        <v>1</v>
      </c>
      <c r="D14" s="129" t="s">
        <v>484</v>
      </c>
      <c r="E14" s="129" t="s">
        <v>484</v>
      </c>
      <c r="F14" s="129" t="s">
        <v>484</v>
      </c>
      <c r="G14" s="129" t="s">
        <v>485</v>
      </c>
      <c r="H14" s="129" t="s">
        <v>484</v>
      </c>
      <c r="I14" s="111">
        <v>4.8</v>
      </c>
      <c r="J14" s="77" t="s">
        <v>81</v>
      </c>
      <c r="K14" s="84">
        <v>31.63</v>
      </c>
      <c r="L14" s="86">
        <v>14900</v>
      </c>
      <c r="M14" s="80">
        <v>0.4</v>
      </c>
      <c r="N14" s="81">
        <v>50</v>
      </c>
      <c r="O14" s="84">
        <v>1.83</v>
      </c>
      <c r="P14" s="94">
        <v>2.122823479</v>
      </c>
      <c r="Q14" s="81">
        <f t="shared" si="0"/>
        <v>0.86205943080206526</v>
      </c>
      <c r="R14" s="81">
        <f t="shared" si="1"/>
        <v>1605585.6898688467</v>
      </c>
      <c r="S14" s="87"/>
      <c r="T14" s="81" t="e">
        <f t="shared" si="2"/>
        <v>#DIV/0!</v>
      </c>
      <c r="U14" s="81"/>
      <c r="V14" s="87"/>
      <c r="W14" s="87"/>
      <c r="Y14" s="75"/>
      <c r="Z14" s="75"/>
      <c r="AA14" s="75"/>
      <c r="AB14" s="98"/>
      <c r="AD14" s="88"/>
      <c r="AE14" s="99"/>
      <c r="AF14" s="69"/>
      <c r="AH14" s="15"/>
      <c r="AI14" s="69"/>
      <c r="AJ14" s="69"/>
      <c r="AK14" s="69"/>
      <c r="AL14" s="69"/>
      <c r="AM14" s="69"/>
      <c r="AN14" s="69"/>
      <c r="AO14" s="69"/>
      <c r="AQ14" s="75"/>
      <c r="AR14" s="75"/>
      <c r="AS14" s="75"/>
      <c r="AT14" s="98"/>
      <c r="AV14" s="88"/>
      <c r="AW14" s="99"/>
      <c r="AX14" s="69"/>
      <c r="AZ14" s="15"/>
      <c r="BA14" s="69"/>
      <c r="BB14" s="69"/>
      <c r="BC14" s="69"/>
      <c r="BD14" s="69"/>
      <c r="BE14" s="69"/>
      <c r="BF14" s="69"/>
      <c r="BG14" s="69"/>
      <c r="BR14" s="88"/>
    </row>
    <row r="15" spans="1:70" x14ac:dyDescent="0.4">
      <c r="A15" s="85" t="s">
        <v>193</v>
      </c>
      <c r="B15" s="85" t="s">
        <v>72</v>
      </c>
      <c r="C15" s="125" t="s">
        <v>1</v>
      </c>
      <c r="D15" s="129" t="s">
        <v>484</v>
      </c>
      <c r="E15" s="129" t="s">
        <v>484</v>
      </c>
      <c r="F15" s="129" t="s">
        <v>484</v>
      </c>
      <c r="G15" s="129" t="s">
        <v>485</v>
      </c>
      <c r="H15" s="129" t="s">
        <v>484</v>
      </c>
      <c r="I15" s="111">
        <v>4.8</v>
      </c>
      <c r="J15" s="77" t="s">
        <v>81</v>
      </c>
      <c r="K15" s="84">
        <v>32.270000000000003</v>
      </c>
      <c r="L15" s="86">
        <v>13600</v>
      </c>
      <c r="M15" s="80">
        <v>0.4</v>
      </c>
      <c r="N15" s="81">
        <v>50</v>
      </c>
      <c r="O15" s="84">
        <v>1.83</v>
      </c>
      <c r="P15" s="94">
        <v>2.122823479</v>
      </c>
      <c r="Q15" s="81">
        <f t="shared" si="0"/>
        <v>0.86205943080206526</v>
      </c>
      <c r="R15" s="81">
        <f t="shared" si="1"/>
        <v>1465501.0323635109</v>
      </c>
      <c r="S15" s="81"/>
      <c r="T15" s="81" t="e">
        <f t="shared" si="2"/>
        <v>#DIV/0!</v>
      </c>
      <c r="U15" s="81"/>
      <c r="V15" s="81"/>
      <c r="W15" s="81"/>
      <c r="Y15" s="75"/>
      <c r="Z15" s="75"/>
      <c r="AA15" s="75"/>
      <c r="AB15" s="98"/>
      <c r="AD15" s="88"/>
      <c r="AE15" s="99"/>
      <c r="AF15" s="69"/>
      <c r="AH15" s="15"/>
      <c r="AI15" s="69"/>
      <c r="AJ15" s="69"/>
      <c r="AK15" s="69"/>
      <c r="AL15" s="69"/>
      <c r="AM15" s="69"/>
      <c r="AN15" s="69"/>
      <c r="AO15" s="69"/>
      <c r="AQ15" s="75"/>
      <c r="AR15" s="75"/>
      <c r="AS15" s="75"/>
      <c r="AT15" s="98"/>
      <c r="AV15" s="88"/>
      <c r="AW15" s="99"/>
      <c r="AX15" s="69"/>
      <c r="AZ15" s="15"/>
      <c r="BA15" s="69"/>
      <c r="BB15" s="69"/>
      <c r="BC15" s="69"/>
      <c r="BD15" s="69"/>
      <c r="BE15" s="69"/>
      <c r="BF15" s="69"/>
      <c r="BG15" s="69"/>
      <c r="BR15" s="88"/>
    </row>
    <row r="16" spans="1:70" x14ac:dyDescent="0.4">
      <c r="A16" s="85" t="s">
        <v>194</v>
      </c>
      <c r="B16" s="76" t="s">
        <v>72</v>
      </c>
      <c r="C16" s="125" t="s">
        <v>1</v>
      </c>
      <c r="D16" s="129" t="s">
        <v>484</v>
      </c>
      <c r="E16" s="129" t="s">
        <v>484</v>
      </c>
      <c r="F16" s="129" t="s">
        <v>484</v>
      </c>
      <c r="G16" s="129" t="s">
        <v>485</v>
      </c>
      <c r="H16" s="129" t="s">
        <v>484</v>
      </c>
      <c r="I16" s="111">
        <v>4.8</v>
      </c>
      <c r="J16" s="77" t="s">
        <v>81</v>
      </c>
      <c r="K16" s="84">
        <v>31.66</v>
      </c>
      <c r="L16" s="86">
        <v>14800</v>
      </c>
      <c r="M16" s="80">
        <v>0.4</v>
      </c>
      <c r="N16" s="81">
        <v>50</v>
      </c>
      <c r="O16" s="84">
        <v>1.83</v>
      </c>
      <c r="P16" s="94">
        <v>2.122823479</v>
      </c>
      <c r="Q16" s="81">
        <f t="shared" si="0"/>
        <v>0.86205943080206526</v>
      </c>
      <c r="R16" s="81">
        <f t="shared" si="1"/>
        <v>1594809.9469838205</v>
      </c>
      <c r="S16" s="87"/>
      <c r="T16" s="81" t="e">
        <f t="shared" si="2"/>
        <v>#DIV/0!</v>
      </c>
      <c r="U16" s="81" t="e">
        <f>AVERAGE(T14:T16)</f>
        <v>#DIV/0!</v>
      </c>
      <c r="V16" s="81" t="e">
        <f>_xlfn.STDEV.S(T14:T16)</f>
        <v>#DIV/0!</v>
      </c>
      <c r="W16" s="81">
        <f>MAX(K14:K16)-MIN(K14:K16)</f>
        <v>0.64000000000000412</v>
      </c>
      <c r="Y16" s="75"/>
      <c r="Z16" s="75"/>
      <c r="AA16" s="75"/>
      <c r="AB16" s="98"/>
      <c r="AD16" s="88"/>
      <c r="AE16" s="99"/>
      <c r="AF16" s="69"/>
      <c r="AH16" s="15"/>
      <c r="AI16" s="69"/>
      <c r="AJ16" s="69"/>
      <c r="AK16" s="69"/>
      <c r="AL16" s="69"/>
      <c r="AM16" s="69"/>
      <c r="AN16" s="69"/>
      <c r="AO16" s="69"/>
      <c r="AQ16" s="75"/>
      <c r="AR16" s="75"/>
      <c r="AS16" s="75"/>
      <c r="AT16" s="98"/>
      <c r="AV16" s="88"/>
      <c r="AW16" s="99"/>
      <c r="AX16" s="69"/>
      <c r="AZ16" s="15"/>
      <c r="BA16" s="69"/>
      <c r="BB16" s="69"/>
      <c r="BC16" s="69"/>
      <c r="BD16" s="69"/>
      <c r="BE16" s="69"/>
      <c r="BF16" s="69"/>
      <c r="BG16" s="69"/>
      <c r="BR16" s="88"/>
    </row>
    <row r="17" spans="1:70" x14ac:dyDescent="0.4">
      <c r="A17" s="85" t="s">
        <v>195</v>
      </c>
      <c r="B17" s="76" t="s">
        <v>73</v>
      </c>
      <c r="C17" s="125" t="s">
        <v>2</v>
      </c>
      <c r="D17" s="129" t="s">
        <v>484</v>
      </c>
      <c r="E17" s="129" t="s">
        <v>485</v>
      </c>
      <c r="F17" s="129" t="s">
        <v>484</v>
      </c>
      <c r="G17" s="129" t="s">
        <v>484</v>
      </c>
      <c r="H17" s="129" t="s">
        <v>484</v>
      </c>
      <c r="I17" s="111">
        <v>4.8</v>
      </c>
      <c r="J17" s="77" t="s">
        <v>81</v>
      </c>
      <c r="K17" s="84">
        <v>30.78</v>
      </c>
      <c r="L17" s="86">
        <v>17000</v>
      </c>
      <c r="M17" s="80">
        <v>0.4</v>
      </c>
      <c r="N17" s="81">
        <v>50</v>
      </c>
      <c r="O17" s="84">
        <v>6.65</v>
      </c>
      <c r="P17" s="94">
        <v>5.1668836589999998</v>
      </c>
      <c r="Q17" s="81">
        <f t="shared" si="0"/>
        <v>1.2870427203091008</v>
      </c>
      <c r="R17" s="81">
        <f t="shared" si="1"/>
        <v>2734965.7806568393</v>
      </c>
      <c r="S17" s="81"/>
      <c r="T17" s="81" t="e">
        <f t="shared" si="2"/>
        <v>#DIV/0!</v>
      </c>
      <c r="U17" s="81"/>
      <c r="V17" s="81"/>
      <c r="W17" s="81"/>
      <c r="Y17" s="75"/>
      <c r="Z17" s="75"/>
      <c r="AA17" s="75"/>
      <c r="AB17" s="98"/>
      <c r="AD17" s="88"/>
      <c r="AE17" s="99"/>
      <c r="AF17" s="69"/>
      <c r="AH17" s="15"/>
      <c r="AI17" s="69"/>
      <c r="AJ17" s="69"/>
      <c r="AK17" s="69"/>
      <c r="AL17" s="69"/>
      <c r="AM17" s="69"/>
      <c r="AN17" s="69"/>
      <c r="AO17" s="69"/>
      <c r="AQ17" s="75"/>
      <c r="AR17" s="75"/>
      <c r="AS17" s="75"/>
      <c r="AT17" s="98"/>
      <c r="AW17" s="99"/>
      <c r="AX17" s="69"/>
      <c r="AZ17" s="15"/>
      <c r="BA17" s="69"/>
      <c r="BB17" s="69"/>
      <c r="BC17" s="69"/>
      <c r="BD17" s="69"/>
      <c r="BE17" s="69"/>
      <c r="BF17" s="69"/>
      <c r="BG17" s="69"/>
      <c r="BR17" s="88"/>
    </row>
    <row r="18" spans="1:70" x14ac:dyDescent="0.4">
      <c r="A18" s="85" t="s">
        <v>196</v>
      </c>
      <c r="B18" s="85" t="s">
        <v>73</v>
      </c>
      <c r="C18" s="125" t="s">
        <v>2</v>
      </c>
      <c r="D18" s="129" t="s">
        <v>484</v>
      </c>
      <c r="E18" s="129" t="s">
        <v>485</v>
      </c>
      <c r="F18" s="129" t="s">
        <v>484</v>
      </c>
      <c r="G18" s="129" t="s">
        <v>484</v>
      </c>
      <c r="H18" s="129" t="s">
        <v>484</v>
      </c>
      <c r="I18" s="111">
        <v>4.8</v>
      </c>
      <c r="J18" s="77" t="s">
        <v>81</v>
      </c>
      <c r="K18" s="84">
        <v>30.82</v>
      </c>
      <c r="L18" s="86">
        <v>16900</v>
      </c>
      <c r="M18" s="80">
        <v>0.4</v>
      </c>
      <c r="N18" s="81">
        <v>50</v>
      </c>
      <c r="O18" s="84">
        <v>6.65</v>
      </c>
      <c r="P18" s="94">
        <v>5.1668836589999998</v>
      </c>
      <c r="Q18" s="81">
        <f t="shared" si="0"/>
        <v>1.2870427203091008</v>
      </c>
      <c r="R18" s="81">
        <f t="shared" si="1"/>
        <v>2718877.7466529752</v>
      </c>
      <c r="S18" s="87"/>
      <c r="T18" s="81" t="e">
        <f t="shared" si="2"/>
        <v>#DIV/0!</v>
      </c>
      <c r="U18" s="81"/>
      <c r="V18" s="87"/>
      <c r="W18" s="87"/>
      <c r="Y18" s="75"/>
      <c r="Z18" s="75"/>
      <c r="AA18" s="75"/>
      <c r="AB18" s="98"/>
      <c r="AD18" s="88"/>
      <c r="AE18" s="99"/>
      <c r="AF18" s="69"/>
      <c r="AH18" s="15"/>
      <c r="AI18" s="69"/>
      <c r="AJ18" s="69"/>
      <c r="AK18" s="69"/>
      <c r="AL18" s="69"/>
      <c r="AM18" s="69"/>
      <c r="AN18" s="69"/>
      <c r="AO18" s="69"/>
      <c r="AQ18" s="75"/>
      <c r="AR18" s="75"/>
      <c r="AS18" s="75"/>
      <c r="AT18" s="98"/>
      <c r="AW18" s="99"/>
      <c r="AX18" s="69"/>
      <c r="AZ18" s="15"/>
      <c r="BA18" s="69"/>
      <c r="BB18" s="69"/>
      <c r="BC18" s="69"/>
      <c r="BD18" s="69"/>
      <c r="BE18" s="69"/>
      <c r="BF18" s="69"/>
      <c r="BG18" s="69"/>
      <c r="BR18" s="88"/>
    </row>
    <row r="19" spans="1:70" x14ac:dyDescent="0.4">
      <c r="A19" s="85" t="s">
        <v>197</v>
      </c>
      <c r="B19" s="76" t="s">
        <v>73</v>
      </c>
      <c r="C19" s="125" t="s">
        <v>2</v>
      </c>
      <c r="D19" s="129" t="s">
        <v>484</v>
      </c>
      <c r="E19" s="129" t="s">
        <v>485</v>
      </c>
      <c r="F19" s="129" t="s">
        <v>484</v>
      </c>
      <c r="G19" s="129" t="s">
        <v>484</v>
      </c>
      <c r="H19" s="129" t="s">
        <v>484</v>
      </c>
      <c r="I19" s="111">
        <v>4.8</v>
      </c>
      <c r="J19" s="77" t="s">
        <v>81</v>
      </c>
      <c r="K19" s="84">
        <v>30.92</v>
      </c>
      <c r="L19" s="86">
        <v>16600</v>
      </c>
      <c r="M19" s="80">
        <v>0.4</v>
      </c>
      <c r="N19" s="81">
        <v>50</v>
      </c>
      <c r="O19" s="84">
        <v>6.65</v>
      </c>
      <c r="P19" s="94">
        <v>5.1668836589999998</v>
      </c>
      <c r="Q19" s="81">
        <f t="shared" si="0"/>
        <v>1.2870427203091008</v>
      </c>
      <c r="R19" s="81">
        <f t="shared" si="1"/>
        <v>2670613.644641384</v>
      </c>
      <c r="S19" s="81"/>
      <c r="T19" s="81" t="e">
        <f t="shared" si="2"/>
        <v>#DIV/0!</v>
      </c>
      <c r="U19" s="81" t="e">
        <f>AVERAGE(T17:T19)</f>
        <v>#DIV/0!</v>
      </c>
      <c r="V19" s="81" t="e">
        <f>_xlfn.STDEV.S(T17:T19)</f>
        <v>#DIV/0!</v>
      </c>
      <c r="W19" s="81">
        <f>MAX(K17:K19)-MIN(K17:K19)</f>
        <v>0.14000000000000057</v>
      </c>
      <c r="Y19" s="75"/>
      <c r="Z19" s="75"/>
      <c r="AA19" s="75"/>
      <c r="AB19" s="98"/>
      <c r="AD19" s="88"/>
      <c r="AE19" s="99"/>
      <c r="AF19" s="69"/>
      <c r="AH19" s="15"/>
      <c r="AI19" s="69"/>
      <c r="AJ19" s="69"/>
      <c r="AK19" s="69"/>
      <c r="AL19" s="69"/>
      <c r="AM19" s="69"/>
      <c r="AN19" s="69"/>
      <c r="AO19" s="69"/>
      <c r="AQ19" s="75"/>
      <c r="AR19" s="75"/>
      <c r="AS19" s="75"/>
      <c r="AT19" s="98"/>
      <c r="AW19" s="99"/>
      <c r="AX19" s="69"/>
      <c r="AZ19" s="15"/>
      <c r="BA19" s="69"/>
      <c r="BB19" s="69"/>
      <c r="BC19" s="69"/>
      <c r="BD19" s="69"/>
      <c r="BE19" s="69"/>
      <c r="BF19" s="69"/>
      <c r="BG19" s="69"/>
    </row>
    <row r="20" spans="1:70" x14ac:dyDescent="0.4">
      <c r="A20" s="85" t="s">
        <v>198</v>
      </c>
      <c r="B20" s="85" t="s">
        <v>74</v>
      </c>
      <c r="C20" s="125" t="s">
        <v>3</v>
      </c>
      <c r="D20" s="129" t="s">
        <v>484</v>
      </c>
      <c r="E20" s="129" t="s">
        <v>485</v>
      </c>
      <c r="F20" s="129" t="s">
        <v>484</v>
      </c>
      <c r="G20" s="129" t="s">
        <v>485</v>
      </c>
      <c r="H20" s="129" t="s">
        <v>484</v>
      </c>
      <c r="I20" s="111">
        <v>4.8</v>
      </c>
      <c r="J20" s="77" t="s">
        <v>81</v>
      </c>
      <c r="K20" s="84">
        <v>30.73</v>
      </c>
      <c r="L20" s="86">
        <v>17100</v>
      </c>
      <c r="M20" s="80">
        <v>0.4</v>
      </c>
      <c r="N20" s="81">
        <v>50</v>
      </c>
      <c r="O20" s="84">
        <v>2.6</v>
      </c>
      <c r="P20" s="94">
        <v>2.9581238569999999</v>
      </c>
      <c r="Q20" s="81">
        <f t="shared" si="0"/>
        <v>0.87893547589207666</v>
      </c>
      <c r="R20" s="81">
        <f t="shared" si="1"/>
        <v>1878724.5797193137</v>
      </c>
      <c r="S20" s="87"/>
      <c r="T20" s="81" t="e">
        <f t="shared" si="2"/>
        <v>#DIV/0!</v>
      </c>
      <c r="U20" s="81"/>
      <c r="V20" s="87"/>
      <c r="W20" s="87"/>
      <c r="Y20" s="75"/>
      <c r="Z20" s="75"/>
      <c r="AA20" s="75"/>
      <c r="AB20" s="98"/>
      <c r="AD20" s="88"/>
      <c r="AE20" s="99"/>
      <c r="AF20" s="69"/>
      <c r="AH20" s="15"/>
      <c r="AI20" s="69"/>
      <c r="AJ20" s="69"/>
      <c r="AK20" s="69"/>
      <c r="AL20" s="69"/>
      <c r="AM20" s="69"/>
      <c r="AN20" s="69"/>
      <c r="AO20" s="69"/>
      <c r="AQ20" s="75"/>
      <c r="AR20" s="75"/>
      <c r="AS20" s="75"/>
      <c r="AT20" s="98"/>
      <c r="AV20" s="88"/>
      <c r="AW20" s="99"/>
      <c r="AX20" s="69"/>
      <c r="AZ20" s="15"/>
      <c r="BA20" s="69"/>
      <c r="BB20" s="69"/>
      <c r="BC20" s="69"/>
      <c r="BD20" s="69"/>
      <c r="BE20" s="69"/>
      <c r="BF20" s="69"/>
      <c r="BG20" s="69"/>
      <c r="BL20" s="89"/>
    </row>
    <row r="21" spans="1:70" x14ac:dyDescent="0.4">
      <c r="A21" s="85" t="s">
        <v>199</v>
      </c>
      <c r="B21" s="90" t="s">
        <v>74</v>
      </c>
      <c r="C21" s="125" t="s">
        <v>3</v>
      </c>
      <c r="D21" s="129" t="s">
        <v>484</v>
      </c>
      <c r="E21" s="129" t="s">
        <v>485</v>
      </c>
      <c r="F21" s="129" t="s">
        <v>484</v>
      </c>
      <c r="G21" s="129" t="s">
        <v>485</v>
      </c>
      <c r="H21" s="129" t="s">
        <v>484</v>
      </c>
      <c r="I21" s="111">
        <v>4.8</v>
      </c>
      <c r="J21" s="77" t="s">
        <v>81</v>
      </c>
      <c r="K21" s="84">
        <v>30.29</v>
      </c>
      <c r="L21" s="86">
        <v>18500</v>
      </c>
      <c r="M21" s="80">
        <v>0.4</v>
      </c>
      <c r="N21" s="81">
        <v>50</v>
      </c>
      <c r="O21" s="84">
        <v>2.6</v>
      </c>
      <c r="P21" s="94">
        <v>2.9581238569999999</v>
      </c>
      <c r="Q21" s="81">
        <f t="shared" si="0"/>
        <v>0.87893547589207666</v>
      </c>
      <c r="R21" s="81">
        <f t="shared" si="1"/>
        <v>2032538.288000427</v>
      </c>
      <c r="S21" s="91"/>
      <c r="T21" s="81" t="e">
        <f t="shared" si="2"/>
        <v>#DIV/0!</v>
      </c>
      <c r="U21" s="81"/>
      <c r="V21" s="91"/>
      <c r="W21" s="91"/>
      <c r="Y21" s="75"/>
      <c r="Z21" s="75"/>
      <c r="AA21" s="75"/>
      <c r="AB21" s="98"/>
      <c r="AD21" s="88"/>
      <c r="AE21" s="99"/>
      <c r="AF21" s="69"/>
      <c r="AH21" s="15"/>
      <c r="AI21" s="69"/>
      <c r="AJ21" s="69"/>
      <c r="AK21" s="69"/>
      <c r="AL21" s="69"/>
      <c r="AM21" s="69"/>
      <c r="AN21" s="69"/>
      <c r="AO21" s="69"/>
      <c r="AQ21" s="75"/>
      <c r="AR21" s="75"/>
      <c r="AS21" s="75"/>
      <c r="AT21" s="98"/>
      <c r="AV21" s="88"/>
      <c r="AW21" s="99"/>
      <c r="AX21" s="69"/>
      <c r="AZ21" s="15"/>
      <c r="BA21" s="69"/>
      <c r="BB21" s="69"/>
      <c r="BC21" s="69"/>
      <c r="BD21" s="69"/>
      <c r="BE21" s="69"/>
      <c r="BF21" s="69"/>
      <c r="BG21" s="69"/>
      <c r="BL21" s="89"/>
    </row>
    <row r="22" spans="1:70" x14ac:dyDescent="0.4">
      <c r="A22" s="85" t="s">
        <v>200</v>
      </c>
      <c r="B22" s="92" t="s">
        <v>74</v>
      </c>
      <c r="C22" s="125" t="s">
        <v>3</v>
      </c>
      <c r="D22" s="129" t="s">
        <v>484</v>
      </c>
      <c r="E22" s="129" t="s">
        <v>485</v>
      </c>
      <c r="F22" s="129" t="s">
        <v>484</v>
      </c>
      <c r="G22" s="129" t="s">
        <v>485</v>
      </c>
      <c r="H22" s="129" t="s">
        <v>484</v>
      </c>
      <c r="I22" s="111">
        <v>4.8</v>
      </c>
      <c r="J22" s="77" t="s">
        <v>81</v>
      </c>
      <c r="K22" s="84">
        <v>30.74</v>
      </c>
      <c r="L22" s="86">
        <v>17100</v>
      </c>
      <c r="M22" s="80">
        <v>0.4</v>
      </c>
      <c r="N22" s="81">
        <v>50</v>
      </c>
      <c r="O22" s="84">
        <v>2.6</v>
      </c>
      <c r="P22" s="94">
        <v>2.9581238569999999</v>
      </c>
      <c r="Q22" s="81">
        <f t="shared" si="0"/>
        <v>0.87893547589207666</v>
      </c>
      <c r="R22" s="81">
        <f t="shared" si="1"/>
        <v>1878724.5797193137</v>
      </c>
      <c r="S22" s="84"/>
      <c r="T22" s="81" t="e">
        <f t="shared" si="2"/>
        <v>#DIV/0!</v>
      </c>
      <c r="U22" s="81" t="e">
        <f>AVERAGE(T20:T22)</f>
        <v>#DIV/0!</v>
      </c>
      <c r="V22" s="81" t="e">
        <f>_xlfn.STDEV.S(T20:T22)</f>
        <v>#DIV/0!</v>
      </c>
      <c r="W22" s="81">
        <f>MAX(K20:K22)-MIN(K20:K22)</f>
        <v>0.44999999999999929</v>
      </c>
      <c r="Y22" s="75"/>
      <c r="Z22" s="2"/>
      <c r="AA22" s="75"/>
      <c r="AB22" s="98"/>
      <c r="AD22" s="88"/>
      <c r="AE22" s="99"/>
      <c r="AF22" s="69"/>
      <c r="AH22" s="15"/>
      <c r="AI22" s="69"/>
      <c r="AJ22" s="69"/>
      <c r="AL22" s="69"/>
      <c r="AM22" s="69"/>
      <c r="AN22" s="69"/>
      <c r="AO22" s="69"/>
      <c r="AQ22" s="75"/>
      <c r="AR22" s="2"/>
      <c r="AS22" s="75"/>
      <c r="AT22" s="98"/>
      <c r="AV22" s="88"/>
      <c r="AW22" s="99"/>
      <c r="AX22" s="69"/>
      <c r="AZ22" s="15"/>
      <c r="BA22" s="69"/>
      <c r="BB22" s="69"/>
      <c r="BD22" s="69"/>
      <c r="BE22" s="69"/>
      <c r="BF22" s="69"/>
      <c r="BG22" s="69"/>
      <c r="BL22" s="89"/>
      <c r="BR22" s="88"/>
    </row>
    <row r="23" spans="1:70" x14ac:dyDescent="0.4">
      <c r="A23" s="85" t="s">
        <v>201</v>
      </c>
      <c r="B23" s="92" t="s">
        <v>82</v>
      </c>
      <c r="C23" s="125" t="s">
        <v>0</v>
      </c>
      <c r="D23" s="129" t="s">
        <v>484</v>
      </c>
      <c r="E23" s="129" t="s">
        <v>484</v>
      </c>
      <c r="F23" s="129" t="s">
        <v>484</v>
      </c>
      <c r="G23" s="129" t="s">
        <v>484</v>
      </c>
      <c r="H23" s="129" t="s">
        <v>484</v>
      </c>
      <c r="I23" s="111">
        <v>5.8</v>
      </c>
      <c r="J23" s="77" t="s">
        <v>81</v>
      </c>
      <c r="K23" s="84">
        <v>32.9</v>
      </c>
      <c r="L23" s="86">
        <v>12700</v>
      </c>
      <c r="M23" s="80">
        <v>0.4</v>
      </c>
      <c r="N23" s="81">
        <v>50</v>
      </c>
      <c r="O23" s="84">
        <v>25.81</v>
      </c>
      <c r="P23" s="94">
        <v>7.9015254659999998</v>
      </c>
      <c r="Q23" s="81">
        <f t="shared" si="0"/>
        <v>3.2664578645047171</v>
      </c>
      <c r="R23" s="81">
        <f t="shared" si="1"/>
        <v>5185501.8599012382</v>
      </c>
      <c r="S23" s="84"/>
      <c r="T23" s="81" t="e">
        <f t="shared" si="2"/>
        <v>#DIV/0!</v>
      </c>
      <c r="U23" s="81"/>
      <c r="V23" s="84"/>
      <c r="W23" s="84"/>
      <c r="Y23" s="75"/>
      <c r="Z23" s="2"/>
      <c r="AA23" s="75"/>
      <c r="AB23" s="98"/>
      <c r="AD23" s="88"/>
      <c r="AE23" s="99"/>
      <c r="AF23" s="69"/>
      <c r="AH23" s="15"/>
      <c r="AI23" s="69"/>
      <c r="AJ23" s="69"/>
      <c r="AL23" s="69"/>
      <c r="AM23" s="69"/>
      <c r="AQ23" s="75"/>
      <c r="AR23" s="2"/>
      <c r="AS23" s="75"/>
      <c r="AT23" s="98"/>
      <c r="AV23" s="88"/>
      <c r="AW23" s="99"/>
      <c r="AX23" s="69"/>
      <c r="AZ23" s="15"/>
      <c r="BA23" s="69"/>
      <c r="BB23" s="69"/>
      <c r="BD23" s="69"/>
      <c r="BE23" s="69"/>
      <c r="BR23" s="88"/>
    </row>
    <row r="24" spans="1:70" x14ac:dyDescent="0.4">
      <c r="A24" s="85" t="s">
        <v>202</v>
      </c>
      <c r="B24" s="92" t="s">
        <v>82</v>
      </c>
      <c r="C24" s="125" t="s">
        <v>0</v>
      </c>
      <c r="D24" s="129" t="s">
        <v>484</v>
      </c>
      <c r="E24" s="129" t="s">
        <v>484</v>
      </c>
      <c r="F24" s="129" t="s">
        <v>484</v>
      </c>
      <c r="G24" s="129" t="s">
        <v>484</v>
      </c>
      <c r="H24" s="129" t="s">
        <v>484</v>
      </c>
      <c r="I24" s="111">
        <v>5.8</v>
      </c>
      <c r="J24" s="77" t="s">
        <v>81</v>
      </c>
      <c r="K24" s="84">
        <v>31.98</v>
      </c>
      <c r="L24" s="86">
        <v>14200</v>
      </c>
      <c r="M24" s="80">
        <v>0.4</v>
      </c>
      <c r="N24" s="81">
        <v>50</v>
      </c>
      <c r="O24" s="84">
        <v>25.81</v>
      </c>
      <c r="P24" s="94">
        <v>7.9015254659999998</v>
      </c>
      <c r="Q24" s="81">
        <f t="shared" si="0"/>
        <v>3.2664578645047171</v>
      </c>
      <c r="R24" s="81">
        <f t="shared" si="1"/>
        <v>5797962.7094958723</v>
      </c>
      <c r="S24" s="84"/>
      <c r="T24" s="81" t="e">
        <f t="shared" si="2"/>
        <v>#DIV/0!</v>
      </c>
      <c r="U24" s="81"/>
      <c r="V24" s="84"/>
      <c r="W24" s="84"/>
      <c r="Y24" s="75"/>
      <c r="Z24" s="2"/>
      <c r="AA24" s="75"/>
      <c r="AB24" s="98"/>
      <c r="AD24" s="88"/>
      <c r="AE24" s="99"/>
      <c r="AF24" s="69"/>
      <c r="AH24" s="15"/>
      <c r="AI24" s="69"/>
      <c r="AJ24" s="69"/>
      <c r="AL24" s="69"/>
      <c r="AM24" s="69"/>
      <c r="AQ24" s="75"/>
      <c r="AR24" s="2"/>
      <c r="AS24" s="75"/>
      <c r="AT24" s="98"/>
      <c r="AV24" s="88"/>
      <c r="AW24" s="99"/>
      <c r="AX24" s="69"/>
      <c r="AZ24" s="15"/>
      <c r="BA24" s="69"/>
      <c r="BB24" s="69"/>
      <c r="BD24" s="69"/>
      <c r="BE24" s="69"/>
      <c r="BR24" s="88"/>
    </row>
    <row r="25" spans="1:70" x14ac:dyDescent="0.4">
      <c r="A25" s="85" t="s">
        <v>203</v>
      </c>
      <c r="B25" s="92" t="s">
        <v>82</v>
      </c>
      <c r="C25" s="125" t="s">
        <v>0</v>
      </c>
      <c r="D25" s="129" t="s">
        <v>484</v>
      </c>
      <c r="E25" s="129" t="s">
        <v>484</v>
      </c>
      <c r="F25" s="129" t="s">
        <v>484</v>
      </c>
      <c r="G25" s="129" t="s">
        <v>484</v>
      </c>
      <c r="H25" s="129" t="s">
        <v>484</v>
      </c>
      <c r="I25" s="111">
        <v>5.8</v>
      </c>
      <c r="J25" s="77" t="s">
        <v>81</v>
      </c>
      <c r="K25" s="84">
        <v>33.04</v>
      </c>
      <c r="L25" s="86">
        <v>12500</v>
      </c>
      <c r="M25" s="80">
        <v>0.4</v>
      </c>
      <c r="N25" s="81">
        <v>50</v>
      </c>
      <c r="O25" s="84">
        <v>25.81</v>
      </c>
      <c r="P25" s="94">
        <v>7.9015254659999998</v>
      </c>
      <c r="Q25" s="81">
        <f t="shared" si="0"/>
        <v>3.2664578645047171</v>
      </c>
      <c r="R25" s="81">
        <f t="shared" si="1"/>
        <v>5103840.4132886203</v>
      </c>
      <c r="S25" s="84"/>
      <c r="T25" s="81" t="e">
        <f t="shared" si="2"/>
        <v>#DIV/0!</v>
      </c>
      <c r="U25" s="81" t="e">
        <f>AVERAGE(T23:T25)</f>
        <v>#DIV/0!</v>
      </c>
      <c r="V25" s="81" t="e">
        <f>_xlfn.STDEV.S(T23:T25)</f>
        <v>#DIV/0!</v>
      </c>
      <c r="W25" s="81">
        <f>MAX(K23:K25)-MIN(K23:K25)</f>
        <v>1.0599999999999987</v>
      </c>
      <c r="Y25" s="75"/>
      <c r="Z25" s="2"/>
      <c r="AA25" s="75"/>
      <c r="AB25" s="98"/>
      <c r="AD25" s="88"/>
      <c r="AE25" s="99"/>
      <c r="AF25" s="69"/>
      <c r="AH25" s="15"/>
      <c r="AI25" s="69"/>
      <c r="AJ25" s="69"/>
      <c r="AL25" s="69"/>
      <c r="AM25" s="69"/>
      <c r="AN25" s="69"/>
      <c r="AO25" s="69"/>
      <c r="AQ25" s="75"/>
      <c r="AR25" s="2"/>
      <c r="AS25" s="75"/>
      <c r="AT25" s="98"/>
      <c r="AV25" s="88"/>
      <c r="AW25" s="99"/>
      <c r="AX25" s="69"/>
      <c r="AZ25" s="15"/>
      <c r="BA25" s="69"/>
      <c r="BB25" s="69"/>
      <c r="BD25" s="69"/>
      <c r="BE25" s="69"/>
      <c r="BF25" s="69"/>
      <c r="BG25" s="69"/>
      <c r="BR25" s="88"/>
    </row>
    <row r="26" spans="1:70" x14ac:dyDescent="0.4">
      <c r="A26" s="85" t="s">
        <v>204</v>
      </c>
      <c r="B26" s="92" t="s">
        <v>83</v>
      </c>
      <c r="C26" s="125" t="s">
        <v>1</v>
      </c>
      <c r="D26" s="129" t="s">
        <v>484</v>
      </c>
      <c r="E26" s="129" t="s">
        <v>484</v>
      </c>
      <c r="F26" s="129" t="s">
        <v>484</v>
      </c>
      <c r="G26" s="129" t="s">
        <v>485</v>
      </c>
      <c r="H26" s="129" t="s">
        <v>484</v>
      </c>
      <c r="I26" s="111">
        <v>5.8</v>
      </c>
      <c r="J26" s="77" t="s">
        <v>81</v>
      </c>
      <c r="K26" s="84">
        <v>31.75</v>
      </c>
      <c r="L26" s="86">
        <v>14600</v>
      </c>
      <c r="M26" s="80">
        <v>0.4</v>
      </c>
      <c r="N26" s="81">
        <v>50</v>
      </c>
      <c r="O26" s="84">
        <v>38.130000000000003</v>
      </c>
      <c r="P26" s="94">
        <v>5.3672855950000002</v>
      </c>
      <c r="Q26" s="81">
        <f t="shared" si="0"/>
        <v>7.1041496348770314</v>
      </c>
      <c r="R26" s="81">
        <f t="shared" si="1"/>
        <v>12965073.083650582</v>
      </c>
      <c r="S26" s="84"/>
      <c r="T26" s="81" t="e">
        <f t="shared" si="2"/>
        <v>#DIV/0!</v>
      </c>
      <c r="U26" s="81"/>
      <c r="V26" s="84"/>
      <c r="W26" s="84"/>
      <c r="Y26" s="75"/>
      <c r="Z26" s="2"/>
      <c r="AA26" s="75"/>
      <c r="AB26" s="98"/>
      <c r="AD26" s="88"/>
      <c r="AE26" s="99"/>
      <c r="AF26" s="69"/>
      <c r="AH26" s="15"/>
      <c r="AI26" s="69"/>
      <c r="AJ26" s="69"/>
      <c r="AL26" s="69"/>
      <c r="AM26" s="69"/>
      <c r="AQ26" s="75"/>
      <c r="AR26" s="2"/>
      <c r="AS26" s="75"/>
      <c r="AT26" s="98"/>
      <c r="AV26" s="88"/>
      <c r="AW26" s="99"/>
      <c r="AX26" s="69"/>
      <c r="AZ26" s="15"/>
      <c r="BA26" s="69"/>
      <c r="BB26" s="69"/>
      <c r="BD26" s="69"/>
      <c r="BE26" s="69"/>
      <c r="BR26" s="88"/>
    </row>
    <row r="27" spans="1:70" x14ac:dyDescent="0.4">
      <c r="A27" s="85" t="s">
        <v>205</v>
      </c>
      <c r="B27" s="92" t="s">
        <v>83</v>
      </c>
      <c r="C27" s="125" t="s">
        <v>1</v>
      </c>
      <c r="D27" s="129" t="s">
        <v>484</v>
      </c>
      <c r="E27" s="129" t="s">
        <v>484</v>
      </c>
      <c r="F27" s="129" t="s">
        <v>484</v>
      </c>
      <c r="G27" s="129" t="s">
        <v>485</v>
      </c>
      <c r="H27" s="129" t="s">
        <v>484</v>
      </c>
      <c r="I27" s="111">
        <v>5.8</v>
      </c>
      <c r="J27" s="77" t="s">
        <v>81</v>
      </c>
      <c r="K27" s="84">
        <v>33.81</v>
      </c>
      <c r="L27" s="86">
        <v>11600</v>
      </c>
      <c r="M27" s="80">
        <v>0.4</v>
      </c>
      <c r="N27" s="81">
        <v>50</v>
      </c>
      <c r="O27" s="84">
        <v>38.130000000000003</v>
      </c>
      <c r="P27" s="94">
        <v>5.3672855950000002</v>
      </c>
      <c r="Q27" s="81">
        <f t="shared" si="0"/>
        <v>7.1041496348770314</v>
      </c>
      <c r="R27" s="81">
        <f t="shared" si="1"/>
        <v>10301016.970571695</v>
      </c>
      <c r="S27" s="84"/>
      <c r="T27" s="81" t="e">
        <f t="shared" si="2"/>
        <v>#DIV/0!</v>
      </c>
      <c r="U27" s="81"/>
      <c r="V27" s="84"/>
      <c r="W27" s="84"/>
      <c r="Y27" s="75"/>
      <c r="Z27" s="2"/>
      <c r="AA27" s="75"/>
      <c r="AB27" s="98"/>
      <c r="AD27" s="88"/>
      <c r="AE27" s="99"/>
      <c r="AF27" s="69"/>
      <c r="AH27" s="15"/>
      <c r="AI27" s="69"/>
      <c r="AJ27" s="69"/>
      <c r="AL27" s="69"/>
      <c r="AM27" s="69"/>
      <c r="AQ27" s="75"/>
      <c r="AR27" s="2"/>
      <c r="AS27" s="75"/>
      <c r="AT27" s="98"/>
      <c r="AV27" s="88"/>
      <c r="AW27" s="99"/>
      <c r="AX27" s="69"/>
      <c r="AZ27" s="15"/>
      <c r="BA27" s="69"/>
      <c r="BB27" s="69"/>
      <c r="BD27" s="69"/>
      <c r="BE27" s="69"/>
      <c r="BR27" s="88"/>
    </row>
    <row r="28" spans="1:70" x14ac:dyDescent="0.4">
      <c r="A28" s="85" t="s">
        <v>206</v>
      </c>
      <c r="B28" s="92" t="s">
        <v>83</v>
      </c>
      <c r="C28" s="125" t="s">
        <v>1</v>
      </c>
      <c r="D28" s="129" t="s">
        <v>484</v>
      </c>
      <c r="E28" s="129" t="s">
        <v>484</v>
      </c>
      <c r="F28" s="129" t="s">
        <v>484</v>
      </c>
      <c r="G28" s="129" t="s">
        <v>485</v>
      </c>
      <c r="H28" s="129" t="s">
        <v>484</v>
      </c>
      <c r="I28" s="111">
        <v>5.8</v>
      </c>
      <c r="J28" s="77" t="s">
        <v>81</v>
      </c>
      <c r="K28" s="84">
        <v>32.03</v>
      </c>
      <c r="L28" s="86">
        <v>14100</v>
      </c>
      <c r="M28" s="80">
        <v>0.4</v>
      </c>
      <c r="N28" s="81">
        <v>50</v>
      </c>
      <c r="O28" s="84">
        <v>38.130000000000003</v>
      </c>
      <c r="P28" s="94">
        <v>5.3672855950000002</v>
      </c>
      <c r="Q28" s="81">
        <f t="shared" si="0"/>
        <v>7.1041496348770314</v>
      </c>
      <c r="R28" s="81">
        <f t="shared" si="1"/>
        <v>12521063.731470766</v>
      </c>
      <c r="S28" s="84"/>
      <c r="T28" s="81" t="e">
        <f t="shared" si="2"/>
        <v>#DIV/0!</v>
      </c>
      <c r="U28" s="81" t="e">
        <f>AVERAGE(T26:T28)</f>
        <v>#DIV/0!</v>
      </c>
      <c r="V28" s="81" t="e">
        <f>_xlfn.STDEV.S(T26:T28)</f>
        <v>#DIV/0!</v>
      </c>
      <c r="W28" s="81">
        <f>MAX(K26:K28)-MIN(K26:K28)</f>
        <v>2.0600000000000023</v>
      </c>
      <c r="Y28" s="75"/>
      <c r="Z28" s="2"/>
      <c r="AA28" s="75"/>
      <c r="AB28" s="98"/>
      <c r="AD28" s="88"/>
      <c r="AE28" s="99"/>
      <c r="AF28" s="69"/>
      <c r="AH28" s="15"/>
      <c r="AI28" s="69"/>
      <c r="AJ28" s="69"/>
      <c r="AL28" s="69"/>
      <c r="AM28" s="69"/>
      <c r="AN28" s="69"/>
      <c r="AO28" s="69"/>
      <c r="AQ28" s="75"/>
      <c r="AR28" s="2"/>
      <c r="AS28" s="75"/>
      <c r="AT28" s="98"/>
      <c r="AV28" s="88"/>
      <c r="AW28" s="99"/>
      <c r="AX28" s="69"/>
      <c r="AZ28" s="15"/>
      <c r="BA28" s="69"/>
      <c r="BB28" s="69"/>
      <c r="BD28" s="69"/>
      <c r="BE28" s="69"/>
      <c r="BF28" s="69"/>
      <c r="BG28" s="69"/>
      <c r="BR28" s="88"/>
    </row>
    <row r="29" spans="1:70" x14ac:dyDescent="0.4">
      <c r="A29" s="85" t="s">
        <v>207</v>
      </c>
      <c r="B29" s="92" t="s">
        <v>84</v>
      </c>
      <c r="C29" s="125" t="s">
        <v>2</v>
      </c>
      <c r="D29" s="129" t="s">
        <v>484</v>
      </c>
      <c r="E29" s="129" t="s">
        <v>485</v>
      </c>
      <c r="F29" s="129" t="s">
        <v>484</v>
      </c>
      <c r="G29" s="129" t="s">
        <v>484</v>
      </c>
      <c r="H29" s="129" t="s">
        <v>484</v>
      </c>
      <c r="I29" s="111">
        <v>5.8</v>
      </c>
      <c r="J29" s="77" t="s">
        <v>81</v>
      </c>
      <c r="K29" s="84">
        <v>31.78</v>
      </c>
      <c r="L29" s="86">
        <v>14600</v>
      </c>
      <c r="M29" s="80">
        <v>0.4</v>
      </c>
      <c r="N29" s="81">
        <v>50</v>
      </c>
      <c r="O29" s="84">
        <v>50.72</v>
      </c>
      <c r="P29" s="94">
        <v>6.3145562860000002</v>
      </c>
      <c r="Q29" s="81">
        <f t="shared" si="0"/>
        <v>8.0322349984354862</v>
      </c>
      <c r="R29" s="81">
        <f t="shared" si="1"/>
        <v>14658828.872144762</v>
      </c>
      <c r="S29" s="84"/>
      <c r="T29" s="81" t="e">
        <f t="shared" si="2"/>
        <v>#DIV/0!</v>
      </c>
      <c r="U29" s="81"/>
      <c r="V29" s="84"/>
      <c r="W29" s="84"/>
      <c r="Y29" s="75"/>
      <c r="Z29" s="2"/>
      <c r="AA29" s="75"/>
      <c r="AB29" s="98"/>
      <c r="AD29" s="88"/>
      <c r="AE29" s="99"/>
      <c r="AF29" s="69"/>
      <c r="AH29" s="15"/>
      <c r="AI29" s="69"/>
      <c r="AJ29" s="69"/>
      <c r="AL29" s="69"/>
      <c r="AM29" s="69"/>
      <c r="AQ29" s="75"/>
      <c r="AR29" s="75"/>
      <c r="AS29" s="75"/>
      <c r="AT29" s="98"/>
      <c r="AW29" s="99"/>
      <c r="AZ29" s="15"/>
      <c r="BA29" s="69"/>
      <c r="BB29" s="69"/>
      <c r="BD29" s="69"/>
      <c r="BE29" s="69"/>
      <c r="BR29" s="88"/>
    </row>
    <row r="30" spans="1:70" x14ac:dyDescent="0.4">
      <c r="A30" s="85" t="s">
        <v>208</v>
      </c>
      <c r="B30" s="92" t="s">
        <v>84</v>
      </c>
      <c r="C30" s="125" t="s">
        <v>2</v>
      </c>
      <c r="D30" s="129" t="s">
        <v>484</v>
      </c>
      <c r="E30" s="129" t="s">
        <v>485</v>
      </c>
      <c r="F30" s="129" t="s">
        <v>484</v>
      </c>
      <c r="G30" s="129" t="s">
        <v>484</v>
      </c>
      <c r="H30" s="129" t="s">
        <v>484</v>
      </c>
      <c r="I30" s="111">
        <v>5.8</v>
      </c>
      <c r="J30" s="77" t="s">
        <v>81</v>
      </c>
      <c r="K30" s="84">
        <v>31.16</v>
      </c>
      <c r="L30" s="86">
        <v>16000</v>
      </c>
      <c r="M30" s="80">
        <v>0.4</v>
      </c>
      <c r="N30" s="81">
        <v>50</v>
      </c>
      <c r="O30" s="84">
        <v>50.72</v>
      </c>
      <c r="P30" s="94">
        <v>6.3145562860000002</v>
      </c>
      <c r="Q30" s="81">
        <f t="shared" si="0"/>
        <v>8.0322349984354862</v>
      </c>
      <c r="R30" s="81">
        <f t="shared" si="1"/>
        <v>16064469.996870972</v>
      </c>
      <c r="S30" s="84"/>
      <c r="T30" s="81" t="e">
        <f t="shared" si="2"/>
        <v>#DIV/0!</v>
      </c>
      <c r="U30" s="81"/>
      <c r="V30" s="84"/>
      <c r="W30" s="84"/>
      <c r="Y30" s="75"/>
      <c r="Z30" s="2"/>
      <c r="AA30" s="75"/>
      <c r="AB30" s="98"/>
      <c r="AD30" s="88"/>
      <c r="AE30" s="99"/>
      <c r="AF30" s="69"/>
      <c r="AH30" s="15"/>
      <c r="AI30" s="69"/>
      <c r="AJ30" s="69"/>
      <c r="AL30" s="69"/>
      <c r="AM30" s="69"/>
      <c r="AQ30" s="75"/>
      <c r="AR30" s="75"/>
      <c r="AS30" s="75"/>
      <c r="AT30" s="98"/>
      <c r="AW30" s="99"/>
      <c r="AZ30" s="15"/>
      <c r="BA30" s="69"/>
      <c r="BB30" s="69"/>
      <c r="BD30" s="69"/>
      <c r="BE30" s="69"/>
      <c r="BR30" s="88"/>
    </row>
    <row r="31" spans="1:70" x14ac:dyDescent="0.4">
      <c r="A31" s="85" t="s">
        <v>209</v>
      </c>
      <c r="B31" s="92" t="s">
        <v>84</v>
      </c>
      <c r="C31" s="125" t="s">
        <v>2</v>
      </c>
      <c r="D31" s="129" t="s">
        <v>484</v>
      </c>
      <c r="E31" s="129" t="s">
        <v>485</v>
      </c>
      <c r="F31" s="129" t="s">
        <v>484</v>
      </c>
      <c r="G31" s="129" t="s">
        <v>484</v>
      </c>
      <c r="H31" s="129" t="s">
        <v>484</v>
      </c>
      <c r="I31" s="111">
        <v>5.8</v>
      </c>
      <c r="J31" s="77" t="s">
        <v>81</v>
      </c>
      <c r="K31" s="84">
        <v>31.23</v>
      </c>
      <c r="L31" s="86">
        <v>15800</v>
      </c>
      <c r="M31" s="80">
        <v>0.4</v>
      </c>
      <c r="N31" s="81">
        <v>50</v>
      </c>
      <c r="O31" s="84">
        <v>50.72</v>
      </c>
      <c r="P31" s="94">
        <v>6.3145562860000002</v>
      </c>
      <c r="Q31" s="81">
        <f t="shared" si="0"/>
        <v>8.0322349984354862</v>
      </c>
      <c r="R31" s="81">
        <f t="shared" si="1"/>
        <v>15863664.121910084</v>
      </c>
      <c r="S31" s="84"/>
      <c r="T31" s="81" t="e">
        <f t="shared" si="2"/>
        <v>#DIV/0!</v>
      </c>
      <c r="U31" s="81" t="e">
        <f>AVERAGE(T29:T31)</f>
        <v>#DIV/0!</v>
      </c>
      <c r="V31" s="81" t="e">
        <f>_xlfn.STDEV.S(T29:T31)</f>
        <v>#DIV/0!</v>
      </c>
      <c r="W31" s="81">
        <f>MAX(K29:K31)-MIN(K29:K31)</f>
        <v>0.62000000000000099</v>
      </c>
      <c r="Y31" s="75"/>
      <c r="Z31" s="2"/>
      <c r="AA31" s="75"/>
      <c r="AB31" s="98"/>
      <c r="AD31" s="88"/>
      <c r="AE31" s="99"/>
      <c r="AF31" s="69"/>
      <c r="AH31" s="15"/>
      <c r="AI31" s="69"/>
      <c r="AJ31" s="69"/>
      <c r="AL31" s="69"/>
      <c r="AM31" s="69"/>
      <c r="AN31" s="69"/>
      <c r="AO31" s="69"/>
      <c r="AQ31" s="75"/>
      <c r="AR31" s="75"/>
      <c r="AS31" s="75"/>
      <c r="AT31" s="98"/>
      <c r="AW31" s="99"/>
      <c r="AZ31" s="15"/>
      <c r="BA31" s="69"/>
      <c r="BB31" s="69"/>
      <c r="BD31" s="69"/>
      <c r="BE31" s="69"/>
      <c r="BF31" s="69"/>
      <c r="BG31" s="69"/>
    </row>
    <row r="32" spans="1:70" x14ac:dyDescent="0.4">
      <c r="A32" s="85" t="s">
        <v>210</v>
      </c>
      <c r="B32" s="92" t="s">
        <v>85</v>
      </c>
      <c r="C32" s="125" t="s">
        <v>3</v>
      </c>
      <c r="D32" s="129" t="s">
        <v>484</v>
      </c>
      <c r="E32" s="129" t="s">
        <v>485</v>
      </c>
      <c r="F32" s="129" t="s">
        <v>484</v>
      </c>
      <c r="G32" s="129" t="s">
        <v>485</v>
      </c>
      <c r="H32" s="129" t="s">
        <v>484</v>
      </c>
      <c r="I32" s="111">
        <v>5.8</v>
      </c>
      <c r="J32" s="77" t="s">
        <v>81</v>
      </c>
      <c r="K32" s="84">
        <v>30.71</v>
      </c>
      <c r="L32" s="86">
        <v>17200</v>
      </c>
      <c r="M32" s="80">
        <v>0.4</v>
      </c>
      <c r="N32" s="81">
        <v>50</v>
      </c>
      <c r="O32" s="84">
        <v>69.39</v>
      </c>
      <c r="P32" s="94">
        <v>7.0441633360000004</v>
      </c>
      <c r="Q32" s="81">
        <f t="shared" si="0"/>
        <v>9.8507085497825546</v>
      </c>
      <c r="R32" s="81">
        <f t="shared" si="1"/>
        <v>21179023.382032488</v>
      </c>
      <c r="S32" s="84"/>
      <c r="T32" s="81" t="e">
        <f t="shared" si="2"/>
        <v>#DIV/0!</v>
      </c>
      <c r="U32" s="81"/>
      <c r="V32" s="84"/>
      <c r="W32" s="84"/>
      <c r="Y32" s="75"/>
      <c r="Z32" s="2"/>
      <c r="AA32" s="75"/>
      <c r="AB32" s="98"/>
      <c r="AD32" s="88"/>
      <c r="AE32" s="99"/>
      <c r="AF32" s="69"/>
      <c r="AH32" s="15"/>
      <c r="AI32" s="69"/>
      <c r="AJ32" s="69"/>
      <c r="AL32" s="69"/>
      <c r="AM32" s="69"/>
      <c r="AQ32" s="75"/>
      <c r="AR32" s="2"/>
      <c r="AS32" s="75"/>
      <c r="AT32" s="98"/>
      <c r="AV32" s="88"/>
      <c r="AW32" s="99"/>
      <c r="AX32" s="69"/>
      <c r="AZ32" s="15"/>
      <c r="BA32" s="69"/>
      <c r="BB32" s="69"/>
      <c r="BD32" s="69"/>
      <c r="BE32" s="69"/>
    </row>
    <row r="33" spans="1:70" x14ac:dyDescent="0.4">
      <c r="A33" s="85" t="s">
        <v>211</v>
      </c>
      <c r="B33" s="92" t="s">
        <v>85</v>
      </c>
      <c r="C33" s="125" t="s">
        <v>3</v>
      </c>
      <c r="D33" s="129" t="s">
        <v>484</v>
      </c>
      <c r="E33" s="129" t="s">
        <v>485</v>
      </c>
      <c r="F33" s="129" t="s">
        <v>484</v>
      </c>
      <c r="G33" s="129" t="s">
        <v>485</v>
      </c>
      <c r="H33" s="129" t="s">
        <v>484</v>
      </c>
      <c r="I33" s="111">
        <v>5.8</v>
      </c>
      <c r="J33" s="77" t="s">
        <v>81</v>
      </c>
      <c r="K33" s="84">
        <v>30.92</v>
      </c>
      <c r="L33" s="86">
        <v>16600</v>
      </c>
      <c r="M33" s="80">
        <v>0.4</v>
      </c>
      <c r="N33" s="81">
        <v>50</v>
      </c>
      <c r="O33" s="84">
        <v>69.39</v>
      </c>
      <c r="P33" s="94">
        <v>7.0441633360000004</v>
      </c>
      <c r="Q33" s="81">
        <f t="shared" si="0"/>
        <v>9.8507085497825546</v>
      </c>
      <c r="R33" s="81">
        <f t="shared" si="1"/>
        <v>20440220.240798797</v>
      </c>
      <c r="S33" s="84"/>
      <c r="T33" s="81" t="e">
        <f t="shared" si="2"/>
        <v>#DIV/0!</v>
      </c>
      <c r="U33" s="81"/>
      <c r="V33" s="84"/>
      <c r="W33" s="84"/>
      <c r="Y33" s="75"/>
      <c r="Z33" s="2"/>
      <c r="AA33" s="75"/>
      <c r="AB33" s="98"/>
      <c r="AD33" s="88"/>
      <c r="AE33" s="99"/>
      <c r="AF33" s="69"/>
      <c r="AH33" s="15"/>
      <c r="AI33" s="69"/>
      <c r="AJ33" s="69"/>
      <c r="AL33" s="69"/>
      <c r="AM33" s="69"/>
      <c r="AQ33" s="75"/>
      <c r="AR33" s="2"/>
      <c r="AS33" s="75"/>
      <c r="AT33" s="98"/>
      <c r="AV33" s="88"/>
      <c r="AW33" s="99"/>
      <c r="AX33" s="69"/>
      <c r="AZ33" s="15"/>
      <c r="BA33" s="69"/>
      <c r="BB33" s="69"/>
      <c r="BD33" s="69"/>
      <c r="BE33" s="69"/>
    </row>
    <row r="34" spans="1:70" x14ac:dyDescent="0.4">
      <c r="A34" s="85" t="s">
        <v>212</v>
      </c>
      <c r="B34" s="92" t="s">
        <v>85</v>
      </c>
      <c r="C34" s="125" t="s">
        <v>3</v>
      </c>
      <c r="D34" s="129" t="s">
        <v>484</v>
      </c>
      <c r="E34" s="129" t="s">
        <v>485</v>
      </c>
      <c r="F34" s="129" t="s">
        <v>484</v>
      </c>
      <c r="G34" s="129" t="s">
        <v>485</v>
      </c>
      <c r="H34" s="129" t="s">
        <v>484</v>
      </c>
      <c r="I34" s="111">
        <v>5.8</v>
      </c>
      <c r="J34" s="77" t="s">
        <v>81</v>
      </c>
      <c r="K34" s="84">
        <v>31.39</v>
      </c>
      <c r="L34" s="86">
        <v>15400</v>
      </c>
      <c r="M34" s="80">
        <v>0.4</v>
      </c>
      <c r="N34" s="81">
        <v>50</v>
      </c>
      <c r="O34" s="84">
        <v>69.39</v>
      </c>
      <c r="P34" s="94">
        <v>7.0441633360000004</v>
      </c>
      <c r="Q34" s="81">
        <f t="shared" si="0"/>
        <v>9.8507085497825546</v>
      </c>
      <c r="R34" s="81">
        <f t="shared" si="1"/>
        <v>18962613.958331417</v>
      </c>
      <c r="S34" s="84"/>
      <c r="T34" s="81" t="e">
        <f t="shared" si="2"/>
        <v>#DIV/0!</v>
      </c>
      <c r="U34" s="81" t="e">
        <f>AVERAGE(T32:T34)</f>
        <v>#DIV/0!</v>
      </c>
      <c r="V34" s="81" t="e">
        <f>_xlfn.STDEV.S(T32:T34)</f>
        <v>#DIV/0!</v>
      </c>
      <c r="W34" s="81">
        <f>MAX(K32:K34)-MIN(K32:K34)</f>
        <v>0.67999999999999972</v>
      </c>
      <c r="Y34" s="75"/>
      <c r="Z34" s="2"/>
      <c r="AA34" s="75"/>
      <c r="AB34" s="98"/>
      <c r="AD34" s="88"/>
      <c r="AE34" s="99"/>
      <c r="AF34" s="69"/>
      <c r="AH34" s="15"/>
      <c r="AI34" s="69"/>
      <c r="AJ34" s="69"/>
      <c r="AL34" s="69"/>
      <c r="AM34" s="69"/>
      <c r="AN34" s="69"/>
      <c r="AO34" s="69"/>
      <c r="AQ34" s="75"/>
      <c r="AR34" s="2"/>
      <c r="AS34" s="75"/>
      <c r="AT34" s="98"/>
      <c r="AV34" s="88"/>
      <c r="AW34" s="99"/>
      <c r="AX34" s="69"/>
      <c r="AZ34" s="15"/>
      <c r="BA34" s="69"/>
      <c r="BB34" s="69"/>
      <c r="BD34" s="69"/>
      <c r="BE34" s="69"/>
      <c r="BF34" s="69"/>
      <c r="BG34" s="69"/>
      <c r="BR34" s="88"/>
    </row>
    <row r="35" spans="1:70" x14ac:dyDescent="0.4">
      <c r="A35" s="85" t="s">
        <v>213</v>
      </c>
      <c r="B35" s="92" t="s">
        <v>92</v>
      </c>
      <c r="C35" s="125" t="s">
        <v>0</v>
      </c>
      <c r="D35" s="129" t="s">
        <v>484</v>
      </c>
      <c r="E35" s="129" t="s">
        <v>484</v>
      </c>
      <c r="F35" s="129" t="s">
        <v>484</v>
      </c>
      <c r="G35" s="129" t="s">
        <v>484</v>
      </c>
      <c r="H35" s="129" t="s">
        <v>484</v>
      </c>
      <c r="I35" s="111">
        <v>4.8</v>
      </c>
      <c r="J35" s="77" t="s">
        <v>132</v>
      </c>
      <c r="K35" s="84">
        <v>35</v>
      </c>
      <c r="L35" s="86">
        <v>10800</v>
      </c>
      <c r="M35" s="80">
        <v>0.4</v>
      </c>
      <c r="N35" s="81">
        <v>50</v>
      </c>
      <c r="O35" s="84">
        <v>0.72</v>
      </c>
      <c r="P35" s="94">
        <v>4.2003374000000003E-2</v>
      </c>
      <c r="Q35" s="81">
        <f t="shared" si="0"/>
        <v>17.141480110621586</v>
      </c>
      <c r="R35" s="81">
        <f t="shared" si="1"/>
        <v>23140998.149339139</v>
      </c>
      <c r="S35" s="84"/>
      <c r="T35" s="81" t="e">
        <f t="shared" si="2"/>
        <v>#DIV/0!</v>
      </c>
      <c r="U35" s="81"/>
      <c r="V35" s="84"/>
      <c r="W35" s="84"/>
      <c r="Y35" s="75"/>
      <c r="Z35" s="2"/>
      <c r="AA35" s="75"/>
      <c r="AB35" s="98"/>
      <c r="AD35" s="88"/>
      <c r="AE35" s="99"/>
      <c r="AF35" s="69"/>
      <c r="AH35" s="15"/>
      <c r="AI35" s="69"/>
      <c r="AJ35" s="69"/>
      <c r="AL35" s="69"/>
      <c r="AM35" s="69"/>
      <c r="AQ35" s="75"/>
      <c r="AR35" s="2"/>
      <c r="AS35" s="75"/>
      <c r="AT35" s="98"/>
      <c r="AV35" s="88"/>
      <c r="AW35" s="99"/>
      <c r="AX35" s="69"/>
      <c r="AZ35" s="15"/>
      <c r="BA35" s="69"/>
      <c r="BB35" s="69"/>
      <c r="BD35" s="69"/>
      <c r="BE35" s="69"/>
      <c r="BR35" s="88"/>
    </row>
    <row r="36" spans="1:70" x14ac:dyDescent="0.4">
      <c r="A36" s="85" t="s">
        <v>214</v>
      </c>
      <c r="B36" s="92" t="s">
        <v>92</v>
      </c>
      <c r="C36" s="125" t="s">
        <v>0</v>
      </c>
      <c r="D36" s="129" t="s">
        <v>484</v>
      </c>
      <c r="E36" s="129" t="s">
        <v>484</v>
      </c>
      <c r="F36" s="129" t="s">
        <v>484</v>
      </c>
      <c r="G36" s="129" t="s">
        <v>484</v>
      </c>
      <c r="H36" s="129" t="s">
        <v>484</v>
      </c>
      <c r="I36" s="111">
        <v>4.8</v>
      </c>
      <c r="J36" s="77" t="s">
        <v>132</v>
      </c>
      <c r="K36" s="84">
        <v>33.630000000000003</v>
      </c>
      <c r="L36" s="86">
        <v>11800</v>
      </c>
      <c r="M36" s="80">
        <v>0.4</v>
      </c>
      <c r="N36" s="81">
        <v>50</v>
      </c>
      <c r="O36" s="84">
        <v>0.72</v>
      </c>
      <c r="P36" s="94">
        <v>4.2003374000000003E-2</v>
      </c>
      <c r="Q36" s="81">
        <f t="shared" si="0"/>
        <v>17.141480110621586</v>
      </c>
      <c r="R36" s="81">
        <f t="shared" si="1"/>
        <v>25283683.163166836</v>
      </c>
      <c r="S36" s="84"/>
      <c r="T36" s="81" t="e">
        <f t="shared" si="2"/>
        <v>#DIV/0!</v>
      </c>
      <c r="U36" s="81"/>
      <c r="V36" s="84"/>
      <c r="W36" s="84"/>
      <c r="Y36" s="75"/>
      <c r="Z36" s="2"/>
      <c r="AA36" s="75"/>
      <c r="AB36" s="98"/>
      <c r="AD36" s="88"/>
      <c r="AE36" s="99"/>
      <c r="AF36" s="69"/>
      <c r="AH36" s="15"/>
      <c r="AI36" s="69"/>
      <c r="AJ36" s="69"/>
      <c r="AL36" s="69"/>
      <c r="AM36" s="69"/>
      <c r="AQ36" s="75"/>
      <c r="AR36" s="2"/>
      <c r="AS36" s="75"/>
      <c r="AT36" s="98"/>
      <c r="AV36" s="88"/>
      <c r="AW36" s="99"/>
      <c r="AX36" s="69"/>
      <c r="AZ36" s="15"/>
      <c r="BA36" s="69"/>
      <c r="BB36" s="69"/>
      <c r="BD36" s="69"/>
      <c r="BE36" s="69"/>
      <c r="BR36" s="88"/>
    </row>
    <row r="37" spans="1:70" x14ac:dyDescent="0.4">
      <c r="A37" s="85" t="s">
        <v>215</v>
      </c>
      <c r="B37" s="92" t="s">
        <v>92</v>
      </c>
      <c r="C37" s="125" t="s">
        <v>0</v>
      </c>
      <c r="D37" s="129" t="s">
        <v>484</v>
      </c>
      <c r="E37" s="129" t="s">
        <v>484</v>
      </c>
      <c r="F37" s="129" t="s">
        <v>484</v>
      </c>
      <c r="G37" s="129" t="s">
        <v>484</v>
      </c>
      <c r="H37" s="129" t="s">
        <v>484</v>
      </c>
      <c r="I37" s="111">
        <v>4.8</v>
      </c>
      <c r="J37" s="77" t="s">
        <v>132</v>
      </c>
      <c r="K37" s="84">
        <v>35</v>
      </c>
      <c r="L37" s="86">
        <v>10800</v>
      </c>
      <c r="M37" s="80">
        <v>0.4</v>
      </c>
      <c r="N37" s="81">
        <v>50</v>
      </c>
      <c r="O37" s="84">
        <v>0.72</v>
      </c>
      <c r="P37" s="94">
        <v>4.2003374000000003E-2</v>
      </c>
      <c r="Q37" s="81">
        <f t="shared" si="0"/>
        <v>17.141480110621586</v>
      </c>
      <c r="R37" s="81">
        <f t="shared" si="1"/>
        <v>23140998.149339139</v>
      </c>
      <c r="S37" s="84"/>
      <c r="T37" s="81" t="e">
        <f t="shared" si="2"/>
        <v>#DIV/0!</v>
      </c>
      <c r="U37" s="81" t="e">
        <f>AVERAGE(T35:T37)</f>
        <v>#DIV/0!</v>
      </c>
      <c r="V37" s="81" t="e">
        <f>_xlfn.STDEV.S(T35:T37)</f>
        <v>#DIV/0!</v>
      </c>
      <c r="W37" s="81">
        <f>MAX(K35:K37)-MIN(K35:K37)</f>
        <v>1.3699999999999974</v>
      </c>
      <c r="Y37" s="75"/>
      <c r="Z37" s="2"/>
      <c r="AA37" s="75"/>
      <c r="AB37" s="98"/>
      <c r="AD37" s="88"/>
      <c r="AE37" s="99"/>
      <c r="AF37" s="69"/>
      <c r="AH37" s="15"/>
      <c r="AI37" s="69"/>
      <c r="AJ37" s="69"/>
      <c r="AL37" s="69"/>
      <c r="AM37" s="69"/>
      <c r="AN37" s="69"/>
      <c r="AO37" s="69"/>
      <c r="AQ37" s="75"/>
      <c r="AR37" s="2"/>
      <c r="AS37" s="75"/>
      <c r="AT37" s="98"/>
      <c r="AV37" s="88"/>
      <c r="AW37" s="99"/>
      <c r="AX37" s="69"/>
      <c r="AZ37" s="15"/>
      <c r="BA37" s="69"/>
      <c r="BB37" s="69"/>
      <c r="BD37" s="69"/>
      <c r="BE37" s="69"/>
      <c r="BF37" s="69"/>
      <c r="BG37" s="69"/>
      <c r="BR37" s="88"/>
    </row>
    <row r="38" spans="1:70" x14ac:dyDescent="0.4">
      <c r="A38" s="85" t="s">
        <v>216</v>
      </c>
      <c r="B38" s="92" t="s">
        <v>93</v>
      </c>
      <c r="C38" s="125" t="s">
        <v>1</v>
      </c>
      <c r="D38" s="129" t="s">
        <v>484</v>
      </c>
      <c r="E38" s="129" t="s">
        <v>484</v>
      </c>
      <c r="F38" s="129" t="s">
        <v>484</v>
      </c>
      <c r="G38" s="129" t="s">
        <v>485</v>
      </c>
      <c r="H38" s="129" t="s">
        <v>484</v>
      </c>
      <c r="I38" s="111">
        <v>4.8</v>
      </c>
      <c r="J38" s="77" t="s">
        <v>132</v>
      </c>
      <c r="K38" s="84">
        <v>35</v>
      </c>
      <c r="L38" s="86">
        <v>10800</v>
      </c>
      <c r="M38" s="80">
        <v>0.4</v>
      </c>
      <c r="N38" s="81">
        <v>50</v>
      </c>
      <c r="O38" s="84">
        <v>-0.18</v>
      </c>
      <c r="P38" s="94">
        <v>-0.251168689</v>
      </c>
      <c r="Q38" s="81">
        <f t="shared" si="0"/>
        <v>0.71664983687516881</v>
      </c>
      <c r="R38" s="81">
        <f t="shared" si="1"/>
        <v>967477.27978147776</v>
      </c>
      <c r="S38" s="84"/>
      <c r="T38" s="81" t="e">
        <f t="shared" si="2"/>
        <v>#DIV/0!</v>
      </c>
      <c r="U38" s="81"/>
      <c r="V38" s="84"/>
      <c r="W38" s="84"/>
      <c r="Y38" s="75"/>
      <c r="Z38" s="2"/>
      <c r="AA38" s="75"/>
      <c r="AB38" s="98"/>
      <c r="AD38" s="88"/>
      <c r="AE38" s="99"/>
      <c r="AF38" s="69"/>
      <c r="AH38" s="15"/>
      <c r="AI38" s="69"/>
      <c r="AJ38" s="69"/>
      <c r="AL38" s="69"/>
      <c r="AM38" s="69"/>
      <c r="AQ38" s="75"/>
      <c r="AR38" s="2"/>
      <c r="AS38" s="75"/>
      <c r="AT38" s="98"/>
      <c r="AV38" s="88"/>
      <c r="AW38" s="99"/>
      <c r="AX38" s="69"/>
      <c r="AZ38" s="15"/>
      <c r="BA38" s="69"/>
      <c r="BB38" s="69"/>
      <c r="BD38" s="69"/>
      <c r="BE38" s="69"/>
      <c r="BR38" s="88"/>
    </row>
    <row r="39" spans="1:70" x14ac:dyDescent="0.4">
      <c r="A39" s="85" t="s">
        <v>217</v>
      </c>
      <c r="B39" s="92" t="s">
        <v>93</v>
      </c>
      <c r="C39" s="125" t="s">
        <v>1</v>
      </c>
      <c r="D39" s="129" t="s">
        <v>484</v>
      </c>
      <c r="E39" s="129" t="s">
        <v>484</v>
      </c>
      <c r="F39" s="129" t="s">
        <v>484</v>
      </c>
      <c r="G39" s="129" t="s">
        <v>485</v>
      </c>
      <c r="H39" s="129" t="s">
        <v>484</v>
      </c>
      <c r="I39" s="111">
        <v>4.8</v>
      </c>
      <c r="J39" s="77" t="s">
        <v>132</v>
      </c>
      <c r="K39" s="84"/>
      <c r="L39" s="84"/>
      <c r="M39" s="80">
        <v>0.4</v>
      </c>
      <c r="N39" s="81">
        <v>50</v>
      </c>
      <c r="O39" s="84">
        <v>-0.18</v>
      </c>
      <c r="P39" s="94">
        <v>-0.251168689</v>
      </c>
      <c r="Q39" s="81">
        <f t="shared" si="0"/>
        <v>0.71664983687516881</v>
      </c>
      <c r="R39" s="81">
        <f t="shared" si="1"/>
        <v>0</v>
      </c>
      <c r="S39" s="84"/>
      <c r="T39" s="81" t="e">
        <f t="shared" si="2"/>
        <v>#DIV/0!</v>
      </c>
      <c r="U39" s="81"/>
      <c r="V39" s="84"/>
      <c r="W39" s="84"/>
      <c r="Y39" s="75"/>
      <c r="Z39" s="2"/>
      <c r="AA39" s="75"/>
      <c r="AB39" s="98"/>
      <c r="AD39" s="88"/>
      <c r="AE39" s="99"/>
      <c r="AF39" s="69"/>
      <c r="AH39" s="15"/>
      <c r="AI39" s="69"/>
      <c r="AJ39" s="69"/>
      <c r="AL39" s="69"/>
      <c r="AM39" s="69"/>
      <c r="AQ39" s="75"/>
      <c r="AR39" s="2"/>
      <c r="AS39" s="75"/>
      <c r="AT39" s="98"/>
      <c r="AV39" s="88"/>
      <c r="AW39" s="99"/>
      <c r="AX39" s="69"/>
      <c r="AZ39" s="15"/>
      <c r="BA39" s="69"/>
      <c r="BB39" s="69"/>
      <c r="BD39" s="69"/>
      <c r="BE39" s="69"/>
      <c r="BR39" s="88"/>
    </row>
    <row r="40" spans="1:70" x14ac:dyDescent="0.4">
      <c r="A40" s="85" t="s">
        <v>218</v>
      </c>
      <c r="B40" s="92" t="s">
        <v>93</v>
      </c>
      <c r="C40" s="125" t="s">
        <v>1</v>
      </c>
      <c r="D40" s="129" t="s">
        <v>484</v>
      </c>
      <c r="E40" s="129" t="s">
        <v>484</v>
      </c>
      <c r="F40" s="129" t="s">
        <v>484</v>
      </c>
      <c r="G40" s="129" t="s">
        <v>485</v>
      </c>
      <c r="H40" s="129" t="s">
        <v>484</v>
      </c>
      <c r="I40" s="111">
        <v>4.8</v>
      </c>
      <c r="J40" s="77" t="s">
        <v>132</v>
      </c>
      <c r="K40" s="84">
        <v>35</v>
      </c>
      <c r="L40" s="86">
        <v>10800</v>
      </c>
      <c r="M40" s="80">
        <v>0.4</v>
      </c>
      <c r="N40" s="81">
        <v>50</v>
      </c>
      <c r="O40" s="84">
        <v>-0.18</v>
      </c>
      <c r="P40" s="94">
        <v>-0.251168689</v>
      </c>
      <c r="Q40" s="81">
        <f t="shared" si="0"/>
        <v>0.71664983687516881</v>
      </c>
      <c r="R40" s="81">
        <f t="shared" si="1"/>
        <v>967477.27978147776</v>
      </c>
      <c r="S40" s="84"/>
      <c r="T40" s="81" t="e">
        <f t="shared" si="2"/>
        <v>#DIV/0!</v>
      </c>
      <c r="U40" s="81" t="e">
        <f>AVERAGE(T38:T40)</f>
        <v>#DIV/0!</v>
      </c>
      <c r="V40" s="81" t="e">
        <f>_xlfn.STDEV.S(T38:T40)</f>
        <v>#DIV/0!</v>
      </c>
      <c r="W40" s="81">
        <f>MAX(K38:K40)-MIN(K38:K40)</f>
        <v>0</v>
      </c>
      <c r="Y40" s="75"/>
      <c r="Z40" s="2"/>
      <c r="AA40" s="75"/>
      <c r="AB40" s="98"/>
      <c r="AD40" s="88"/>
      <c r="AE40" s="99"/>
      <c r="AF40" s="69"/>
      <c r="AH40" s="15"/>
      <c r="AI40" s="69"/>
      <c r="AJ40" s="69"/>
      <c r="AL40" s="69"/>
      <c r="AM40" s="69"/>
      <c r="AN40" s="69"/>
      <c r="AO40" s="69"/>
      <c r="AQ40" s="75"/>
      <c r="AR40" s="2"/>
      <c r="AS40" s="75"/>
      <c r="AT40" s="98"/>
      <c r="AV40" s="88"/>
      <c r="AW40" s="99"/>
      <c r="AX40" s="69"/>
      <c r="AZ40" s="15"/>
      <c r="BA40" s="69"/>
      <c r="BB40" s="69"/>
      <c r="BD40" s="69"/>
      <c r="BE40" s="69"/>
      <c r="BF40" s="69"/>
      <c r="BG40" s="69"/>
      <c r="BR40" s="88"/>
    </row>
    <row r="41" spans="1:70" x14ac:dyDescent="0.4">
      <c r="A41" s="85" t="s">
        <v>219</v>
      </c>
      <c r="B41" s="92" t="s">
        <v>94</v>
      </c>
      <c r="C41" s="125" t="s">
        <v>2</v>
      </c>
      <c r="D41" s="129" t="s">
        <v>484</v>
      </c>
      <c r="E41" s="129" t="s">
        <v>485</v>
      </c>
      <c r="F41" s="129" t="s">
        <v>484</v>
      </c>
      <c r="G41" s="129" t="s">
        <v>484</v>
      </c>
      <c r="H41" s="129" t="s">
        <v>484</v>
      </c>
      <c r="I41" s="111">
        <v>4.8</v>
      </c>
      <c r="J41" s="77" t="s">
        <v>132</v>
      </c>
      <c r="K41" s="84">
        <v>34.43</v>
      </c>
      <c r="L41" s="86">
        <v>11100</v>
      </c>
      <c r="M41" s="80">
        <v>0.4</v>
      </c>
      <c r="N41" s="81">
        <v>50</v>
      </c>
      <c r="O41" s="84">
        <v>-0.18</v>
      </c>
      <c r="P41" s="94">
        <v>-0.24969175199999999</v>
      </c>
      <c r="Q41" s="81">
        <f t="shared" si="0"/>
        <v>0.72088885018516746</v>
      </c>
      <c r="R41" s="81">
        <f t="shared" si="1"/>
        <v>1000233.2796319198</v>
      </c>
      <c r="S41" s="84"/>
      <c r="T41" s="81" t="e">
        <f t="shared" si="2"/>
        <v>#DIV/0!</v>
      </c>
      <c r="U41" s="81"/>
      <c r="V41" s="84"/>
      <c r="W41" s="84"/>
      <c r="Y41" s="75"/>
      <c r="Z41" s="2"/>
      <c r="AA41" s="75"/>
      <c r="AB41" s="98"/>
      <c r="AD41" s="88"/>
      <c r="AE41" s="99"/>
      <c r="AF41" s="69"/>
      <c r="AH41" s="15"/>
      <c r="AI41" s="69"/>
      <c r="AJ41" s="69"/>
      <c r="AL41" s="69"/>
      <c r="AM41" s="69"/>
      <c r="AQ41" s="75"/>
      <c r="AR41" s="75"/>
      <c r="AS41" s="75"/>
      <c r="AT41" s="98"/>
      <c r="AW41" s="99"/>
      <c r="AZ41" s="15"/>
      <c r="BA41" s="69"/>
      <c r="BB41" s="69"/>
      <c r="BD41" s="69"/>
      <c r="BE41" s="69"/>
      <c r="BR41" s="88"/>
    </row>
    <row r="42" spans="1:70" x14ac:dyDescent="0.4">
      <c r="A42" s="85" t="s">
        <v>220</v>
      </c>
      <c r="B42" s="92" t="s">
        <v>94</v>
      </c>
      <c r="C42" s="125" t="s">
        <v>2</v>
      </c>
      <c r="D42" s="129" t="s">
        <v>484</v>
      </c>
      <c r="E42" s="129" t="s">
        <v>485</v>
      </c>
      <c r="F42" s="129" t="s">
        <v>484</v>
      </c>
      <c r="G42" s="129" t="s">
        <v>484</v>
      </c>
      <c r="H42" s="129" t="s">
        <v>484</v>
      </c>
      <c r="I42" s="111">
        <v>4.8</v>
      </c>
      <c r="J42" s="77" t="s">
        <v>132</v>
      </c>
      <c r="K42" s="84">
        <v>33.65</v>
      </c>
      <c r="L42" s="86">
        <v>11800</v>
      </c>
      <c r="M42" s="80">
        <v>0.4</v>
      </c>
      <c r="N42" s="81">
        <v>50</v>
      </c>
      <c r="O42" s="84">
        <v>-0.18</v>
      </c>
      <c r="P42" s="94">
        <v>-0.24969175199999999</v>
      </c>
      <c r="Q42" s="81">
        <f t="shared" si="0"/>
        <v>0.72088885018516746</v>
      </c>
      <c r="R42" s="81">
        <f t="shared" si="1"/>
        <v>1063311.0540231219</v>
      </c>
      <c r="S42" s="84"/>
      <c r="T42" s="81" t="e">
        <f t="shared" si="2"/>
        <v>#DIV/0!</v>
      </c>
      <c r="U42" s="81"/>
      <c r="V42" s="84"/>
      <c r="W42" s="84"/>
      <c r="Y42" s="75"/>
      <c r="Z42" s="2"/>
      <c r="AA42" s="75"/>
      <c r="AB42" s="98"/>
      <c r="AD42" s="88"/>
      <c r="AE42" s="99"/>
      <c r="AF42" s="69"/>
      <c r="AH42" s="15"/>
      <c r="AI42" s="69"/>
      <c r="AJ42" s="69"/>
      <c r="AL42" s="69"/>
      <c r="AM42" s="69"/>
      <c r="AQ42" s="75"/>
      <c r="AR42" s="75"/>
      <c r="AS42" s="75"/>
      <c r="AT42" s="98"/>
      <c r="AW42" s="99"/>
      <c r="AZ42" s="15"/>
      <c r="BA42" s="69"/>
      <c r="BB42" s="69"/>
      <c r="BD42" s="69"/>
      <c r="BE42" s="69"/>
      <c r="BR42" s="88"/>
    </row>
    <row r="43" spans="1:70" x14ac:dyDescent="0.4">
      <c r="A43" s="85" t="s">
        <v>221</v>
      </c>
      <c r="B43" s="92" t="s">
        <v>94</v>
      </c>
      <c r="C43" s="125" t="s">
        <v>2</v>
      </c>
      <c r="D43" s="129" t="s">
        <v>484</v>
      </c>
      <c r="E43" s="129" t="s">
        <v>485</v>
      </c>
      <c r="F43" s="129" t="s">
        <v>484</v>
      </c>
      <c r="G43" s="129" t="s">
        <v>484</v>
      </c>
      <c r="H43" s="129" t="s">
        <v>484</v>
      </c>
      <c r="I43" s="111">
        <v>4.8</v>
      </c>
      <c r="J43" s="77" t="s">
        <v>132</v>
      </c>
      <c r="K43" s="84">
        <v>35</v>
      </c>
      <c r="L43" s="86">
        <v>10800</v>
      </c>
      <c r="M43" s="80">
        <v>0.4</v>
      </c>
      <c r="N43" s="81">
        <v>50</v>
      </c>
      <c r="O43" s="84">
        <v>-0.18</v>
      </c>
      <c r="P43" s="94">
        <v>-0.24969175199999999</v>
      </c>
      <c r="Q43" s="81">
        <f t="shared" si="0"/>
        <v>0.72088885018516746</v>
      </c>
      <c r="R43" s="81">
        <f t="shared" si="1"/>
        <v>973199.94774997607</v>
      </c>
      <c r="S43" s="84"/>
      <c r="T43" s="81" t="e">
        <f t="shared" ref="T43:T74" si="3">R43/S43</f>
        <v>#DIV/0!</v>
      </c>
      <c r="U43" s="81" t="e">
        <f>AVERAGE(T41:T43)</f>
        <v>#DIV/0!</v>
      </c>
      <c r="V43" s="81" t="e">
        <f>_xlfn.STDEV.S(T41:T43)</f>
        <v>#DIV/0!</v>
      </c>
      <c r="W43" s="81">
        <f>MAX(K41:K43)-MIN(K41:K43)</f>
        <v>1.3500000000000014</v>
      </c>
      <c r="Y43" s="75"/>
      <c r="Z43" s="2"/>
      <c r="AA43" s="75"/>
      <c r="AB43" s="98"/>
      <c r="AD43" s="88"/>
      <c r="AE43" s="99"/>
      <c r="AF43" s="69"/>
      <c r="AH43" s="15"/>
      <c r="AI43" s="69"/>
      <c r="AJ43" s="69"/>
      <c r="AL43" s="69"/>
      <c r="AM43" s="69"/>
      <c r="AN43" s="69"/>
      <c r="AO43" s="69"/>
      <c r="AQ43" s="75"/>
      <c r="AR43" s="75"/>
      <c r="AS43" s="75"/>
      <c r="AT43" s="98"/>
      <c r="AW43" s="99"/>
      <c r="AZ43" s="15"/>
      <c r="BA43" s="69"/>
      <c r="BB43" s="69"/>
      <c r="BD43" s="69"/>
      <c r="BE43" s="69"/>
      <c r="BF43" s="69"/>
      <c r="BG43" s="69"/>
    </row>
    <row r="44" spans="1:70" x14ac:dyDescent="0.4">
      <c r="A44" s="85" t="s">
        <v>222</v>
      </c>
      <c r="B44" s="92" t="s">
        <v>95</v>
      </c>
      <c r="C44" s="125" t="s">
        <v>3</v>
      </c>
      <c r="D44" s="129" t="s">
        <v>484</v>
      </c>
      <c r="E44" s="129" t="s">
        <v>485</v>
      </c>
      <c r="F44" s="129" t="s">
        <v>484</v>
      </c>
      <c r="G44" s="129" t="s">
        <v>485</v>
      </c>
      <c r="H44" s="129" t="s">
        <v>484</v>
      </c>
      <c r="I44" s="111">
        <v>4.8</v>
      </c>
      <c r="J44" s="77" t="s">
        <v>132</v>
      </c>
      <c r="K44" s="84">
        <v>33.979999999999997</v>
      </c>
      <c r="L44" s="86">
        <v>11500</v>
      </c>
      <c r="M44" s="80">
        <v>0.4</v>
      </c>
      <c r="N44" s="81">
        <v>50</v>
      </c>
      <c r="O44" s="84">
        <v>-0.2</v>
      </c>
      <c r="P44" s="94">
        <v>-0.25744567299999999</v>
      </c>
      <c r="Q44" s="81">
        <f t="shared" si="0"/>
        <v>0.7768629306113839</v>
      </c>
      <c r="R44" s="81">
        <f t="shared" si="1"/>
        <v>1116740.4627538642</v>
      </c>
      <c r="S44" s="84"/>
      <c r="T44" s="81" t="e">
        <f t="shared" si="3"/>
        <v>#DIV/0!</v>
      </c>
      <c r="U44" s="81"/>
      <c r="V44" s="84"/>
      <c r="W44" s="84"/>
      <c r="Y44" s="75"/>
      <c r="Z44" s="2"/>
      <c r="AA44" s="75"/>
      <c r="AB44" s="98"/>
      <c r="AD44" s="88"/>
      <c r="AE44" s="99"/>
      <c r="AF44" s="69"/>
      <c r="AH44" s="15"/>
      <c r="AI44" s="69"/>
      <c r="AJ44" s="69"/>
      <c r="AL44" s="69"/>
      <c r="AM44" s="69"/>
      <c r="AQ44" s="75"/>
      <c r="AR44" s="2"/>
      <c r="AS44" s="75"/>
      <c r="AT44" s="98"/>
      <c r="AV44" s="88"/>
      <c r="AW44" s="99"/>
      <c r="AX44" s="69"/>
      <c r="AZ44" s="15"/>
      <c r="BA44" s="69"/>
      <c r="BB44" s="69"/>
      <c r="BD44" s="69"/>
      <c r="BE44" s="69"/>
    </row>
    <row r="45" spans="1:70" x14ac:dyDescent="0.4">
      <c r="A45" s="85" t="s">
        <v>223</v>
      </c>
      <c r="B45" s="92" t="s">
        <v>95</v>
      </c>
      <c r="C45" s="125" t="s">
        <v>3</v>
      </c>
      <c r="D45" s="129" t="s">
        <v>484</v>
      </c>
      <c r="E45" s="129" t="s">
        <v>485</v>
      </c>
      <c r="F45" s="129" t="s">
        <v>484</v>
      </c>
      <c r="G45" s="129" t="s">
        <v>485</v>
      </c>
      <c r="H45" s="129" t="s">
        <v>484</v>
      </c>
      <c r="I45" s="111">
        <v>4.8</v>
      </c>
      <c r="J45" s="77" t="s">
        <v>132</v>
      </c>
      <c r="K45" s="84">
        <v>32.700000000000003</v>
      </c>
      <c r="L45" s="86">
        <v>12900</v>
      </c>
      <c r="M45" s="80">
        <v>0.4</v>
      </c>
      <c r="N45" s="81">
        <v>50</v>
      </c>
      <c r="O45" s="84">
        <v>-0.2</v>
      </c>
      <c r="P45" s="94">
        <v>-0.25744567299999999</v>
      </c>
      <c r="Q45" s="81">
        <f t="shared" si="0"/>
        <v>0.7768629306113839</v>
      </c>
      <c r="R45" s="81">
        <f t="shared" si="1"/>
        <v>1252691.4756108564</v>
      </c>
      <c r="S45" s="84"/>
      <c r="T45" s="81" t="e">
        <f t="shared" si="3"/>
        <v>#DIV/0!</v>
      </c>
      <c r="U45" s="81"/>
      <c r="V45" s="84"/>
      <c r="W45" s="84"/>
      <c r="Y45" s="75"/>
      <c r="Z45" s="2"/>
      <c r="AA45" s="75"/>
      <c r="AB45" s="98"/>
      <c r="AD45" s="88"/>
      <c r="AE45" s="99"/>
      <c r="AF45" s="69"/>
      <c r="AH45" s="15"/>
      <c r="AI45" s="69"/>
      <c r="AJ45" s="69"/>
      <c r="AL45" s="69"/>
      <c r="AM45" s="69"/>
      <c r="AQ45" s="75"/>
      <c r="AR45" s="2"/>
      <c r="AS45" s="75"/>
      <c r="AT45" s="98"/>
      <c r="AV45" s="88"/>
      <c r="AW45" s="99"/>
      <c r="AX45" s="69"/>
      <c r="AZ45" s="15"/>
      <c r="BA45" s="69"/>
      <c r="BB45" s="69"/>
      <c r="BD45" s="69"/>
      <c r="BE45" s="69"/>
    </row>
    <row r="46" spans="1:70" x14ac:dyDescent="0.4">
      <c r="A46" s="85" t="s">
        <v>224</v>
      </c>
      <c r="B46" s="92" t="s">
        <v>95</v>
      </c>
      <c r="C46" s="125" t="s">
        <v>3</v>
      </c>
      <c r="D46" s="129" t="s">
        <v>484</v>
      </c>
      <c r="E46" s="129" t="s">
        <v>485</v>
      </c>
      <c r="F46" s="129" t="s">
        <v>484</v>
      </c>
      <c r="G46" s="129" t="s">
        <v>485</v>
      </c>
      <c r="H46" s="129" t="s">
        <v>484</v>
      </c>
      <c r="I46" s="111">
        <v>4.8</v>
      </c>
      <c r="J46" s="77" t="s">
        <v>132</v>
      </c>
      <c r="K46" s="84">
        <v>31.46</v>
      </c>
      <c r="L46" s="86">
        <v>15200</v>
      </c>
      <c r="M46" s="80">
        <v>0.4</v>
      </c>
      <c r="N46" s="81">
        <v>50</v>
      </c>
      <c r="O46" s="84">
        <v>-0.2</v>
      </c>
      <c r="P46" s="94">
        <v>-0.25744567299999999</v>
      </c>
      <c r="Q46" s="81">
        <f t="shared" si="0"/>
        <v>0.7768629306113839</v>
      </c>
      <c r="R46" s="81">
        <f t="shared" si="1"/>
        <v>1476039.5681616294</v>
      </c>
      <c r="S46" s="84"/>
      <c r="T46" s="81" t="e">
        <f t="shared" si="3"/>
        <v>#DIV/0!</v>
      </c>
      <c r="U46" s="81" t="e">
        <f>AVERAGE(T44:T46)</f>
        <v>#DIV/0!</v>
      </c>
      <c r="V46" s="81" t="e">
        <f>_xlfn.STDEV.S(T44:T46)</f>
        <v>#DIV/0!</v>
      </c>
      <c r="W46" s="81">
        <f>MAX(K44:K46)-MIN(K44:K46)</f>
        <v>2.519999999999996</v>
      </c>
      <c r="Y46" s="75"/>
      <c r="Z46" s="2"/>
      <c r="AA46" s="75"/>
      <c r="AB46" s="98"/>
      <c r="AD46" s="88"/>
      <c r="AE46" s="99"/>
      <c r="AF46" s="69"/>
      <c r="AH46" s="15"/>
      <c r="AI46" s="69"/>
      <c r="AJ46" s="69"/>
      <c r="AL46" s="69"/>
      <c r="AM46" s="69"/>
      <c r="AN46" s="69"/>
      <c r="AO46" s="69"/>
      <c r="AQ46" s="75"/>
      <c r="AR46" s="2"/>
      <c r="AS46" s="75"/>
      <c r="AT46" s="98"/>
      <c r="AV46" s="88"/>
      <c r="AW46" s="99"/>
      <c r="AX46" s="69"/>
      <c r="AZ46" s="15"/>
      <c r="BA46" s="69"/>
      <c r="BB46" s="69"/>
      <c r="BD46" s="69"/>
      <c r="BE46" s="69"/>
      <c r="BF46" s="69"/>
      <c r="BG46" s="69"/>
      <c r="BR46" s="88"/>
    </row>
    <row r="47" spans="1:70" x14ac:dyDescent="0.4">
      <c r="A47" s="85" t="s">
        <v>225</v>
      </c>
      <c r="B47" s="92" t="s">
        <v>102</v>
      </c>
      <c r="C47" s="125" t="s">
        <v>0</v>
      </c>
      <c r="D47" s="129" t="s">
        <v>484</v>
      </c>
      <c r="E47" s="129" t="s">
        <v>484</v>
      </c>
      <c r="F47" s="129" t="s">
        <v>484</v>
      </c>
      <c r="G47" s="129" t="s">
        <v>484</v>
      </c>
      <c r="H47" s="129" t="s">
        <v>484</v>
      </c>
      <c r="I47" s="111">
        <v>5.8</v>
      </c>
      <c r="J47" s="77" t="s">
        <v>132</v>
      </c>
      <c r="K47" s="84">
        <v>30.76</v>
      </c>
      <c r="L47" s="86">
        <v>17100</v>
      </c>
      <c r="M47" s="80">
        <v>0.4</v>
      </c>
      <c r="N47" s="81">
        <v>50</v>
      </c>
      <c r="O47" s="84">
        <v>23.67</v>
      </c>
      <c r="P47" s="94">
        <v>5.9598143969999997</v>
      </c>
      <c r="Q47" s="81">
        <f t="shared" si="0"/>
        <v>3.9716001914279082</v>
      </c>
      <c r="R47" s="81">
        <f t="shared" si="1"/>
        <v>8489295.4091771543</v>
      </c>
      <c r="S47" s="84"/>
      <c r="T47" s="81" t="e">
        <f t="shared" si="3"/>
        <v>#DIV/0!</v>
      </c>
      <c r="U47" s="81"/>
      <c r="V47" s="84"/>
      <c r="W47" s="84"/>
      <c r="Y47" s="75"/>
      <c r="Z47" s="2"/>
      <c r="AA47" s="75"/>
      <c r="AB47" s="98"/>
      <c r="AD47" s="88"/>
      <c r="AE47" s="99"/>
      <c r="AF47" s="69"/>
      <c r="AH47" s="15"/>
      <c r="AI47" s="69"/>
      <c r="AJ47" s="69"/>
      <c r="AL47" s="69"/>
      <c r="AM47" s="69"/>
      <c r="AQ47" s="75"/>
      <c r="AR47" s="2"/>
      <c r="AS47" s="75"/>
      <c r="AT47" s="98"/>
      <c r="AV47" s="88"/>
      <c r="AW47" s="99"/>
      <c r="AX47" s="69"/>
      <c r="AZ47" s="15"/>
      <c r="BA47" s="69"/>
      <c r="BB47" s="69"/>
      <c r="BD47" s="69"/>
      <c r="BE47" s="69"/>
      <c r="BR47" s="88"/>
    </row>
    <row r="48" spans="1:70" x14ac:dyDescent="0.4">
      <c r="A48" s="85" t="s">
        <v>226</v>
      </c>
      <c r="B48" s="92" t="s">
        <v>102</v>
      </c>
      <c r="C48" s="125" t="s">
        <v>0</v>
      </c>
      <c r="D48" s="129" t="s">
        <v>484</v>
      </c>
      <c r="E48" s="129" t="s">
        <v>484</v>
      </c>
      <c r="F48" s="129" t="s">
        <v>484</v>
      </c>
      <c r="G48" s="129" t="s">
        <v>484</v>
      </c>
      <c r="H48" s="129" t="s">
        <v>484</v>
      </c>
      <c r="I48" s="111">
        <v>5.8</v>
      </c>
      <c r="J48" s="77" t="s">
        <v>132</v>
      </c>
      <c r="K48" s="84">
        <v>31.15</v>
      </c>
      <c r="L48" s="86">
        <v>16000</v>
      </c>
      <c r="M48" s="80">
        <v>0.4</v>
      </c>
      <c r="N48" s="81">
        <v>50</v>
      </c>
      <c r="O48" s="84">
        <v>23.67</v>
      </c>
      <c r="P48" s="94">
        <v>5.9598143969999997</v>
      </c>
      <c r="Q48" s="81">
        <f t="shared" si="0"/>
        <v>3.9716001914279082</v>
      </c>
      <c r="R48" s="81">
        <f t="shared" si="1"/>
        <v>7943200.3828558158</v>
      </c>
      <c r="S48" s="84"/>
      <c r="T48" s="81" t="e">
        <f t="shared" si="3"/>
        <v>#DIV/0!</v>
      </c>
      <c r="U48" s="81"/>
      <c r="V48" s="84"/>
      <c r="W48" s="84"/>
      <c r="Y48" s="75"/>
      <c r="Z48" s="2"/>
      <c r="AA48" s="75"/>
      <c r="AB48" s="98"/>
      <c r="AD48" s="88"/>
      <c r="AE48" s="99"/>
      <c r="AF48" s="69"/>
      <c r="AH48" s="15"/>
      <c r="AI48" s="69"/>
      <c r="AJ48" s="69"/>
      <c r="AL48" s="69"/>
      <c r="AM48" s="69"/>
      <c r="AQ48" s="75"/>
      <c r="AR48" s="2"/>
      <c r="AS48" s="75"/>
      <c r="AT48" s="98"/>
      <c r="AV48" s="88"/>
      <c r="AW48" s="99"/>
      <c r="AX48" s="69"/>
      <c r="AZ48" s="15"/>
      <c r="BA48" s="69"/>
      <c r="BB48" s="69"/>
      <c r="BD48" s="69"/>
      <c r="BE48" s="69"/>
      <c r="BR48" s="88"/>
    </row>
    <row r="49" spans="1:70" x14ac:dyDescent="0.4">
      <c r="A49" s="85" t="s">
        <v>227</v>
      </c>
      <c r="B49" s="92" t="s">
        <v>102</v>
      </c>
      <c r="C49" s="125" t="s">
        <v>0</v>
      </c>
      <c r="D49" s="129" t="s">
        <v>484</v>
      </c>
      <c r="E49" s="129" t="s">
        <v>484</v>
      </c>
      <c r="F49" s="129" t="s">
        <v>484</v>
      </c>
      <c r="G49" s="129" t="s">
        <v>484</v>
      </c>
      <c r="H49" s="129" t="s">
        <v>484</v>
      </c>
      <c r="I49" s="111">
        <v>5.8</v>
      </c>
      <c r="J49" s="77" t="s">
        <v>132</v>
      </c>
      <c r="K49" s="84">
        <v>31.72</v>
      </c>
      <c r="L49" s="86">
        <v>14700</v>
      </c>
      <c r="M49" s="80">
        <v>0.4</v>
      </c>
      <c r="N49" s="81">
        <v>50</v>
      </c>
      <c r="O49" s="84">
        <v>23.67</v>
      </c>
      <c r="P49" s="94">
        <v>5.9598143969999997</v>
      </c>
      <c r="Q49" s="81">
        <f t="shared" si="0"/>
        <v>3.9716001914279082</v>
      </c>
      <c r="R49" s="81">
        <f t="shared" si="1"/>
        <v>7297815.3517487803</v>
      </c>
      <c r="S49" s="84"/>
      <c r="T49" s="81" t="e">
        <f t="shared" si="3"/>
        <v>#DIV/0!</v>
      </c>
      <c r="U49" s="81" t="e">
        <f>AVERAGE(T47:T49)</f>
        <v>#DIV/0!</v>
      </c>
      <c r="V49" s="81" t="e">
        <f>_xlfn.STDEV.S(T47:T49)</f>
        <v>#DIV/0!</v>
      </c>
      <c r="W49" s="81">
        <f>MAX(K47:K49)-MIN(K47:K49)</f>
        <v>0.9599999999999973</v>
      </c>
      <c r="Y49" s="75"/>
      <c r="Z49" s="2"/>
      <c r="AA49" s="75"/>
      <c r="AB49" s="98"/>
      <c r="AD49" s="88"/>
      <c r="AE49" s="99"/>
      <c r="AF49" s="69"/>
      <c r="AH49" s="15"/>
      <c r="AI49" s="69"/>
      <c r="AJ49" s="69"/>
      <c r="AL49" s="69"/>
      <c r="AM49" s="69"/>
      <c r="AN49" s="69"/>
      <c r="AO49" s="69"/>
      <c r="AQ49" s="75"/>
      <c r="AR49" s="2"/>
      <c r="AS49" s="75"/>
      <c r="AT49" s="98"/>
      <c r="AV49" s="88"/>
      <c r="AW49" s="99"/>
      <c r="AX49" s="69"/>
      <c r="AZ49" s="15"/>
      <c r="BA49" s="69"/>
      <c r="BB49" s="69"/>
      <c r="BD49" s="69"/>
      <c r="BE49" s="69"/>
      <c r="BF49" s="69"/>
      <c r="BG49" s="69"/>
      <c r="BR49" s="88"/>
    </row>
    <row r="50" spans="1:70" x14ac:dyDescent="0.4">
      <c r="A50" s="85" t="s">
        <v>228</v>
      </c>
      <c r="B50" s="92" t="s">
        <v>103</v>
      </c>
      <c r="C50" s="125" t="s">
        <v>1</v>
      </c>
      <c r="D50" s="129" t="s">
        <v>484</v>
      </c>
      <c r="E50" s="129" t="s">
        <v>484</v>
      </c>
      <c r="F50" s="129" t="s">
        <v>484</v>
      </c>
      <c r="G50" s="129" t="s">
        <v>485</v>
      </c>
      <c r="H50" s="129" t="s">
        <v>484</v>
      </c>
      <c r="I50" s="111">
        <v>5.8</v>
      </c>
      <c r="J50" s="77" t="s">
        <v>132</v>
      </c>
      <c r="K50" s="84">
        <v>34.520000000000003</v>
      </c>
      <c r="L50" s="86">
        <v>11000</v>
      </c>
      <c r="M50" s="80">
        <v>0.4</v>
      </c>
      <c r="N50" s="81">
        <v>50</v>
      </c>
      <c r="O50" s="84">
        <v>6.15</v>
      </c>
      <c r="P50" s="94">
        <v>3.2833269989999998</v>
      </c>
      <c r="Q50" s="81">
        <f t="shared" si="0"/>
        <v>1.8731000603574059</v>
      </c>
      <c r="R50" s="81">
        <f t="shared" si="1"/>
        <v>2575512.5829914329</v>
      </c>
      <c r="S50" s="84"/>
      <c r="T50" s="81" t="e">
        <f t="shared" si="3"/>
        <v>#DIV/0!</v>
      </c>
      <c r="U50" s="81"/>
      <c r="V50" s="84"/>
      <c r="W50" s="84"/>
      <c r="Y50" s="75"/>
      <c r="Z50" s="2"/>
      <c r="AA50" s="75"/>
      <c r="AB50" s="98"/>
      <c r="AD50" s="88"/>
      <c r="AE50" s="99"/>
      <c r="AF50" s="69"/>
      <c r="AH50" s="15"/>
      <c r="AI50" s="69"/>
      <c r="AJ50" s="69"/>
      <c r="AL50" s="69"/>
      <c r="AM50" s="69"/>
      <c r="AQ50" s="75"/>
      <c r="AR50" s="2"/>
      <c r="AS50" s="75"/>
      <c r="AT50" s="98"/>
      <c r="AV50" s="88"/>
      <c r="AW50" s="99"/>
      <c r="AX50" s="69"/>
      <c r="AZ50" s="15"/>
      <c r="BA50" s="69"/>
      <c r="BB50" s="69"/>
      <c r="BD50" s="69"/>
      <c r="BE50" s="69"/>
      <c r="BR50" s="88"/>
    </row>
    <row r="51" spans="1:70" x14ac:dyDescent="0.4">
      <c r="A51" s="85" t="s">
        <v>229</v>
      </c>
      <c r="B51" s="92" t="s">
        <v>103</v>
      </c>
      <c r="C51" s="125" t="s">
        <v>1</v>
      </c>
      <c r="D51" s="129" t="s">
        <v>484</v>
      </c>
      <c r="E51" s="129" t="s">
        <v>484</v>
      </c>
      <c r="F51" s="129" t="s">
        <v>484</v>
      </c>
      <c r="G51" s="129" t="s">
        <v>485</v>
      </c>
      <c r="H51" s="129" t="s">
        <v>484</v>
      </c>
      <c r="I51" s="111">
        <v>5.8</v>
      </c>
      <c r="J51" s="77" t="s">
        <v>132</v>
      </c>
      <c r="K51" s="84">
        <v>35</v>
      </c>
      <c r="L51" s="86">
        <v>10800</v>
      </c>
      <c r="M51" s="80">
        <v>0.4</v>
      </c>
      <c r="N51" s="81">
        <v>50</v>
      </c>
      <c r="O51" s="84">
        <v>6.15</v>
      </c>
      <c r="P51" s="94">
        <v>3.2833269989999998</v>
      </c>
      <c r="Q51" s="81">
        <f t="shared" si="0"/>
        <v>1.8731000603574059</v>
      </c>
      <c r="R51" s="81">
        <f t="shared" si="1"/>
        <v>2528685.081482498</v>
      </c>
      <c r="S51" s="84"/>
      <c r="T51" s="81" t="e">
        <f t="shared" si="3"/>
        <v>#DIV/0!</v>
      </c>
      <c r="U51" s="81"/>
      <c r="V51" s="84"/>
      <c r="W51" s="84"/>
      <c r="Y51" s="75"/>
      <c r="Z51" s="2"/>
      <c r="AA51" s="75"/>
      <c r="AB51" s="98"/>
      <c r="AD51" s="88"/>
      <c r="AE51" s="99"/>
      <c r="AF51" s="69"/>
      <c r="AH51" s="15"/>
      <c r="AI51" s="69"/>
      <c r="AJ51" s="69"/>
      <c r="AL51" s="69"/>
      <c r="AM51" s="69"/>
      <c r="AQ51" s="75"/>
      <c r="AR51" s="2"/>
      <c r="AS51" s="75"/>
      <c r="AT51" s="98"/>
      <c r="AV51" s="88"/>
      <c r="AW51" s="99"/>
      <c r="AX51" s="69"/>
      <c r="AZ51" s="15"/>
      <c r="BA51" s="69"/>
      <c r="BB51" s="69"/>
      <c r="BD51" s="69"/>
      <c r="BE51" s="69"/>
      <c r="BR51" s="88"/>
    </row>
    <row r="52" spans="1:70" x14ac:dyDescent="0.4">
      <c r="A52" s="85" t="s">
        <v>230</v>
      </c>
      <c r="B52" s="92" t="s">
        <v>103</v>
      </c>
      <c r="C52" s="125" t="s">
        <v>1</v>
      </c>
      <c r="D52" s="129" t="s">
        <v>484</v>
      </c>
      <c r="E52" s="129" t="s">
        <v>484</v>
      </c>
      <c r="F52" s="129" t="s">
        <v>484</v>
      </c>
      <c r="G52" s="129" t="s">
        <v>485</v>
      </c>
      <c r="H52" s="129" t="s">
        <v>484</v>
      </c>
      <c r="I52" s="111">
        <v>5.8</v>
      </c>
      <c r="J52" s="77" t="s">
        <v>132</v>
      </c>
      <c r="K52" s="84">
        <v>32.340000000000003</v>
      </c>
      <c r="L52" s="86">
        <v>13500</v>
      </c>
      <c r="M52" s="80">
        <v>0.4</v>
      </c>
      <c r="N52" s="81">
        <v>50</v>
      </c>
      <c r="O52" s="84">
        <v>6.15</v>
      </c>
      <c r="P52" s="94">
        <v>3.2833269989999998</v>
      </c>
      <c r="Q52" s="81">
        <f t="shared" si="0"/>
        <v>1.8731000603574059</v>
      </c>
      <c r="R52" s="81">
        <f t="shared" si="1"/>
        <v>3160856.3518531225</v>
      </c>
      <c r="S52" s="84"/>
      <c r="T52" s="81" t="e">
        <f t="shared" si="3"/>
        <v>#DIV/0!</v>
      </c>
      <c r="U52" s="81" t="e">
        <f>AVERAGE(T50:T52)</f>
        <v>#DIV/0!</v>
      </c>
      <c r="V52" s="81" t="e">
        <f>_xlfn.STDEV.S(T50:T52)</f>
        <v>#DIV/0!</v>
      </c>
      <c r="W52" s="81">
        <f>MAX(K50:K52)-MIN(K50:K52)</f>
        <v>2.6599999999999966</v>
      </c>
      <c r="Y52" s="75"/>
      <c r="Z52" s="2"/>
      <c r="AA52" s="75"/>
      <c r="AB52" s="98"/>
      <c r="AD52" s="88"/>
      <c r="AE52" s="99"/>
      <c r="AF52" s="69"/>
      <c r="AH52" s="15"/>
      <c r="AI52" s="69"/>
      <c r="AJ52" s="69"/>
      <c r="AL52" s="69"/>
      <c r="AM52" s="69"/>
      <c r="AN52" s="69"/>
      <c r="AO52" s="69"/>
      <c r="AQ52" s="75"/>
      <c r="AR52" s="2"/>
      <c r="AS52" s="75"/>
      <c r="AT52" s="98"/>
      <c r="AV52" s="88"/>
      <c r="AW52" s="99"/>
      <c r="AX52" s="69"/>
      <c r="AZ52" s="15"/>
      <c r="BA52" s="69"/>
      <c r="BB52" s="69"/>
      <c r="BD52" s="69"/>
      <c r="BE52" s="69"/>
      <c r="BF52" s="69"/>
      <c r="BG52" s="69"/>
      <c r="BR52" s="88"/>
    </row>
    <row r="53" spans="1:70" x14ac:dyDescent="0.4">
      <c r="A53" s="85" t="s">
        <v>231</v>
      </c>
      <c r="B53" s="92" t="s">
        <v>104</v>
      </c>
      <c r="C53" s="125" t="s">
        <v>2</v>
      </c>
      <c r="D53" s="129" t="s">
        <v>484</v>
      </c>
      <c r="E53" s="129" t="s">
        <v>485</v>
      </c>
      <c r="F53" s="129" t="s">
        <v>484</v>
      </c>
      <c r="G53" s="129" t="s">
        <v>484</v>
      </c>
      <c r="H53" s="129" t="s">
        <v>484</v>
      </c>
      <c r="I53" s="111">
        <v>5.8</v>
      </c>
      <c r="J53" s="77" t="s">
        <v>132</v>
      </c>
      <c r="K53" s="84">
        <v>33.89</v>
      </c>
      <c r="L53" s="86">
        <v>11500</v>
      </c>
      <c r="M53" s="80">
        <v>0.4</v>
      </c>
      <c r="N53" s="81">
        <v>50</v>
      </c>
      <c r="O53" s="84">
        <v>21.96</v>
      </c>
      <c r="P53" s="94">
        <v>6.384433885</v>
      </c>
      <c r="Q53" s="81">
        <f t="shared" si="0"/>
        <v>3.4396158524868179</v>
      </c>
      <c r="R53" s="81">
        <f t="shared" si="1"/>
        <v>4944447.7879498005</v>
      </c>
      <c r="S53" s="84"/>
      <c r="T53" s="81" t="e">
        <f t="shared" si="3"/>
        <v>#DIV/0!</v>
      </c>
      <c r="U53" s="81"/>
      <c r="V53" s="84"/>
      <c r="W53" s="84"/>
      <c r="Y53" s="75"/>
      <c r="Z53" s="2"/>
      <c r="AA53" s="75"/>
      <c r="AB53" s="98"/>
      <c r="AD53" s="88"/>
      <c r="AE53" s="99"/>
      <c r="AF53" s="69"/>
      <c r="AH53" s="15"/>
      <c r="AI53" s="69"/>
      <c r="AJ53" s="69"/>
      <c r="AL53" s="69"/>
      <c r="AM53" s="69"/>
      <c r="AQ53" s="75"/>
      <c r="AR53" s="75"/>
      <c r="AS53" s="75"/>
      <c r="AT53" s="98"/>
      <c r="AW53" s="99"/>
      <c r="AZ53" s="15"/>
      <c r="BA53" s="69"/>
      <c r="BB53" s="69"/>
      <c r="BD53" s="69"/>
      <c r="BE53" s="69"/>
      <c r="BR53" s="88"/>
    </row>
    <row r="54" spans="1:70" x14ac:dyDescent="0.4">
      <c r="A54" s="85" t="s">
        <v>232</v>
      </c>
      <c r="B54" s="92" t="s">
        <v>104</v>
      </c>
      <c r="C54" s="125" t="s">
        <v>2</v>
      </c>
      <c r="D54" s="129" t="s">
        <v>484</v>
      </c>
      <c r="E54" s="129" t="s">
        <v>485</v>
      </c>
      <c r="F54" s="129" t="s">
        <v>484</v>
      </c>
      <c r="G54" s="129" t="s">
        <v>484</v>
      </c>
      <c r="H54" s="129" t="s">
        <v>484</v>
      </c>
      <c r="I54" s="111">
        <v>5.8</v>
      </c>
      <c r="J54" s="77" t="s">
        <v>132</v>
      </c>
      <c r="K54" s="84">
        <v>35</v>
      </c>
      <c r="L54" s="86">
        <v>10800</v>
      </c>
      <c r="M54" s="80">
        <v>0.4</v>
      </c>
      <c r="N54" s="81">
        <v>50</v>
      </c>
      <c r="O54" s="84">
        <v>21.96</v>
      </c>
      <c r="P54" s="94">
        <v>6.384433885</v>
      </c>
      <c r="Q54" s="81">
        <f t="shared" si="0"/>
        <v>3.4396158524868179</v>
      </c>
      <c r="R54" s="81">
        <f t="shared" si="1"/>
        <v>4643481.4008572036</v>
      </c>
      <c r="S54" s="84"/>
      <c r="T54" s="81" t="e">
        <f t="shared" si="3"/>
        <v>#DIV/0!</v>
      </c>
      <c r="U54" s="81"/>
      <c r="V54" s="84"/>
      <c r="W54" s="84"/>
      <c r="Y54" s="75"/>
      <c r="Z54" s="2"/>
      <c r="AA54" s="75"/>
      <c r="AB54" s="98"/>
      <c r="AD54" s="88"/>
      <c r="AE54" s="99"/>
      <c r="AF54" s="69"/>
      <c r="AH54" s="15"/>
      <c r="AI54" s="69"/>
      <c r="AJ54" s="69"/>
      <c r="AL54" s="69"/>
      <c r="AM54" s="69"/>
      <c r="AQ54" s="75"/>
      <c r="AR54" s="75"/>
      <c r="AS54" s="75"/>
      <c r="AT54" s="98"/>
      <c r="AW54" s="99"/>
      <c r="AZ54" s="15"/>
      <c r="BA54" s="69"/>
      <c r="BB54" s="69"/>
      <c r="BD54" s="69"/>
      <c r="BE54" s="69"/>
      <c r="BR54" s="88"/>
    </row>
    <row r="55" spans="1:70" x14ac:dyDescent="0.4">
      <c r="A55" s="85" t="s">
        <v>233</v>
      </c>
      <c r="B55" s="92" t="s">
        <v>104</v>
      </c>
      <c r="C55" s="125" t="s">
        <v>2</v>
      </c>
      <c r="D55" s="129" t="s">
        <v>484</v>
      </c>
      <c r="E55" s="129" t="s">
        <v>485</v>
      </c>
      <c r="F55" s="129" t="s">
        <v>484</v>
      </c>
      <c r="G55" s="129" t="s">
        <v>484</v>
      </c>
      <c r="H55" s="129" t="s">
        <v>484</v>
      </c>
      <c r="I55" s="111">
        <v>5.8</v>
      </c>
      <c r="J55" s="77" t="s">
        <v>132</v>
      </c>
      <c r="K55" s="84">
        <v>35</v>
      </c>
      <c r="L55" s="86">
        <v>10800</v>
      </c>
      <c r="M55" s="80">
        <v>0.4</v>
      </c>
      <c r="N55" s="81">
        <v>50</v>
      </c>
      <c r="O55" s="84">
        <v>21.96</v>
      </c>
      <c r="P55" s="94">
        <v>6.384433885</v>
      </c>
      <c r="Q55" s="81">
        <f t="shared" si="0"/>
        <v>3.4396158524868179</v>
      </c>
      <c r="R55" s="81">
        <f t="shared" si="1"/>
        <v>4643481.4008572036</v>
      </c>
      <c r="S55" s="84"/>
      <c r="T55" s="81" t="e">
        <f t="shared" si="3"/>
        <v>#DIV/0!</v>
      </c>
      <c r="U55" s="81" t="e">
        <f>AVERAGE(T53:T55)</f>
        <v>#DIV/0!</v>
      </c>
      <c r="V55" s="81" t="e">
        <f>_xlfn.STDEV.S(T53:T55)</f>
        <v>#DIV/0!</v>
      </c>
      <c r="W55" s="81">
        <f>MAX(K53:K55)-MIN(K53:K55)</f>
        <v>1.1099999999999994</v>
      </c>
      <c r="Y55" s="75"/>
      <c r="Z55" s="2"/>
      <c r="AA55" s="75"/>
      <c r="AB55" s="98"/>
      <c r="AD55" s="88"/>
      <c r="AE55" s="99"/>
      <c r="AF55" s="69"/>
      <c r="AH55" s="15"/>
      <c r="AI55" s="69"/>
      <c r="AJ55" s="69"/>
      <c r="AL55" s="69"/>
      <c r="AM55" s="69"/>
      <c r="AN55" s="69"/>
      <c r="AO55" s="69"/>
      <c r="AQ55" s="75"/>
      <c r="AR55" s="75"/>
      <c r="AS55" s="75"/>
      <c r="AT55" s="98"/>
      <c r="AW55" s="99"/>
      <c r="AZ55" s="15"/>
      <c r="BA55" s="69"/>
      <c r="BB55" s="69"/>
      <c r="BD55" s="69"/>
      <c r="BE55" s="69"/>
      <c r="BF55" s="69"/>
      <c r="BG55" s="69"/>
    </row>
    <row r="56" spans="1:70" x14ac:dyDescent="0.4">
      <c r="A56" s="85" t="s">
        <v>234</v>
      </c>
      <c r="B56" s="92" t="s">
        <v>105</v>
      </c>
      <c r="C56" s="125" t="s">
        <v>3</v>
      </c>
      <c r="D56" s="129" t="s">
        <v>484</v>
      </c>
      <c r="E56" s="129" t="s">
        <v>485</v>
      </c>
      <c r="F56" s="129" t="s">
        <v>484</v>
      </c>
      <c r="G56" s="129" t="s">
        <v>485</v>
      </c>
      <c r="H56" s="129" t="s">
        <v>484</v>
      </c>
      <c r="I56" s="111">
        <v>5.8</v>
      </c>
      <c r="J56" s="77" t="s">
        <v>132</v>
      </c>
      <c r="K56" s="84">
        <v>33.409999999999997</v>
      </c>
      <c r="L56" s="86">
        <v>12000</v>
      </c>
      <c r="M56" s="80">
        <v>0.4</v>
      </c>
      <c r="N56" s="81">
        <v>50</v>
      </c>
      <c r="O56" s="84">
        <v>23.46</v>
      </c>
      <c r="P56" s="94">
        <v>6.0713231670000001</v>
      </c>
      <c r="Q56" s="81">
        <f t="shared" si="0"/>
        <v>3.8640670830230572</v>
      </c>
      <c r="R56" s="81">
        <f t="shared" si="1"/>
        <v>5796100.6245345855</v>
      </c>
      <c r="S56" s="84"/>
      <c r="T56" s="81" t="e">
        <f t="shared" si="3"/>
        <v>#DIV/0!</v>
      </c>
      <c r="U56" s="81"/>
      <c r="V56" s="84"/>
      <c r="W56" s="84"/>
      <c r="Y56" s="75"/>
      <c r="Z56" s="2"/>
      <c r="AA56" s="75"/>
      <c r="AB56" s="98"/>
      <c r="AD56" s="88"/>
      <c r="AE56" s="99"/>
      <c r="AF56" s="69"/>
      <c r="AH56" s="15"/>
      <c r="AI56" s="69"/>
      <c r="AJ56" s="69"/>
      <c r="AL56" s="69"/>
      <c r="AM56" s="69"/>
      <c r="AQ56" s="75"/>
      <c r="AR56" s="2"/>
      <c r="AS56" s="75"/>
      <c r="AT56" s="98"/>
      <c r="AV56" s="88"/>
      <c r="AW56" s="99"/>
      <c r="AX56" s="69"/>
      <c r="AZ56" s="15"/>
      <c r="BA56" s="69"/>
      <c r="BB56" s="69"/>
      <c r="BD56" s="69"/>
      <c r="BE56" s="69"/>
    </row>
    <row r="57" spans="1:70" x14ac:dyDescent="0.4">
      <c r="A57" s="85" t="s">
        <v>235</v>
      </c>
      <c r="B57" s="92" t="s">
        <v>105</v>
      </c>
      <c r="C57" s="125" t="s">
        <v>3</v>
      </c>
      <c r="D57" s="129" t="s">
        <v>484</v>
      </c>
      <c r="E57" s="129" t="s">
        <v>485</v>
      </c>
      <c r="F57" s="129" t="s">
        <v>484</v>
      </c>
      <c r="G57" s="129" t="s">
        <v>485</v>
      </c>
      <c r="H57" s="129" t="s">
        <v>484</v>
      </c>
      <c r="I57" s="111">
        <v>5.8</v>
      </c>
      <c r="J57" s="77" t="s">
        <v>132</v>
      </c>
      <c r="K57" s="84">
        <v>32.130000000000003</v>
      </c>
      <c r="L57" s="86">
        <v>13900</v>
      </c>
      <c r="M57" s="80">
        <v>0.4</v>
      </c>
      <c r="N57" s="81">
        <v>50</v>
      </c>
      <c r="O57" s="84">
        <v>23.46</v>
      </c>
      <c r="P57" s="94">
        <v>6.0713231670000001</v>
      </c>
      <c r="Q57" s="81">
        <f t="shared" si="0"/>
        <v>3.8640670830230572</v>
      </c>
      <c r="R57" s="81">
        <f t="shared" si="1"/>
        <v>6713816.5567525616</v>
      </c>
      <c r="S57" s="84"/>
      <c r="T57" s="81" t="e">
        <f t="shared" si="3"/>
        <v>#DIV/0!</v>
      </c>
      <c r="U57" s="81"/>
      <c r="V57" s="84"/>
      <c r="W57" s="84"/>
      <c r="Y57" s="75"/>
      <c r="Z57" s="2"/>
      <c r="AA57" s="75"/>
      <c r="AB57" s="98"/>
      <c r="AD57" s="88"/>
      <c r="AE57" s="99"/>
      <c r="AF57" s="69"/>
      <c r="AH57" s="15"/>
      <c r="AI57" s="69"/>
      <c r="AJ57" s="69"/>
      <c r="AL57" s="69"/>
      <c r="AM57" s="69"/>
      <c r="AQ57" s="75"/>
      <c r="AR57" s="2"/>
      <c r="AS57" s="75"/>
      <c r="AT57" s="98"/>
      <c r="AV57" s="88"/>
      <c r="AW57" s="99"/>
      <c r="AX57" s="69"/>
      <c r="AZ57" s="15"/>
      <c r="BA57" s="69"/>
      <c r="BB57" s="69"/>
      <c r="BD57" s="69"/>
      <c r="BE57" s="69"/>
    </row>
    <row r="58" spans="1:70" x14ac:dyDescent="0.4">
      <c r="A58" s="85" t="s">
        <v>236</v>
      </c>
      <c r="B58" s="92" t="s">
        <v>105</v>
      </c>
      <c r="C58" s="125" t="s">
        <v>3</v>
      </c>
      <c r="D58" s="129" t="s">
        <v>484</v>
      </c>
      <c r="E58" s="129" t="s">
        <v>485</v>
      </c>
      <c r="F58" s="129" t="s">
        <v>484</v>
      </c>
      <c r="G58" s="129" t="s">
        <v>485</v>
      </c>
      <c r="H58" s="129" t="s">
        <v>484</v>
      </c>
      <c r="I58" s="111">
        <v>5.8</v>
      </c>
      <c r="J58" s="77" t="s">
        <v>132</v>
      </c>
      <c r="K58" s="84">
        <v>33.229999999999997</v>
      </c>
      <c r="L58" s="86">
        <v>12200</v>
      </c>
      <c r="M58" s="80">
        <v>0.4</v>
      </c>
      <c r="N58" s="81">
        <v>50</v>
      </c>
      <c r="O58" s="84">
        <v>23.46</v>
      </c>
      <c r="P58" s="94">
        <v>6.0713231670000001</v>
      </c>
      <c r="Q58" s="81">
        <f t="shared" si="0"/>
        <v>3.8640670830230572</v>
      </c>
      <c r="R58" s="81">
        <f t="shared" si="1"/>
        <v>5892702.3016101616</v>
      </c>
      <c r="S58" s="84"/>
      <c r="T58" s="81" t="e">
        <f t="shared" si="3"/>
        <v>#DIV/0!</v>
      </c>
      <c r="U58" s="81" t="e">
        <f>AVERAGE(T56:T58)</f>
        <v>#DIV/0!</v>
      </c>
      <c r="V58" s="81" t="e">
        <f>_xlfn.STDEV.S(T56:T58)</f>
        <v>#DIV/0!</v>
      </c>
      <c r="W58" s="81">
        <f>MAX(K56:K58)-MIN(K56:K58)</f>
        <v>1.279999999999994</v>
      </c>
      <c r="Y58" s="75"/>
      <c r="Z58" s="2"/>
      <c r="AA58" s="75"/>
      <c r="AB58" s="98"/>
      <c r="AD58" s="88"/>
      <c r="AE58" s="99"/>
      <c r="AF58" s="69"/>
      <c r="AH58" s="15"/>
      <c r="AI58" s="69"/>
      <c r="AJ58" s="69"/>
      <c r="AL58" s="69"/>
      <c r="AM58" s="69"/>
      <c r="AN58" s="69"/>
      <c r="AO58" s="69"/>
      <c r="AQ58" s="75"/>
      <c r="AR58" s="2"/>
      <c r="AS58" s="75"/>
      <c r="AT58" s="98"/>
      <c r="AV58" s="88"/>
      <c r="AW58" s="99"/>
      <c r="AX58" s="69"/>
      <c r="AZ58" s="15"/>
      <c r="BA58" s="69"/>
      <c r="BB58" s="69"/>
      <c r="BD58" s="69"/>
      <c r="BE58" s="69"/>
      <c r="BF58" s="69"/>
      <c r="BG58" s="69"/>
      <c r="BR58" s="88"/>
    </row>
    <row r="59" spans="1:70" x14ac:dyDescent="0.4">
      <c r="A59" s="85" t="s">
        <v>237</v>
      </c>
      <c r="B59" s="92" t="s">
        <v>112</v>
      </c>
      <c r="C59" s="125" t="s">
        <v>0</v>
      </c>
      <c r="D59" s="129" t="s">
        <v>484</v>
      </c>
      <c r="E59" s="129" t="s">
        <v>484</v>
      </c>
      <c r="F59" s="129" t="s">
        <v>484</v>
      </c>
      <c r="G59" s="129" t="s">
        <v>484</v>
      </c>
      <c r="H59" s="129" t="s">
        <v>484</v>
      </c>
      <c r="I59" s="111">
        <v>4.8</v>
      </c>
      <c r="J59" s="77" t="s">
        <v>133</v>
      </c>
      <c r="K59" s="84">
        <v>35</v>
      </c>
      <c r="L59" s="86">
        <v>10800</v>
      </c>
      <c r="M59" s="80">
        <v>0.4</v>
      </c>
      <c r="N59" s="81">
        <v>50</v>
      </c>
      <c r="O59" s="84">
        <v>3.5</v>
      </c>
      <c r="P59" s="94">
        <v>2.827784136</v>
      </c>
      <c r="Q59" s="81">
        <f t="shared" si="0"/>
        <v>1.2377182386173482</v>
      </c>
      <c r="R59" s="81">
        <f t="shared" si="1"/>
        <v>1670919.6221334201</v>
      </c>
      <c r="S59" s="84"/>
      <c r="T59" s="81" t="e">
        <f t="shared" si="3"/>
        <v>#DIV/0!</v>
      </c>
      <c r="U59" s="81"/>
      <c r="V59" s="84"/>
      <c r="W59" s="84"/>
      <c r="Y59" s="75"/>
      <c r="Z59" s="2"/>
      <c r="AA59" s="75"/>
      <c r="AB59" s="98"/>
      <c r="AD59" s="88"/>
      <c r="AE59" s="99"/>
      <c r="AF59" s="69"/>
      <c r="AH59" s="15"/>
      <c r="AI59" s="69"/>
      <c r="AJ59" s="69"/>
      <c r="AL59" s="69"/>
      <c r="AM59" s="69"/>
      <c r="AQ59" s="75"/>
      <c r="AR59" s="2"/>
      <c r="AS59" s="75"/>
      <c r="AT59" s="98"/>
      <c r="AV59" s="88"/>
      <c r="AW59" s="99"/>
      <c r="AX59" s="69"/>
      <c r="AZ59" s="15"/>
      <c r="BA59" s="69"/>
      <c r="BB59" s="69"/>
      <c r="BD59" s="69"/>
      <c r="BE59" s="69"/>
      <c r="BR59" s="88"/>
    </row>
    <row r="60" spans="1:70" x14ac:dyDescent="0.4">
      <c r="A60" s="85" t="s">
        <v>238</v>
      </c>
      <c r="B60" s="92" t="s">
        <v>112</v>
      </c>
      <c r="C60" s="125" t="s">
        <v>0</v>
      </c>
      <c r="D60" s="129" t="s">
        <v>484</v>
      </c>
      <c r="E60" s="129" t="s">
        <v>484</v>
      </c>
      <c r="F60" s="129" t="s">
        <v>484</v>
      </c>
      <c r="G60" s="129" t="s">
        <v>484</v>
      </c>
      <c r="H60" s="129" t="s">
        <v>484</v>
      </c>
      <c r="I60" s="111">
        <v>4.8</v>
      </c>
      <c r="J60" s="77" t="s">
        <v>133</v>
      </c>
      <c r="K60" s="84">
        <v>35</v>
      </c>
      <c r="L60" s="86">
        <v>10800</v>
      </c>
      <c r="M60" s="80">
        <v>0.4</v>
      </c>
      <c r="N60" s="81">
        <v>50</v>
      </c>
      <c r="O60" s="84">
        <v>3.5</v>
      </c>
      <c r="P60" s="94">
        <v>2.827784136</v>
      </c>
      <c r="Q60" s="81">
        <f t="shared" si="0"/>
        <v>1.2377182386173482</v>
      </c>
      <c r="R60" s="81">
        <f t="shared" si="1"/>
        <v>1670919.6221334201</v>
      </c>
      <c r="S60" s="84"/>
      <c r="T60" s="81" t="e">
        <f t="shared" si="3"/>
        <v>#DIV/0!</v>
      </c>
      <c r="U60" s="81"/>
      <c r="V60" s="84"/>
      <c r="W60" s="84"/>
      <c r="Y60" s="75"/>
      <c r="Z60" s="2"/>
      <c r="AA60" s="75"/>
      <c r="AB60" s="98"/>
      <c r="AD60" s="88"/>
      <c r="AE60" s="99"/>
      <c r="AF60" s="69"/>
      <c r="AH60" s="15"/>
      <c r="AI60" s="69"/>
      <c r="AJ60" s="69"/>
      <c r="AL60" s="69"/>
      <c r="AM60" s="69"/>
      <c r="AQ60" s="75"/>
      <c r="AR60" s="2"/>
      <c r="AS60" s="75"/>
      <c r="AT60" s="98"/>
      <c r="AV60" s="88"/>
      <c r="AW60" s="99"/>
      <c r="AX60" s="69"/>
      <c r="AZ60" s="15"/>
      <c r="BA60" s="69"/>
      <c r="BB60" s="69"/>
      <c r="BD60" s="69"/>
      <c r="BE60" s="69"/>
      <c r="BR60" s="88"/>
    </row>
    <row r="61" spans="1:70" x14ac:dyDescent="0.4">
      <c r="A61" s="85" t="s">
        <v>239</v>
      </c>
      <c r="B61" s="92" t="s">
        <v>112</v>
      </c>
      <c r="C61" s="125" t="s">
        <v>0</v>
      </c>
      <c r="D61" s="129" t="s">
        <v>484</v>
      </c>
      <c r="E61" s="129" t="s">
        <v>484</v>
      </c>
      <c r="F61" s="129" t="s">
        <v>484</v>
      </c>
      <c r="G61" s="129" t="s">
        <v>484</v>
      </c>
      <c r="H61" s="129" t="s">
        <v>484</v>
      </c>
      <c r="I61" s="111">
        <v>4.8</v>
      </c>
      <c r="J61" s="77" t="s">
        <v>133</v>
      </c>
      <c r="K61" s="84">
        <v>32.68</v>
      </c>
      <c r="L61" s="86">
        <v>13000</v>
      </c>
      <c r="M61" s="80">
        <v>0.4</v>
      </c>
      <c r="N61" s="81">
        <v>50</v>
      </c>
      <c r="O61" s="84">
        <v>3.5</v>
      </c>
      <c r="P61" s="94">
        <v>2.827784136</v>
      </c>
      <c r="Q61" s="81">
        <f t="shared" si="0"/>
        <v>1.2377182386173482</v>
      </c>
      <c r="R61" s="81">
        <f t="shared" si="1"/>
        <v>2011292.1377531907</v>
      </c>
      <c r="S61" s="84"/>
      <c r="T61" s="81" t="e">
        <f t="shared" si="3"/>
        <v>#DIV/0!</v>
      </c>
      <c r="U61" s="81" t="e">
        <f>AVERAGE(T59:T61)</f>
        <v>#DIV/0!</v>
      </c>
      <c r="V61" s="81" t="e">
        <f>_xlfn.STDEV.S(T59:T61)</f>
        <v>#DIV/0!</v>
      </c>
      <c r="W61" s="81">
        <f>MAX(K59:K61)-MIN(K59:K61)</f>
        <v>2.3200000000000003</v>
      </c>
      <c r="Y61" s="75"/>
      <c r="Z61" s="2"/>
      <c r="AA61" s="75"/>
      <c r="AB61" s="98"/>
      <c r="AD61" s="88"/>
      <c r="AE61" s="99"/>
      <c r="AF61" s="69"/>
      <c r="AH61" s="15"/>
      <c r="AI61" s="69"/>
      <c r="AJ61" s="69"/>
      <c r="AL61" s="69"/>
      <c r="AM61" s="69"/>
      <c r="AN61" s="69"/>
      <c r="AO61" s="69"/>
      <c r="AQ61" s="75"/>
      <c r="AR61" s="2"/>
      <c r="AS61" s="75"/>
      <c r="AT61" s="98"/>
      <c r="AV61" s="88"/>
      <c r="AW61" s="99"/>
      <c r="AX61" s="69"/>
      <c r="AZ61" s="15"/>
      <c r="BA61" s="69"/>
      <c r="BB61" s="69"/>
      <c r="BD61" s="69"/>
      <c r="BE61" s="69"/>
      <c r="BF61" s="69"/>
      <c r="BG61" s="69"/>
      <c r="BR61" s="88"/>
    </row>
    <row r="62" spans="1:70" x14ac:dyDescent="0.4">
      <c r="A62" s="85" t="s">
        <v>240</v>
      </c>
      <c r="B62" s="92" t="s">
        <v>113</v>
      </c>
      <c r="C62" s="125" t="s">
        <v>1</v>
      </c>
      <c r="D62" s="129" t="s">
        <v>484</v>
      </c>
      <c r="E62" s="129" t="s">
        <v>484</v>
      </c>
      <c r="F62" s="129" t="s">
        <v>484</v>
      </c>
      <c r="G62" s="129" t="s">
        <v>485</v>
      </c>
      <c r="H62" s="129" t="s">
        <v>484</v>
      </c>
      <c r="I62" s="111">
        <v>4.8</v>
      </c>
      <c r="J62" s="77" t="s">
        <v>133</v>
      </c>
      <c r="K62" s="84">
        <v>34.479999999999997</v>
      </c>
      <c r="L62" s="86">
        <v>11100</v>
      </c>
      <c r="M62" s="80">
        <v>0.4</v>
      </c>
      <c r="N62" s="81">
        <v>50</v>
      </c>
      <c r="O62" s="84">
        <v>3.02</v>
      </c>
      <c r="P62" s="94">
        <v>3.1959107699999998</v>
      </c>
      <c r="Q62" s="81">
        <f t="shared" si="0"/>
        <v>0.9449575464836899</v>
      </c>
      <c r="R62" s="81">
        <f t="shared" si="1"/>
        <v>1311128.5957461195</v>
      </c>
      <c r="S62" s="84"/>
      <c r="T62" s="81" t="e">
        <f t="shared" si="3"/>
        <v>#DIV/0!</v>
      </c>
      <c r="U62" s="81"/>
      <c r="V62" s="84"/>
      <c r="W62" s="84"/>
      <c r="Y62" s="75"/>
      <c r="Z62" s="2"/>
      <c r="AA62" s="75"/>
      <c r="AB62" s="98"/>
      <c r="AD62" s="88"/>
      <c r="AE62" s="99"/>
      <c r="AF62" s="69"/>
      <c r="AH62" s="15"/>
      <c r="AI62" s="69"/>
      <c r="AJ62" s="69"/>
      <c r="AL62" s="69"/>
      <c r="AM62" s="69"/>
      <c r="AQ62" s="75"/>
      <c r="AR62" s="2"/>
      <c r="AS62" s="75"/>
      <c r="AT62" s="98"/>
      <c r="AV62" s="88"/>
      <c r="AW62" s="99"/>
      <c r="AX62" s="69"/>
      <c r="AZ62" s="15"/>
      <c r="BA62" s="69"/>
      <c r="BB62" s="69"/>
      <c r="BD62" s="69"/>
      <c r="BE62" s="69"/>
      <c r="BR62" s="88"/>
    </row>
    <row r="63" spans="1:70" x14ac:dyDescent="0.4">
      <c r="A63" s="85" t="s">
        <v>241</v>
      </c>
      <c r="B63" s="92" t="s">
        <v>113</v>
      </c>
      <c r="C63" s="125" t="s">
        <v>1</v>
      </c>
      <c r="D63" s="129" t="s">
        <v>484</v>
      </c>
      <c r="E63" s="129" t="s">
        <v>484</v>
      </c>
      <c r="F63" s="129" t="s">
        <v>484</v>
      </c>
      <c r="G63" s="129" t="s">
        <v>485</v>
      </c>
      <c r="H63" s="129" t="s">
        <v>484</v>
      </c>
      <c r="I63" s="111">
        <v>4.8</v>
      </c>
      <c r="J63" s="77" t="s">
        <v>133</v>
      </c>
      <c r="K63" s="84">
        <v>34.29</v>
      </c>
      <c r="L63" s="86">
        <v>11200</v>
      </c>
      <c r="M63" s="80">
        <v>0.4</v>
      </c>
      <c r="N63" s="81">
        <v>50</v>
      </c>
      <c r="O63" s="84">
        <v>3.02</v>
      </c>
      <c r="P63" s="94">
        <v>3.1959107699999998</v>
      </c>
      <c r="Q63" s="81">
        <f t="shared" si="0"/>
        <v>0.9449575464836899</v>
      </c>
      <c r="R63" s="81">
        <f t="shared" si="1"/>
        <v>1322940.5650771658</v>
      </c>
      <c r="S63" s="84"/>
      <c r="T63" s="81" t="e">
        <f t="shared" si="3"/>
        <v>#DIV/0!</v>
      </c>
      <c r="U63" s="81"/>
      <c r="V63" s="84"/>
      <c r="W63" s="84"/>
      <c r="Y63" s="75"/>
      <c r="Z63" s="2"/>
      <c r="AA63" s="75"/>
      <c r="AB63" s="98"/>
      <c r="AD63" s="88"/>
      <c r="AE63" s="99"/>
      <c r="AF63" s="69"/>
      <c r="AH63" s="15"/>
      <c r="AI63" s="69"/>
      <c r="AJ63" s="69"/>
      <c r="AL63" s="69"/>
      <c r="AM63" s="69"/>
      <c r="AQ63" s="75"/>
      <c r="AR63" s="2"/>
      <c r="AS63" s="75"/>
      <c r="AT63" s="98"/>
      <c r="AV63" s="88"/>
      <c r="AW63" s="99"/>
      <c r="AX63" s="69"/>
      <c r="AZ63" s="15"/>
      <c r="BA63" s="69"/>
      <c r="BB63" s="69"/>
      <c r="BD63" s="69"/>
      <c r="BE63" s="69"/>
      <c r="BR63" s="88"/>
    </row>
    <row r="64" spans="1:70" x14ac:dyDescent="0.4">
      <c r="A64" s="85" t="s">
        <v>242</v>
      </c>
      <c r="B64" s="92" t="s">
        <v>113</v>
      </c>
      <c r="C64" s="125" t="s">
        <v>1</v>
      </c>
      <c r="D64" s="129" t="s">
        <v>484</v>
      </c>
      <c r="E64" s="129" t="s">
        <v>484</v>
      </c>
      <c r="F64" s="129" t="s">
        <v>484</v>
      </c>
      <c r="G64" s="129" t="s">
        <v>485</v>
      </c>
      <c r="H64" s="129" t="s">
        <v>484</v>
      </c>
      <c r="I64" s="111">
        <v>4.8</v>
      </c>
      <c r="J64" s="77" t="s">
        <v>133</v>
      </c>
      <c r="K64" s="84">
        <v>33.22</v>
      </c>
      <c r="L64" s="86">
        <v>12300</v>
      </c>
      <c r="M64" s="80">
        <v>0.4</v>
      </c>
      <c r="N64" s="81">
        <v>50</v>
      </c>
      <c r="O64" s="84">
        <v>3.02</v>
      </c>
      <c r="P64" s="94">
        <v>3.1959107699999998</v>
      </c>
      <c r="Q64" s="81">
        <f t="shared" si="0"/>
        <v>0.9449575464836899</v>
      </c>
      <c r="R64" s="81">
        <f t="shared" si="1"/>
        <v>1452872.2277186732</v>
      </c>
      <c r="S64" s="84"/>
      <c r="T64" s="81" t="e">
        <f t="shared" si="3"/>
        <v>#DIV/0!</v>
      </c>
      <c r="U64" s="81" t="e">
        <f>AVERAGE(T62:T64)</f>
        <v>#DIV/0!</v>
      </c>
      <c r="V64" s="81" t="e">
        <f>_xlfn.STDEV.S(T62:T64)</f>
        <v>#DIV/0!</v>
      </c>
      <c r="W64" s="81">
        <f>MAX(K62:K64)-MIN(K62:K64)</f>
        <v>1.259999999999998</v>
      </c>
      <c r="Y64" s="75"/>
      <c r="Z64" s="2"/>
      <c r="AA64" s="75"/>
      <c r="AB64" s="98"/>
      <c r="AD64" s="88"/>
      <c r="AE64" s="99"/>
      <c r="AF64" s="69"/>
      <c r="AH64" s="15"/>
      <c r="AI64" s="69"/>
      <c r="AJ64" s="69"/>
      <c r="AL64" s="69"/>
      <c r="AM64" s="69"/>
      <c r="AN64" s="69"/>
      <c r="AO64" s="69"/>
      <c r="AQ64" s="75"/>
      <c r="AR64" s="2"/>
      <c r="AS64" s="75"/>
      <c r="AT64" s="98"/>
      <c r="AV64" s="88"/>
      <c r="AW64" s="99"/>
      <c r="AX64" s="69"/>
      <c r="AZ64" s="15"/>
      <c r="BA64" s="69"/>
      <c r="BB64" s="69"/>
      <c r="BD64" s="69"/>
      <c r="BE64" s="69"/>
      <c r="BF64" s="69"/>
      <c r="BG64" s="69"/>
      <c r="BR64" s="88"/>
    </row>
    <row r="65" spans="1:70" x14ac:dyDescent="0.4">
      <c r="A65" s="85" t="s">
        <v>243</v>
      </c>
      <c r="B65" s="92" t="s">
        <v>114</v>
      </c>
      <c r="C65" s="125" t="s">
        <v>2</v>
      </c>
      <c r="D65" s="129" t="s">
        <v>484</v>
      </c>
      <c r="E65" s="129" t="s">
        <v>485</v>
      </c>
      <c r="F65" s="129" t="s">
        <v>484</v>
      </c>
      <c r="G65" s="129" t="s">
        <v>484</v>
      </c>
      <c r="H65" s="129" t="s">
        <v>484</v>
      </c>
      <c r="I65" s="111">
        <v>4.8</v>
      </c>
      <c r="J65" s="77" t="s">
        <v>133</v>
      </c>
      <c r="K65" s="84">
        <v>33.21</v>
      </c>
      <c r="L65" s="86">
        <v>12300</v>
      </c>
      <c r="M65" s="80">
        <v>0.4</v>
      </c>
      <c r="N65" s="81">
        <v>50</v>
      </c>
      <c r="O65" s="84">
        <v>4.87</v>
      </c>
      <c r="P65" s="94">
        <v>5.485071349</v>
      </c>
      <c r="Q65" s="81">
        <f t="shared" si="0"/>
        <v>0.88786447616362629</v>
      </c>
      <c r="R65" s="81">
        <f t="shared" si="1"/>
        <v>1365091.6321015754</v>
      </c>
      <c r="S65" s="84"/>
      <c r="T65" s="81" t="e">
        <f t="shared" si="3"/>
        <v>#DIV/0!</v>
      </c>
      <c r="U65" s="81"/>
      <c r="V65" s="84"/>
      <c r="W65" s="84"/>
      <c r="Y65" s="75"/>
      <c r="Z65" s="2"/>
      <c r="AA65" s="75"/>
      <c r="AB65" s="98"/>
      <c r="AD65" s="88"/>
      <c r="AE65" s="99"/>
      <c r="AF65" s="69"/>
      <c r="AH65" s="15"/>
      <c r="AI65" s="69"/>
      <c r="AJ65" s="69"/>
      <c r="AL65" s="69"/>
      <c r="AM65" s="69"/>
      <c r="AQ65" s="75"/>
      <c r="AR65" s="75"/>
      <c r="AS65" s="75"/>
      <c r="AT65" s="98"/>
      <c r="AW65" s="99"/>
      <c r="AZ65" s="15"/>
      <c r="BA65" s="69"/>
      <c r="BB65" s="69"/>
      <c r="BD65" s="69"/>
      <c r="BE65" s="69"/>
      <c r="BR65" s="88"/>
    </row>
    <row r="66" spans="1:70" x14ac:dyDescent="0.4">
      <c r="A66" s="85" t="s">
        <v>244</v>
      </c>
      <c r="B66" s="92" t="s">
        <v>114</v>
      </c>
      <c r="C66" s="125" t="s">
        <v>2</v>
      </c>
      <c r="D66" s="129" t="s">
        <v>484</v>
      </c>
      <c r="E66" s="129" t="s">
        <v>485</v>
      </c>
      <c r="F66" s="129" t="s">
        <v>484</v>
      </c>
      <c r="G66" s="129" t="s">
        <v>484</v>
      </c>
      <c r="H66" s="129" t="s">
        <v>484</v>
      </c>
      <c r="I66" s="111">
        <v>4.8</v>
      </c>
      <c r="J66" s="77" t="s">
        <v>133</v>
      </c>
      <c r="K66" s="84">
        <v>34.020000000000003</v>
      </c>
      <c r="L66" s="86">
        <v>11400</v>
      </c>
      <c r="M66" s="80">
        <v>0.4</v>
      </c>
      <c r="N66" s="81">
        <v>50</v>
      </c>
      <c r="O66" s="84">
        <v>4.87</v>
      </c>
      <c r="P66" s="94">
        <v>5.485071349</v>
      </c>
      <c r="Q66" s="81">
        <f t="shared" si="0"/>
        <v>0.88786447616362629</v>
      </c>
      <c r="R66" s="81">
        <f t="shared" si="1"/>
        <v>1265206.8785331673</v>
      </c>
      <c r="S66" s="84"/>
      <c r="T66" s="81" t="e">
        <f t="shared" si="3"/>
        <v>#DIV/0!</v>
      </c>
      <c r="U66" s="81"/>
      <c r="V66" s="84"/>
      <c r="W66" s="84"/>
      <c r="Y66" s="75"/>
      <c r="Z66" s="2"/>
      <c r="AA66" s="75"/>
      <c r="AB66" s="98"/>
      <c r="AD66" s="88"/>
      <c r="AE66" s="99"/>
      <c r="AF66" s="69"/>
      <c r="AH66" s="15"/>
      <c r="AI66" s="69"/>
      <c r="AJ66" s="69"/>
      <c r="AL66" s="69"/>
      <c r="AM66" s="69"/>
      <c r="AQ66" s="75"/>
      <c r="AR66" s="75"/>
      <c r="AS66" s="75"/>
      <c r="AT66" s="98"/>
      <c r="AW66" s="99"/>
      <c r="AZ66" s="15"/>
      <c r="BA66" s="69"/>
      <c r="BB66" s="69"/>
      <c r="BD66" s="69"/>
      <c r="BE66" s="69"/>
      <c r="BR66" s="88"/>
    </row>
    <row r="67" spans="1:70" x14ac:dyDescent="0.4">
      <c r="A67" s="85" t="s">
        <v>245</v>
      </c>
      <c r="B67" s="92" t="s">
        <v>114</v>
      </c>
      <c r="C67" s="125" t="s">
        <v>2</v>
      </c>
      <c r="D67" s="129" t="s">
        <v>484</v>
      </c>
      <c r="E67" s="129" t="s">
        <v>485</v>
      </c>
      <c r="F67" s="129" t="s">
        <v>484</v>
      </c>
      <c r="G67" s="129" t="s">
        <v>484</v>
      </c>
      <c r="H67" s="129" t="s">
        <v>484</v>
      </c>
      <c r="I67" s="111">
        <v>4.8</v>
      </c>
      <c r="J67" s="77" t="s">
        <v>133</v>
      </c>
      <c r="K67" s="84">
        <v>33.869999999999997</v>
      </c>
      <c r="L67" s="86">
        <v>11600</v>
      </c>
      <c r="M67" s="80">
        <v>0.4</v>
      </c>
      <c r="N67" s="81">
        <v>50</v>
      </c>
      <c r="O67" s="84">
        <v>4.87</v>
      </c>
      <c r="P67" s="94">
        <v>5.485071349</v>
      </c>
      <c r="Q67" s="81">
        <f t="shared" si="0"/>
        <v>0.88786447616362629</v>
      </c>
      <c r="R67" s="81">
        <f t="shared" si="1"/>
        <v>1287403.490437258</v>
      </c>
      <c r="S67" s="84"/>
      <c r="T67" s="81" t="e">
        <f t="shared" si="3"/>
        <v>#DIV/0!</v>
      </c>
      <c r="U67" s="81" t="e">
        <f>AVERAGE(T65:T67)</f>
        <v>#DIV/0!</v>
      </c>
      <c r="V67" s="81" t="e">
        <f>_xlfn.STDEV.S(T65:T67)</f>
        <v>#DIV/0!</v>
      </c>
      <c r="W67" s="81">
        <f>MAX(K65:K67)-MIN(K65:K67)</f>
        <v>0.81000000000000227</v>
      </c>
      <c r="Y67" s="75"/>
      <c r="Z67" s="2"/>
      <c r="AA67" s="75"/>
      <c r="AB67" s="98"/>
      <c r="AD67" s="88"/>
      <c r="AE67" s="99"/>
      <c r="AF67" s="69"/>
      <c r="AH67" s="15"/>
      <c r="AI67" s="69"/>
      <c r="AJ67" s="69"/>
      <c r="AL67" s="69"/>
      <c r="AM67" s="69"/>
      <c r="AN67" s="69"/>
      <c r="AO67" s="69"/>
      <c r="AQ67" s="75"/>
      <c r="AR67" s="75"/>
      <c r="AS67" s="75"/>
      <c r="AT67" s="98"/>
      <c r="AW67" s="99"/>
      <c r="AZ67" s="15"/>
      <c r="BA67" s="69"/>
      <c r="BB67" s="69"/>
      <c r="BD67" s="69"/>
      <c r="BE67" s="69"/>
      <c r="BF67" s="69"/>
      <c r="BG67" s="69"/>
    </row>
    <row r="68" spans="1:70" x14ac:dyDescent="0.4">
      <c r="A68" s="85" t="s">
        <v>246</v>
      </c>
      <c r="B68" s="92" t="s">
        <v>115</v>
      </c>
      <c r="C68" s="125" t="s">
        <v>3</v>
      </c>
      <c r="D68" s="129" t="s">
        <v>484</v>
      </c>
      <c r="E68" s="129" t="s">
        <v>485</v>
      </c>
      <c r="F68" s="129" t="s">
        <v>484</v>
      </c>
      <c r="G68" s="129" t="s">
        <v>485</v>
      </c>
      <c r="H68" s="129" t="s">
        <v>484</v>
      </c>
      <c r="I68" s="111">
        <v>4.8</v>
      </c>
      <c r="J68" s="77" t="s">
        <v>133</v>
      </c>
      <c r="K68" s="84">
        <v>35</v>
      </c>
      <c r="L68" s="86">
        <v>10800</v>
      </c>
      <c r="M68" s="80">
        <v>0.4</v>
      </c>
      <c r="N68" s="81">
        <v>50</v>
      </c>
      <c r="O68" s="84">
        <v>4.04</v>
      </c>
      <c r="P68" s="94">
        <v>3.981826055</v>
      </c>
      <c r="Q68" s="81">
        <f t="shared" si="0"/>
        <v>1.0146098659751726</v>
      </c>
      <c r="R68" s="81">
        <f t="shared" si="1"/>
        <v>1369723.3190664828</v>
      </c>
      <c r="S68" s="84"/>
      <c r="T68" s="81" t="e">
        <f t="shared" si="3"/>
        <v>#DIV/0!</v>
      </c>
      <c r="U68" s="81"/>
      <c r="V68" s="84"/>
      <c r="W68" s="84"/>
      <c r="Y68" s="75"/>
      <c r="Z68" s="2"/>
      <c r="AA68" s="75"/>
      <c r="AB68" s="98"/>
      <c r="AD68" s="88"/>
      <c r="AE68" s="99"/>
      <c r="AF68" s="69"/>
      <c r="AH68" s="15"/>
      <c r="AI68" s="69"/>
      <c r="AJ68" s="69"/>
      <c r="AL68" s="69"/>
      <c r="AM68" s="69"/>
      <c r="AQ68" s="75"/>
      <c r="AR68" s="2"/>
      <c r="AS68" s="75"/>
      <c r="AT68" s="98"/>
      <c r="AV68" s="88"/>
      <c r="AW68" s="99"/>
      <c r="AX68" s="69"/>
      <c r="AZ68" s="15"/>
      <c r="BA68" s="69"/>
      <c r="BB68" s="69"/>
      <c r="BD68" s="69"/>
      <c r="BE68" s="69"/>
    </row>
    <row r="69" spans="1:70" x14ac:dyDescent="0.4">
      <c r="A69" s="85" t="s">
        <v>247</v>
      </c>
      <c r="B69" s="92" t="s">
        <v>115</v>
      </c>
      <c r="C69" s="125" t="s">
        <v>3</v>
      </c>
      <c r="D69" s="129" t="s">
        <v>484</v>
      </c>
      <c r="E69" s="129" t="s">
        <v>485</v>
      </c>
      <c r="F69" s="129" t="s">
        <v>484</v>
      </c>
      <c r="G69" s="129" t="s">
        <v>485</v>
      </c>
      <c r="H69" s="129" t="s">
        <v>484</v>
      </c>
      <c r="I69" s="111">
        <v>4.8</v>
      </c>
      <c r="J69" s="77" t="s">
        <v>133</v>
      </c>
      <c r="K69" s="84">
        <v>33.01</v>
      </c>
      <c r="L69" s="86">
        <v>12500</v>
      </c>
      <c r="M69" s="80">
        <v>0.4</v>
      </c>
      <c r="N69" s="81">
        <v>50</v>
      </c>
      <c r="O69" s="84">
        <v>4.04</v>
      </c>
      <c r="P69" s="94">
        <v>3.981826055</v>
      </c>
      <c r="Q69" s="81">
        <f t="shared" si="0"/>
        <v>1.0146098659751726</v>
      </c>
      <c r="R69" s="81">
        <f t="shared" si="1"/>
        <v>1585327.9155862071</v>
      </c>
      <c r="S69" s="84"/>
      <c r="T69" s="81" t="e">
        <f t="shared" si="3"/>
        <v>#DIV/0!</v>
      </c>
      <c r="U69" s="81"/>
      <c r="V69" s="84"/>
      <c r="W69" s="84"/>
      <c r="Y69" s="75"/>
      <c r="Z69" s="2"/>
      <c r="AA69" s="75"/>
      <c r="AB69" s="98"/>
      <c r="AD69" s="88"/>
      <c r="AE69" s="99"/>
      <c r="AF69" s="69"/>
      <c r="AH69" s="15"/>
      <c r="AI69" s="69"/>
      <c r="AJ69" s="69"/>
      <c r="AL69" s="69"/>
      <c r="AM69" s="69"/>
      <c r="AQ69" s="75"/>
      <c r="AR69" s="2"/>
      <c r="AS69" s="75"/>
      <c r="AT69" s="98"/>
      <c r="AV69" s="88"/>
      <c r="AW69" s="99"/>
      <c r="AX69" s="69"/>
      <c r="AZ69" s="15"/>
      <c r="BA69" s="69"/>
      <c r="BB69" s="69"/>
      <c r="BD69" s="69"/>
      <c r="BE69" s="69"/>
    </row>
    <row r="70" spans="1:70" x14ac:dyDescent="0.4">
      <c r="A70" s="85" t="s">
        <v>248</v>
      </c>
      <c r="B70" s="92" t="s">
        <v>115</v>
      </c>
      <c r="C70" s="125" t="s">
        <v>3</v>
      </c>
      <c r="D70" s="129" t="s">
        <v>484</v>
      </c>
      <c r="E70" s="129" t="s">
        <v>485</v>
      </c>
      <c r="F70" s="129" t="s">
        <v>484</v>
      </c>
      <c r="G70" s="129" t="s">
        <v>485</v>
      </c>
      <c r="H70" s="129" t="s">
        <v>484</v>
      </c>
      <c r="I70" s="111">
        <v>4.8</v>
      </c>
      <c r="J70" s="77" t="s">
        <v>133</v>
      </c>
      <c r="K70" s="84">
        <v>33.47</v>
      </c>
      <c r="L70" s="86">
        <v>12000</v>
      </c>
      <c r="M70" s="80">
        <v>0.4</v>
      </c>
      <c r="N70" s="81">
        <v>50</v>
      </c>
      <c r="O70" s="84">
        <v>4.04</v>
      </c>
      <c r="P70" s="94">
        <v>3.981826055</v>
      </c>
      <c r="Q70" s="81">
        <f t="shared" si="0"/>
        <v>1.0146098659751726</v>
      </c>
      <c r="R70" s="81">
        <f t="shared" si="1"/>
        <v>1521914.7989627586</v>
      </c>
      <c r="S70" s="84"/>
      <c r="T70" s="81" t="e">
        <f t="shared" si="3"/>
        <v>#DIV/0!</v>
      </c>
      <c r="U70" s="81" t="e">
        <f>AVERAGE(T68:T70)</f>
        <v>#DIV/0!</v>
      </c>
      <c r="V70" s="81" t="e">
        <f>_xlfn.STDEV.S(T68:T70)</f>
        <v>#DIV/0!</v>
      </c>
      <c r="W70" s="81">
        <f>MAX(K68:K70)-MIN(K68:K70)</f>
        <v>1.990000000000002</v>
      </c>
      <c r="Y70" s="75"/>
      <c r="Z70" s="2"/>
      <c r="AA70" s="75"/>
      <c r="AB70" s="98"/>
      <c r="AD70" s="88"/>
      <c r="AE70" s="99"/>
      <c r="AF70" s="69"/>
      <c r="AH70" s="15"/>
      <c r="AI70" s="69"/>
      <c r="AJ70" s="69"/>
      <c r="AL70" s="69"/>
      <c r="AM70" s="69"/>
      <c r="AN70" s="69"/>
      <c r="AO70" s="69"/>
      <c r="AQ70" s="75"/>
      <c r="AR70" s="2"/>
      <c r="AS70" s="75"/>
      <c r="AT70" s="98"/>
      <c r="AV70" s="88"/>
      <c r="AW70" s="99"/>
      <c r="AX70" s="69"/>
      <c r="AZ70" s="15"/>
      <c r="BA70" s="69"/>
      <c r="BB70" s="69"/>
      <c r="BD70" s="69"/>
      <c r="BE70" s="69"/>
      <c r="BF70" s="69"/>
      <c r="BG70" s="69"/>
      <c r="BR70" s="88"/>
    </row>
    <row r="71" spans="1:70" x14ac:dyDescent="0.4">
      <c r="A71" s="85" t="s">
        <v>249</v>
      </c>
      <c r="B71" s="92" t="s">
        <v>122</v>
      </c>
      <c r="C71" s="125" t="s">
        <v>0</v>
      </c>
      <c r="D71" s="129" t="s">
        <v>484</v>
      </c>
      <c r="E71" s="129" t="s">
        <v>484</v>
      </c>
      <c r="F71" s="129" t="s">
        <v>484</v>
      </c>
      <c r="G71" s="129" t="s">
        <v>484</v>
      </c>
      <c r="H71" s="129" t="s">
        <v>484</v>
      </c>
      <c r="I71" s="111">
        <v>5.8</v>
      </c>
      <c r="J71" s="77" t="s">
        <v>133</v>
      </c>
      <c r="K71" s="84">
        <v>34.229999999999997</v>
      </c>
      <c r="L71" s="86">
        <v>11300</v>
      </c>
      <c r="M71" s="80">
        <v>0.4</v>
      </c>
      <c r="N71" s="81">
        <v>50</v>
      </c>
      <c r="O71" s="84">
        <v>40.74</v>
      </c>
      <c r="P71" s="94">
        <v>6.9645010279999999</v>
      </c>
      <c r="Q71" s="81">
        <f t="shared" si="0"/>
        <v>5.8496653006740003</v>
      </c>
      <c r="R71" s="81">
        <f t="shared" si="1"/>
        <v>8262652.237202025</v>
      </c>
      <c r="S71" s="84"/>
      <c r="T71" s="81" t="e">
        <f t="shared" si="3"/>
        <v>#DIV/0!</v>
      </c>
      <c r="U71" s="81"/>
      <c r="V71" s="84"/>
      <c r="W71" s="84"/>
      <c r="Y71" s="75"/>
      <c r="Z71" s="2"/>
      <c r="AA71" s="75"/>
      <c r="AB71" s="98"/>
      <c r="AD71" s="88"/>
      <c r="AE71" s="99"/>
      <c r="AF71" s="69"/>
      <c r="AH71" s="15"/>
      <c r="AI71" s="69"/>
      <c r="AJ71" s="69"/>
      <c r="AL71" s="69"/>
      <c r="AM71" s="69"/>
      <c r="AQ71" s="75"/>
      <c r="AR71" s="2"/>
      <c r="AS71" s="75"/>
      <c r="AT71" s="98"/>
      <c r="AV71" s="88"/>
      <c r="AW71" s="99"/>
      <c r="AX71" s="69"/>
      <c r="AZ71" s="15"/>
      <c r="BA71" s="69"/>
      <c r="BB71" s="69"/>
      <c r="BD71" s="69"/>
      <c r="BE71" s="69"/>
      <c r="BR71" s="88"/>
    </row>
    <row r="72" spans="1:70" x14ac:dyDescent="0.4">
      <c r="A72" s="85" t="s">
        <v>250</v>
      </c>
      <c r="B72" s="92" t="s">
        <v>122</v>
      </c>
      <c r="C72" s="125" t="s">
        <v>0</v>
      </c>
      <c r="D72" s="129" t="s">
        <v>484</v>
      </c>
      <c r="E72" s="129" t="s">
        <v>484</v>
      </c>
      <c r="F72" s="129" t="s">
        <v>484</v>
      </c>
      <c r="G72" s="129" t="s">
        <v>484</v>
      </c>
      <c r="H72" s="129" t="s">
        <v>484</v>
      </c>
      <c r="I72" s="111">
        <v>5.8</v>
      </c>
      <c r="J72" s="77" t="s">
        <v>133</v>
      </c>
      <c r="K72" s="84">
        <v>32.03</v>
      </c>
      <c r="L72" s="86">
        <v>14100</v>
      </c>
      <c r="M72" s="80">
        <v>0.4</v>
      </c>
      <c r="N72" s="81">
        <v>50</v>
      </c>
      <c r="O72" s="84">
        <v>40.74</v>
      </c>
      <c r="P72" s="94">
        <v>6.9645010279999999</v>
      </c>
      <c r="Q72" s="81">
        <f t="shared" si="0"/>
        <v>5.8496653006740003</v>
      </c>
      <c r="R72" s="81">
        <f t="shared" si="1"/>
        <v>10310035.092437925</v>
      </c>
      <c r="S72" s="84"/>
      <c r="T72" s="81" t="e">
        <f t="shared" si="3"/>
        <v>#DIV/0!</v>
      </c>
      <c r="U72" s="81"/>
      <c r="V72" s="84"/>
      <c r="W72" s="84"/>
      <c r="Y72" s="75"/>
      <c r="Z72" s="2"/>
      <c r="AA72" s="75"/>
      <c r="AB72" s="98"/>
      <c r="AD72" s="88"/>
      <c r="AE72" s="99"/>
      <c r="AF72" s="69"/>
      <c r="AH72" s="15"/>
      <c r="AI72" s="69"/>
      <c r="AJ72" s="69"/>
      <c r="AL72" s="69"/>
      <c r="AM72" s="69"/>
      <c r="AQ72" s="75"/>
      <c r="AR72" s="2"/>
      <c r="AS72" s="75"/>
      <c r="AT72" s="98"/>
      <c r="AV72" s="88"/>
      <c r="AW72" s="99"/>
      <c r="AX72" s="69"/>
      <c r="AZ72" s="15"/>
      <c r="BA72" s="69"/>
      <c r="BB72" s="69"/>
      <c r="BD72" s="69"/>
      <c r="BE72" s="69"/>
      <c r="BR72" s="88"/>
    </row>
    <row r="73" spans="1:70" x14ac:dyDescent="0.4">
      <c r="A73" s="85" t="s">
        <v>251</v>
      </c>
      <c r="B73" s="92" t="s">
        <v>122</v>
      </c>
      <c r="C73" s="125" t="s">
        <v>0</v>
      </c>
      <c r="D73" s="129" t="s">
        <v>484</v>
      </c>
      <c r="E73" s="129" t="s">
        <v>484</v>
      </c>
      <c r="F73" s="129" t="s">
        <v>484</v>
      </c>
      <c r="G73" s="129" t="s">
        <v>484</v>
      </c>
      <c r="H73" s="129" t="s">
        <v>484</v>
      </c>
      <c r="I73" s="111">
        <v>5.8</v>
      </c>
      <c r="J73" s="77" t="s">
        <v>133</v>
      </c>
      <c r="K73" s="84">
        <v>33.18</v>
      </c>
      <c r="L73" s="86">
        <v>12300</v>
      </c>
      <c r="M73" s="80">
        <v>0.4</v>
      </c>
      <c r="N73" s="81">
        <v>50</v>
      </c>
      <c r="O73" s="84">
        <v>40.74</v>
      </c>
      <c r="P73" s="94">
        <v>6.9645010279999999</v>
      </c>
      <c r="Q73" s="81">
        <f t="shared" si="0"/>
        <v>5.8496653006740003</v>
      </c>
      <c r="R73" s="81">
        <f t="shared" si="1"/>
        <v>8993860.3997862749</v>
      </c>
      <c r="S73" s="84"/>
      <c r="T73" s="81" t="e">
        <f t="shared" si="3"/>
        <v>#DIV/0!</v>
      </c>
      <c r="U73" s="81" t="e">
        <f>AVERAGE(T71:T73)</f>
        <v>#DIV/0!</v>
      </c>
      <c r="V73" s="81" t="e">
        <f>_xlfn.STDEV.S(T71:T73)</f>
        <v>#DIV/0!</v>
      </c>
      <c r="W73" s="81">
        <f>MAX(K71:K73)-MIN(K71:K73)</f>
        <v>2.1999999999999957</v>
      </c>
      <c r="Y73" s="75"/>
      <c r="Z73" s="2"/>
      <c r="AA73" s="75"/>
      <c r="AB73" s="98"/>
      <c r="AD73" s="88"/>
      <c r="AE73" s="99"/>
      <c r="AF73" s="69"/>
      <c r="AH73" s="15"/>
      <c r="AI73" s="69"/>
      <c r="AJ73" s="69"/>
      <c r="AL73" s="69"/>
      <c r="AM73" s="69"/>
      <c r="AN73" s="69"/>
      <c r="AO73" s="69"/>
      <c r="AQ73" s="75"/>
      <c r="AR73" s="2"/>
      <c r="AS73" s="75"/>
      <c r="AT73" s="98"/>
      <c r="AV73" s="88"/>
      <c r="AW73" s="99"/>
      <c r="AX73" s="69"/>
      <c r="AZ73" s="15"/>
      <c r="BA73" s="69"/>
      <c r="BB73" s="69"/>
      <c r="BD73" s="69"/>
      <c r="BE73" s="69"/>
      <c r="BF73" s="69"/>
      <c r="BG73" s="69"/>
      <c r="BR73" s="88"/>
    </row>
    <row r="74" spans="1:70" x14ac:dyDescent="0.4">
      <c r="A74" s="85" t="s">
        <v>252</v>
      </c>
      <c r="B74" s="92" t="s">
        <v>123</v>
      </c>
      <c r="C74" s="125" t="s">
        <v>1</v>
      </c>
      <c r="D74" s="129" t="s">
        <v>484</v>
      </c>
      <c r="E74" s="129" t="s">
        <v>484</v>
      </c>
      <c r="F74" s="129" t="s">
        <v>484</v>
      </c>
      <c r="G74" s="129" t="s">
        <v>485</v>
      </c>
      <c r="H74" s="129" t="s">
        <v>484</v>
      </c>
      <c r="I74" s="111">
        <v>5.8</v>
      </c>
      <c r="J74" s="77" t="s">
        <v>133</v>
      </c>
      <c r="K74" s="84">
        <v>35</v>
      </c>
      <c r="L74" s="86">
        <v>10800</v>
      </c>
      <c r="M74" s="80">
        <v>0.4</v>
      </c>
      <c r="N74" s="81">
        <v>50</v>
      </c>
      <c r="O74" s="84">
        <v>67.64</v>
      </c>
      <c r="P74" s="94">
        <v>7.3428739140000001</v>
      </c>
      <c r="Q74" s="81">
        <f t="shared" si="0"/>
        <v>9.2116521122658614</v>
      </c>
      <c r="R74" s="81">
        <f t="shared" si="1"/>
        <v>12435730.351558911</v>
      </c>
      <c r="S74" s="84"/>
      <c r="T74" s="81" t="e">
        <f t="shared" si="3"/>
        <v>#DIV/0!</v>
      </c>
      <c r="U74" s="81"/>
      <c r="V74" s="84"/>
      <c r="W74" s="84"/>
      <c r="Y74" s="75"/>
      <c r="Z74" s="2"/>
      <c r="AA74" s="75"/>
      <c r="AB74" s="98"/>
      <c r="AD74" s="88"/>
      <c r="AE74" s="99"/>
      <c r="AF74" s="69"/>
      <c r="AH74" s="15"/>
      <c r="AI74" s="69"/>
      <c r="AJ74" s="69"/>
      <c r="AL74" s="69"/>
      <c r="AM74" s="69"/>
      <c r="AQ74" s="75"/>
      <c r="AR74" s="2"/>
      <c r="AS74" s="75"/>
      <c r="AT74" s="98"/>
      <c r="AV74" s="88"/>
      <c r="AW74" s="99"/>
      <c r="AX74" s="69"/>
      <c r="AZ74" s="15"/>
      <c r="BA74" s="69"/>
      <c r="BB74" s="69"/>
      <c r="BD74" s="69"/>
      <c r="BE74" s="69"/>
      <c r="BR74" s="88"/>
    </row>
    <row r="75" spans="1:70" x14ac:dyDescent="0.4">
      <c r="A75" s="85" t="s">
        <v>253</v>
      </c>
      <c r="B75" s="92" t="s">
        <v>123</v>
      </c>
      <c r="C75" s="125" t="s">
        <v>1</v>
      </c>
      <c r="D75" s="129" t="s">
        <v>484</v>
      </c>
      <c r="E75" s="129" t="s">
        <v>484</v>
      </c>
      <c r="F75" s="129" t="s">
        <v>484</v>
      </c>
      <c r="G75" s="129" t="s">
        <v>485</v>
      </c>
      <c r="H75" s="129" t="s">
        <v>484</v>
      </c>
      <c r="I75" s="111">
        <v>5.8</v>
      </c>
      <c r="J75" s="77" t="s">
        <v>133</v>
      </c>
      <c r="K75" s="84">
        <v>35</v>
      </c>
      <c r="L75" s="86">
        <v>10800</v>
      </c>
      <c r="M75" s="80">
        <v>0.4</v>
      </c>
      <c r="N75" s="81">
        <v>50</v>
      </c>
      <c r="O75" s="84">
        <v>67.64</v>
      </c>
      <c r="P75" s="94">
        <v>7.3428739140000001</v>
      </c>
      <c r="Q75" s="81">
        <f t="shared" ref="Q75:Q138" si="4">O75/P75</f>
        <v>9.2116521122658614</v>
      </c>
      <c r="R75" s="81">
        <f t="shared" ref="R75:R138" si="5">(L75*N75*Q75)/M75</f>
        <v>12435730.351558911</v>
      </c>
      <c r="S75" s="84"/>
      <c r="T75" s="81" t="e">
        <f t="shared" ref="T75:T138" si="6">R75/S75</f>
        <v>#DIV/0!</v>
      </c>
      <c r="U75" s="81"/>
      <c r="V75" s="84"/>
      <c r="W75" s="84"/>
      <c r="Y75" s="75"/>
      <c r="Z75" s="2"/>
      <c r="AA75" s="75"/>
      <c r="AB75" s="98"/>
      <c r="AD75" s="88"/>
      <c r="AE75" s="99"/>
      <c r="AF75" s="69"/>
      <c r="AH75" s="15"/>
      <c r="AI75" s="69"/>
      <c r="AJ75" s="69"/>
      <c r="AL75" s="69"/>
      <c r="AM75" s="69"/>
      <c r="AQ75" s="75"/>
      <c r="AR75" s="2"/>
      <c r="AS75" s="75"/>
      <c r="AT75" s="98"/>
      <c r="AV75" s="88"/>
      <c r="AW75" s="99"/>
      <c r="AX75" s="69"/>
      <c r="AZ75" s="15"/>
      <c r="BA75" s="69"/>
      <c r="BB75" s="69"/>
      <c r="BD75" s="69"/>
      <c r="BE75" s="69"/>
      <c r="BR75" s="88"/>
    </row>
    <row r="76" spans="1:70" x14ac:dyDescent="0.4">
      <c r="A76" s="85" t="s">
        <v>254</v>
      </c>
      <c r="B76" s="92" t="s">
        <v>123</v>
      </c>
      <c r="C76" s="125" t="s">
        <v>1</v>
      </c>
      <c r="D76" s="129" t="s">
        <v>484</v>
      </c>
      <c r="E76" s="129" t="s">
        <v>484</v>
      </c>
      <c r="F76" s="129" t="s">
        <v>484</v>
      </c>
      <c r="G76" s="129" t="s">
        <v>485</v>
      </c>
      <c r="H76" s="129" t="s">
        <v>484</v>
      </c>
      <c r="I76" s="111">
        <v>5.8</v>
      </c>
      <c r="J76" s="77" t="s">
        <v>133</v>
      </c>
      <c r="K76" s="84">
        <v>35</v>
      </c>
      <c r="L76" s="86">
        <v>10800</v>
      </c>
      <c r="M76" s="80">
        <v>0.4</v>
      </c>
      <c r="N76" s="81">
        <v>50</v>
      </c>
      <c r="O76" s="84">
        <v>67.64</v>
      </c>
      <c r="P76" s="94">
        <v>7.3428739140000001</v>
      </c>
      <c r="Q76" s="81">
        <f t="shared" si="4"/>
        <v>9.2116521122658614</v>
      </c>
      <c r="R76" s="81">
        <f t="shared" si="5"/>
        <v>12435730.351558911</v>
      </c>
      <c r="S76" s="84"/>
      <c r="T76" s="81" t="e">
        <f t="shared" si="6"/>
        <v>#DIV/0!</v>
      </c>
      <c r="U76" s="81" t="e">
        <f>AVERAGE(T74:T76)</f>
        <v>#DIV/0!</v>
      </c>
      <c r="V76" s="81" t="e">
        <f>_xlfn.STDEV.S(T74:T76)</f>
        <v>#DIV/0!</v>
      </c>
      <c r="W76" s="81">
        <f>MAX(K74:K76)-MIN(K74:K76)</f>
        <v>0</v>
      </c>
      <c r="Y76" s="75"/>
      <c r="Z76" s="2"/>
      <c r="AA76" s="75"/>
      <c r="AB76" s="98"/>
      <c r="AD76" s="88"/>
      <c r="AE76" s="99"/>
      <c r="AF76" s="69"/>
      <c r="AH76" s="15"/>
      <c r="AI76" s="69"/>
      <c r="AJ76" s="69"/>
      <c r="AL76" s="69"/>
      <c r="AM76" s="69"/>
      <c r="AN76" s="69"/>
      <c r="AO76" s="69"/>
      <c r="AQ76" s="75"/>
      <c r="AR76" s="2"/>
      <c r="AS76" s="75"/>
      <c r="AT76" s="98"/>
      <c r="AV76" s="88"/>
      <c r="AW76" s="99"/>
      <c r="AX76" s="69"/>
      <c r="AZ76" s="15"/>
      <c r="BA76" s="69"/>
      <c r="BB76" s="69"/>
      <c r="BD76" s="69"/>
      <c r="BE76" s="69"/>
      <c r="BF76" s="69"/>
      <c r="BG76" s="69"/>
      <c r="BR76" s="88"/>
    </row>
    <row r="77" spans="1:70" x14ac:dyDescent="0.4">
      <c r="A77" s="85" t="s">
        <v>255</v>
      </c>
      <c r="B77" s="92" t="s">
        <v>124</v>
      </c>
      <c r="C77" s="125" t="s">
        <v>2</v>
      </c>
      <c r="D77" s="129" t="s">
        <v>484</v>
      </c>
      <c r="E77" s="129" t="s">
        <v>485</v>
      </c>
      <c r="F77" s="129" t="s">
        <v>484</v>
      </c>
      <c r="G77" s="129" t="s">
        <v>484</v>
      </c>
      <c r="H77" s="129" t="s">
        <v>484</v>
      </c>
      <c r="I77" s="111">
        <v>5.8</v>
      </c>
      <c r="J77" s="77" t="s">
        <v>133</v>
      </c>
      <c r="K77" s="84">
        <v>32.97</v>
      </c>
      <c r="L77" s="86">
        <v>12600</v>
      </c>
      <c r="M77" s="80">
        <v>0.4</v>
      </c>
      <c r="N77" s="81">
        <v>50</v>
      </c>
      <c r="O77" s="84">
        <v>39.68</v>
      </c>
      <c r="P77" s="94">
        <v>7.8670020550000004</v>
      </c>
      <c r="Q77" s="81">
        <f t="shared" si="4"/>
        <v>5.0438527564360722</v>
      </c>
      <c r="R77" s="81">
        <f t="shared" si="5"/>
        <v>7944068.0913868137</v>
      </c>
      <c r="S77" s="84"/>
      <c r="T77" s="81" t="e">
        <f t="shared" si="6"/>
        <v>#DIV/0!</v>
      </c>
      <c r="U77" s="81"/>
      <c r="V77" s="84"/>
      <c r="W77" s="84"/>
      <c r="Y77" s="75"/>
      <c r="Z77" s="2"/>
      <c r="AA77" s="75"/>
      <c r="AB77" s="98"/>
      <c r="AD77" s="88"/>
      <c r="AE77" s="99"/>
      <c r="AF77" s="69"/>
      <c r="AH77" s="15"/>
      <c r="AI77" s="69"/>
      <c r="AJ77" s="69"/>
      <c r="AL77" s="69"/>
      <c r="AM77" s="69"/>
      <c r="AQ77" s="75"/>
      <c r="AR77" s="75"/>
      <c r="AS77" s="75"/>
      <c r="AT77" s="98"/>
      <c r="AW77" s="99"/>
      <c r="AZ77" s="15"/>
      <c r="BA77" s="69"/>
      <c r="BB77" s="69"/>
      <c r="BD77" s="69"/>
      <c r="BE77" s="69"/>
      <c r="BR77" s="88"/>
    </row>
    <row r="78" spans="1:70" x14ac:dyDescent="0.4">
      <c r="A78" s="85" t="s">
        <v>256</v>
      </c>
      <c r="B78" s="92" t="s">
        <v>124</v>
      </c>
      <c r="C78" s="125" t="s">
        <v>2</v>
      </c>
      <c r="D78" s="129" t="s">
        <v>484</v>
      </c>
      <c r="E78" s="129" t="s">
        <v>485</v>
      </c>
      <c r="F78" s="129" t="s">
        <v>484</v>
      </c>
      <c r="G78" s="129" t="s">
        <v>484</v>
      </c>
      <c r="H78" s="129" t="s">
        <v>484</v>
      </c>
      <c r="I78" s="111">
        <v>5.8</v>
      </c>
      <c r="J78" s="77" t="s">
        <v>133</v>
      </c>
      <c r="K78" s="84">
        <v>33.19</v>
      </c>
      <c r="L78" s="86">
        <v>12300</v>
      </c>
      <c r="M78" s="80">
        <v>0.4</v>
      </c>
      <c r="N78" s="81">
        <v>50</v>
      </c>
      <c r="O78" s="84">
        <v>39.68</v>
      </c>
      <c r="P78" s="94">
        <v>7.8670020550000004</v>
      </c>
      <c r="Q78" s="81">
        <f t="shared" si="4"/>
        <v>5.0438527564360722</v>
      </c>
      <c r="R78" s="81">
        <f t="shared" si="5"/>
        <v>7754923.6130204611</v>
      </c>
      <c r="S78" s="84"/>
      <c r="T78" s="81" t="e">
        <f t="shared" si="6"/>
        <v>#DIV/0!</v>
      </c>
      <c r="U78" s="81"/>
      <c r="V78" s="84"/>
      <c r="W78" s="84"/>
      <c r="Y78" s="75"/>
      <c r="Z78" s="2"/>
      <c r="AA78" s="75"/>
      <c r="AB78" s="98"/>
      <c r="AD78" s="88"/>
      <c r="AE78" s="99"/>
      <c r="AF78" s="69"/>
      <c r="AH78" s="15"/>
      <c r="AI78" s="69"/>
      <c r="AJ78" s="69"/>
      <c r="AL78" s="69"/>
      <c r="AM78" s="69"/>
      <c r="AQ78" s="75"/>
      <c r="AR78" s="75"/>
      <c r="AS78" s="75"/>
      <c r="AT78" s="98"/>
      <c r="AW78" s="99"/>
      <c r="AZ78" s="15"/>
      <c r="BA78" s="69"/>
      <c r="BB78" s="69"/>
      <c r="BD78" s="69"/>
      <c r="BE78" s="69"/>
      <c r="BR78" s="88"/>
    </row>
    <row r="79" spans="1:70" x14ac:dyDescent="0.4">
      <c r="A79" s="85" t="s">
        <v>257</v>
      </c>
      <c r="B79" s="92" t="s">
        <v>124</v>
      </c>
      <c r="C79" s="125" t="s">
        <v>2</v>
      </c>
      <c r="D79" s="129" t="s">
        <v>484</v>
      </c>
      <c r="E79" s="129" t="s">
        <v>485</v>
      </c>
      <c r="F79" s="129" t="s">
        <v>484</v>
      </c>
      <c r="G79" s="129" t="s">
        <v>484</v>
      </c>
      <c r="H79" s="129" t="s">
        <v>484</v>
      </c>
      <c r="I79" s="111">
        <v>5.8</v>
      </c>
      <c r="J79" s="77" t="s">
        <v>133</v>
      </c>
      <c r="K79" s="84">
        <v>31.61</v>
      </c>
      <c r="L79" s="86">
        <v>14900</v>
      </c>
      <c r="M79" s="80">
        <v>0.4</v>
      </c>
      <c r="N79" s="81">
        <v>50</v>
      </c>
      <c r="O79" s="84">
        <v>39.68</v>
      </c>
      <c r="P79" s="94">
        <v>7.8670020550000004</v>
      </c>
      <c r="Q79" s="81">
        <f t="shared" si="4"/>
        <v>5.0438527564360722</v>
      </c>
      <c r="R79" s="81">
        <f t="shared" si="5"/>
        <v>9394175.7588621844</v>
      </c>
      <c r="S79" s="84"/>
      <c r="T79" s="81" t="e">
        <f t="shared" si="6"/>
        <v>#DIV/0!</v>
      </c>
      <c r="U79" s="81" t="e">
        <f>AVERAGE(T77:T79)</f>
        <v>#DIV/0!</v>
      </c>
      <c r="V79" s="81" t="e">
        <f>_xlfn.STDEV.S(T77:T79)</f>
        <v>#DIV/0!</v>
      </c>
      <c r="W79" s="81">
        <f>MAX(K77:K79)-MIN(K77:K79)</f>
        <v>1.5799999999999983</v>
      </c>
      <c r="Y79" s="75"/>
      <c r="Z79" s="2"/>
      <c r="AA79" s="75"/>
      <c r="AB79" s="98"/>
      <c r="AD79" s="88"/>
      <c r="AE79" s="99"/>
      <c r="AF79" s="69"/>
      <c r="AH79" s="15"/>
      <c r="AI79" s="69"/>
      <c r="AJ79" s="69"/>
      <c r="AL79" s="69"/>
      <c r="AM79" s="69"/>
      <c r="AN79" s="69"/>
      <c r="AO79" s="69"/>
      <c r="AQ79" s="75"/>
      <c r="AR79" s="75"/>
      <c r="AS79" s="75"/>
      <c r="AT79" s="98"/>
      <c r="AW79" s="99"/>
      <c r="AZ79" s="15"/>
      <c r="BA79" s="69"/>
      <c r="BB79" s="69"/>
      <c r="BD79" s="69"/>
      <c r="BE79" s="69"/>
      <c r="BF79" s="69"/>
      <c r="BG79" s="69"/>
    </row>
    <row r="80" spans="1:70" x14ac:dyDescent="0.4">
      <c r="A80" s="85" t="s">
        <v>258</v>
      </c>
      <c r="B80" s="92" t="s">
        <v>125</v>
      </c>
      <c r="C80" s="125" t="s">
        <v>3</v>
      </c>
      <c r="D80" s="129" t="s">
        <v>484</v>
      </c>
      <c r="E80" s="129" t="s">
        <v>485</v>
      </c>
      <c r="F80" s="129" t="s">
        <v>484</v>
      </c>
      <c r="G80" s="129" t="s">
        <v>485</v>
      </c>
      <c r="H80" s="129" t="s">
        <v>484</v>
      </c>
      <c r="I80" s="111">
        <v>5.8</v>
      </c>
      <c r="J80" s="77" t="s">
        <v>133</v>
      </c>
      <c r="K80" s="84">
        <v>31.98</v>
      </c>
      <c r="L80" s="86">
        <v>14200</v>
      </c>
      <c r="M80" s="80">
        <v>0.4</v>
      </c>
      <c r="N80" s="81">
        <v>50</v>
      </c>
      <c r="O80" s="84">
        <v>46.37</v>
      </c>
      <c r="P80" s="94">
        <v>8.8434422589999997</v>
      </c>
      <c r="Q80" s="81">
        <f t="shared" si="4"/>
        <v>5.243433342125245</v>
      </c>
      <c r="R80" s="81">
        <f t="shared" si="5"/>
        <v>9307094.1822723094</v>
      </c>
      <c r="S80" s="84"/>
      <c r="T80" s="81" t="e">
        <f t="shared" si="6"/>
        <v>#DIV/0!</v>
      </c>
      <c r="U80" s="81"/>
      <c r="V80" s="84"/>
      <c r="W80" s="84"/>
      <c r="Y80" s="75"/>
      <c r="Z80" s="2"/>
      <c r="AA80" s="75"/>
      <c r="AB80" s="98"/>
      <c r="AD80" s="88"/>
      <c r="AE80" s="99"/>
      <c r="AF80" s="69"/>
      <c r="AH80" s="15"/>
      <c r="AI80" s="69"/>
      <c r="AJ80" s="69"/>
      <c r="AL80" s="69"/>
      <c r="AM80" s="69"/>
      <c r="AQ80" s="75"/>
      <c r="AR80" s="2"/>
      <c r="AS80" s="75"/>
      <c r="AT80" s="98"/>
      <c r="AV80" s="88"/>
      <c r="AW80" s="99"/>
      <c r="AZ80" s="15"/>
      <c r="BA80" s="69"/>
      <c r="BB80" s="69"/>
      <c r="BD80" s="69"/>
      <c r="BE80" s="69"/>
    </row>
    <row r="81" spans="1:70" x14ac:dyDescent="0.4">
      <c r="A81" s="85" t="s">
        <v>259</v>
      </c>
      <c r="B81" s="92" t="s">
        <v>125</v>
      </c>
      <c r="C81" s="125" t="s">
        <v>3</v>
      </c>
      <c r="D81" s="129" t="s">
        <v>484</v>
      </c>
      <c r="E81" s="129" t="s">
        <v>485</v>
      </c>
      <c r="F81" s="129" t="s">
        <v>484</v>
      </c>
      <c r="G81" s="129" t="s">
        <v>485</v>
      </c>
      <c r="H81" s="129" t="s">
        <v>484</v>
      </c>
      <c r="I81" s="111">
        <v>5.8</v>
      </c>
      <c r="J81" s="77" t="s">
        <v>133</v>
      </c>
      <c r="K81" s="84">
        <v>32.909999999999997</v>
      </c>
      <c r="L81" s="86">
        <v>12700</v>
      </c>
      <c r="M81" s="80">
        <v>0.4</v>
      </c>
      <c r="N81" s="81">
        <v>50</v>
      </c>
      <c r="O81" s="84">
        <v>46.37</v>
      </c>
      <c r="P81" s="94">
        <v>8.8434422589999997</v>
      </c>
      <c r="Q81" s="81">
        <f t="shared" si="4"/>
        <v>5.243433342125245</v>
      </c>
      <c r="R81" s="81">
        <f t="shared" si="5"/>
        <v>8323950.4306238256</v>
      </c>
      <c r="S81" s="84"/>
      <c r="T81" s="81" t="e">
        <f t="shared" si="6"/>
        <v>#DIV/0!</v>
      </c>
      <c r="U81" s="81"/>
      <c r="V81" s="84"/>
      <c r="W81" s="84"/>
      <c r="Y81" s="75"/>
      <c r="Z81" s="2"/>
      <c r="AA81" s="75"/>
      <c r="AB81" s="98"/>
      <c r="AD81" s="88"/>
      <c r="AE81" s="99"/>
      <c r="AF81" s="69"/>
      <c r="AH81" s="15"/>
      <c r="AI81" s="69"/>
      <c r="AJ81" s="69"/>
      <c r="AL81" s="69"/>
      <c r="AM81" s="69"/>
      <c r="AQ81" s="75"/>
      <c r="AR81" s="2"/>
      <c r="AS81" s="75"/>
      <c r="AT81" s="98"/>
      <c r="AV81" s="88"/>
      <c r="AW81" s="99"/>
      <c r="AZ81" s="15"/>
      <c r="BA81" s="69"/>
      <c r="BB81" s="69"/>
      <c r="BD81" s="69"/>
      <c r="BE81" s="69"/>
    </row>
    <row r="82" spans="1:70" x14ac:dyDescent="0.4">
      <c r="A82" s="85" t="s">
        <v>260</v>
      </c>
      <c r="B82" s="92" t="s">
        <v>125</v>
      </c>
      <c r="C82" s="125" t="s">
        <v>3</v>
      </c>
      <c r="D82" s="129" t="s">
        <v>484</v>
      </c>
      <c r="E82" s="129" t="s">
        <v>485</v>
      </c>
      <c r="F82" s="129" t="s">
        <v>484</v>
      </c>
      <c r="G82" s="129" t="s">
        <v>485</v>
      </c>
      <c r="H82" s="129" t="s">
        <v>484</v>
      </c>
      <c r="I82" s="111">
        <v>5.8</v>
      </c>
      <c r="J82" s="77" t="s">
        <v>133</v>
      </c>
      <c r="K82" s="84">
        <v>32.67</v>
      </c>
      <c r="L82" s="86">
        <v>13000</v>
      </c>
      <c r="M82" s="80">
        <v>0.4</v>
      </c>
      <c r="N82" s="81">
        <v>50</v>
      </c>
      <c r="O82" s="84">
        <v>46.37</v>
      </c>
      <c r="P82" s="94">
        <v>8.8434422589999997</v>
      </c>
      <c r="Q82" s="81">
        <f t="shared" si="4"/>
        <v>5.243433342125245</v>
      </c>
      <c r="R82" s="81">
        <f t="shared" si="5"/>
        <v>8520579.1809535231</v>
      </c>
      <c r="S82" s="84"/>
      <c r="T82" s="81" t="e">
        <f t="shared" si="6"/>
        <v>#DIV/0!</v>
      </c>
      <c r="U82" s="81" t="e">
        <f>AVERAGE(T80:T82)</f>
        <v>#DIV/0!</v>
      </c>
      <c r="V82" s="81" t="e">
        <f>_xlfn.STDEV.S(T80:T82)</f>
        <v>#DIV/0!</v>
      </c>
      <c r="W82" s="81">
        <f>MAX(K80:K82)-MIN(K80:K82)</f>
        <v>0.92999999999999616</v>
      </c>
      <c r="Y82" s="75"/>
      <c r="Z82" s="2"/>
      <c r="AA82" s="75"/>
      <c r="AB82" s="98"/>
      <c r="AD82" s="88"/>
      <c r="AE82" s="99"/>
      <c r="AF82" s="69"/>
      <c r="AH82" s="15"/>
      <c r="AI82" s="69"/>
      <c r="AJ82" s="69"/>
      <c r="AL82" s="69"/>
      <c r="AM82" s="69"/>
      <c r="AN82" s="69"/>
      <c r="AO82" s="69"/>
      <c r="AQ82" s="75"/>
      <c r="AR82" s="2"/>
      <c r="AS82" s="75"/>
      <c r="AT82" s="98"/>
      <c r="AV82" s="88"/>
      <c r="AW82" s="99"/>
      <c r="AZ82" s="15"/>
      <c r="BA82" s="69"/>
      <c r="BB82" s="69"/>
      <c r="BD82" s="69"/>
      <c r="BE82" s="69"/>
      <c r="BF82" s="69"/>
      <c r="BG82" s="69"/>
      <c r="BR82" s="88"/>
    </row>
    <row r="83" spans="1:70" x14ac:dyDescent="0.4">
      <c r="A83" s="85" t="s">
        <v>261</v>
      </c>
      <c r="B83" s="92" t="s">
        <v>134</v>
      </c>
      <c r="C83" s="127" t="s">
        <v>480</v>
      </c>
      <c r="D83" s="131"/>
      <c r="E83" s="131"/>
      <c r="F83" s="131"/>
      <c r="G83" s="131"/>
      <c r="H83" s="131"/>
      <c r="I83" s="111" t="s">
        <v>480</v>
      </c>
      <c r="J83" s="77" t="s">
        <v>81</v>
      </c>
      <c r="K83" s="84">
        <v>33.51</v>
      </c>
      <c r="L83" s="86">
        <v>11900</v>
      </c>
      <c r="M83" s="80">
        <v>0.4</v>
      </c>
      <c r="N83" s="81">
        <v>50</v>
      </c>
      <c r="O83" s="84">
        <v>7.19</v>
      </c>
      <c r="P83" s="94">
        <v>6.316494767</v>
      </c>
      <c r="Q83" s="81">
        <f t="shared" si="4"/>
        <v>1.138289552231335</v>
      </c>
      <c r="R83" s="81">
        <f t="shared" si="5"/>
        <v>1693205.7089441107</v>
      </c>
      <c r="S83" s="84"/>
      <c r="T83" s="81" t="e">
        <f t="shared" si="6"/>
        <v>#DIV/0!</v>
      </c>
      <c r="U83" s="81"/>
      <c r="V83" s="84"/>
      <c r="W83" s="84"/>
      <c r="Y83" s="75"/>
      <c r="Z83" s="2"/>
      <c r="AA83" s="75"/>
      <c r="AB83" s="98"/>
      <c r="AD83" s="88"/>
      <c r="AE83" s="99"/>
      <c r="AF83" s="69"/>
      <c r="AH83" s="15"/>
      <c r="AI83" s="69"/>
      <c r="AJ83" s="69"/>
      <c r="AL83" s="69"/>
      <c r="AM83" s="69"/>
      <c r="AQ83" s="75"/>
      <c r="AR83" s="2"/>
      <c r="AS83" s="75"/>
      <c r="AT83" s="98"/>
      <c r="AV83" s="88"/>
      <c r="AW83" s="99"/>
      <c r="AX83" s="69"/>
      <c r="AZ83" s="15"/>
      <c r="BA83" s="69"/>
      <c r="BB83" s="69"/>
      <c r="BD83" s="69"/>
      <c r="BE83" s="69"/>
      <c r="BL83" s="93"/>
      <c r="BR83" s="88"/>
    </row>
    <row r="84" spans="1:70" x14ac:dyDescent="0.4">
      <c r="A84" s="85" t="s">
        <v>262</v>
      </c>
      <c r="B84" s="92" t="s">
        <v>134</v>
      </c>
      <c r="C84" s="127" t="s">
        <v>480</v>
      </c>
      <c r="D84" s="131"/>
      <c r="E84" s="131"/>
      <c r="F84" s="131"/>
      <c r="G84" s="131"/>
      <c r="H84" s="131"/>
      <c r="I84" s="111" t="s">
        <v>480</v>
      </c>
      <c r="J84" s="77" t="s">
        <v>81</v>
      </c>
      <c r="K84" s="84">
        <v>33.47</v>
      </c>
      <c r="L84" s="86">
        <v>12000</v>
      </c>
      <c r="M84" s="80">
        <v>0.4</v>
      </c>
      <c r="N84" s="81">
        <v>50</v>
      </c>
      <c r="O84" s="84">
        <v>7.19</v>
      </c>
      <c r="P84" s="94">
        <v>6.316494767</v>
      </c>
      <c r="Q84" s="81">
        <f t="shared" si="4"/>
        <v>1.138289552231335</v>
      </c>
      <c r="R84" s="81">
        <f t="shared" si="5"/>
        <v>1707434.3283470024</v>
      </c>
      <c r="S84" s="84"/>
      <c r="T84" s="81" t="e">
        <f t="shared" si="6"/>
        <v>#DIV/0!</v>
      </c>
      <c r="U84" s="81"/>
      <c r="V84" s="84"/>
      <c r="W84" s="84"/>
      <c r="Y84" s="75"/>
      <c r="Z84" s="2"/>
      <c r="AA84" s="75"/>
      <c r="AB84" s="98"/>
      <c r="AD84" s="88"/>
      <c r="AE84" s="99"/>
      <c r="AF84" s="69"/>
      <c r="AH84" s="15"/>
      <c r="AI84" s="69"/>
      <c r="AJ84" s="69"/>
      <c r="AL84" s="69"/>
      <c r="AM84" s="69"/>
      <c r="AQ84" s="75"/>
      <c r="AR84" s="2"/>
      <c r="AS84" s="75"/>
      <c r="AT84" s="98"/>
      <c r="AV84" s="88"/>
      <c r="AW84" s="99"/>
      <c r="AX84" s="69"/>
      <c r="AZ84" s="15"/>
      <c r="BA84" s="69"/>
      <c r="BB84" s="69"/>
      <c r="BD84" s="69"/>
      <c r="BE84" s="69"/>
      <c r="BR84" s="88"/>
    </row>
    <row r="85" spans="1:70" x14ac:dyDescent="0.4">
      <c r="A85" s="85" t="s">
        <v>263</v>
      </c>
      <c r="B85" s="92" t="s">
        <v>134</v>
      </c>
      <c r="C85" s="127" t="s">
        <v>480</v>
      </c>
      <c r="D85" s="131"/>
      <c r="E85" s="131"/>
      <c r="F85" s="131"/>
      <c r="G85" s="131"/>
      <c r="H85" s="131"/>
      <c r="I85" s="111" t="s">
        <v>480</v>
      </c>
      <c r="J85" s="77" t="s">
        <v>81</v>
      </c>
      <c r="K85" s="84">
        <v>31.7</v>
      </c>
      <c r="L85" s="86">
        <v>14700</v>
      </c>
      <c r="M85" s="80">
        <v>0.4</v>
      </c>
      <c r="N85" s="81">
        <v>50</v>
      </c>
      <c r="O85" s="84">
        <v>7.19</v>
      </c>
      <c r="P85" s="94">
        <v>6.316494767</v>
      </c>
      <c r="Q85" s="81">
        <f t="shared" si="4"/>
        <v>1.138289552231335</v>
      </c>
      <c r="R85" s="81">
        <f t="shared" si="5"/>
        <v>2091607.0522250778</v>
      </c>
      <c r="S85" s="84"/>
      <c r="T85" s="81" t="e">
        <f t="shared" si="6"/>
        <v>#DIV/0!</v>
      </c>
      <c r="U85" s="81" t="e">
        <f>AVERAGE(T83:T85)</f>
        <v>#DIV/0!</v>
      </c>
      <c r="V85" s="81" t="e">
        <f>_xlfn.STDEV.S(T83:T85)</f>
        <v>#DIV/0!</v>
      </c>
      <c r="W85" s="81">
        <f>MAX(K83:K85)-MIN(K83:K85)</f>
        <v>1.8099999999999987</v>
      </c>
      <c r="Y85" s="75"/>
      <c r="Z85" s="2"/>
      <c r="AA85" s="75"/>
      <c r="AB85" s="98"/>
      <c r="AD85" s="88"/>
      <c r="AE85" s="99"/>
      <c r="AF85" s="69"/>
      <c r="AH85" s="15"/>
      <c r="AI85" s="69"/>
      <c r="AJ85" s="69"/>
      <c r="AL85" s="69"/>
      <c r="AM85" s="69"/>
      <c r="AN85" s="69"/>
      <c r="AO85" s="69"/>
      <c r="AQ85" s="75"/>
      <c r="AR85" s="2"/>
      <c r="AS85" s="75"/>
      <c r="AT85" s="98"/>
      <c r="AV85" s="88"/>
      <c r="AW85" s="99"/>
      <c r="AX85" s="69"/>
      <c r="AZ85" s="15"/>
      <c r="BA85" s="69"/>
      <c r="BB85" s="69"/>
      <c r="BD85" s="69"/>
      <c r="BE85" s="69"/>
      <c r="BF85" s="69"/>
      <c r="BG85" s="69"/>
      <c r="BR85" s="88"/>
    </row>
    <row r="86" spans="1:70" x14ac:dyDescent="0.4">
      <c r="A86" s="85" t="s">
        <v>264</v>
      </c>
      <c r="B86" s="92" t="s">
        <v>134</v>
      </c>
      <c r="C86" s="127" t="s">
        <v>480</v>
      </c>
      <c r="D86" s="131"/>
      <c r="E86" s="131"/>
      <c r="F86" s="131"/>
      <c r="G86" s="131"/>
      <c r="H86" s="131"/>
      <c r="I86" s="111" t="s">
        <v>480</v>
      </c>
      <c r="J86" s="77" t="s">
        <v>81</v>
      </c>
      <c r="K86" s="84">
        <v>32.4</v>
      </c>
      <c r="L86" s="86">
        <v>13400</v>
      </c>
      <c r="M86" s="80">
        <v>0.4</v>
      </c>
      <c r="N86" s="81">
        <v>50</v>
      </c>
      <c r="O86" s="84">
        <v>4.93</v>
      </c>
      <c r="P86" s="94">
        <v>4.1325659730000002</v>
      </c>
      <c r="Q86" s="81">
        <f t="shared" si="4"/>
        <v>1.1929634111614942</v>
      </c>
      <c r="R86" s="81">
        <f t="shared" si="5"/>
        <v>1998213.7136955026</v>
      </c>
      <c r="S86" s="84"/>
      <c r="T86" s="81" t="e">
        <f t="shared" si="6"/>
        <v>#DIV/0!</v>
      </c>
      <c r="U86" s="81"/>
      <c r="V86" s="84"/>
      <c r="W86" s="84"/>
      <c r="Y86" s="75"/>
      <c r="Z86" s="2"/>
      <c r="AA86" s="75"/>
      <c r="AB86" s="98"/>
      <c r="AD86" s="88"/>
      <c r="AE86" s="99"/>
      <c r="AF86" s="69"/>
      <c r="AH86" s="15"/>
      <c r="AI86" s="69"/>
      <c r="AJ86" s="69"/>
      <c r="AL86" s="69"/>
      <c r="AM86" s="69"/>
      <c r="AQ86" s="75"/>
      <c r="AR86" s="2"/>
      <c r="AS86" s="75"/>
      <c r="AT86" s="98"/>
      <c r="AV86" s="88"/>
      <c r="AW86" s="99"/>
      <c r="AX86" s="69"/>
      <c r="AZ86" s="15"/>
      <c r="BA86" s="69"/>
      <c r="BB86" s="69"/>
      <c r="BD86" s="69"/>
      <c r="BE86" s="69"/>
      <c r="BR86" s="88"/>
    </row>
    <row r="87" spans="1:70" x14ac:dyDescent="0.4">
      <c r="A87" s="85" t="s">
        <v>265</v>
      </c>
      <c r="B87" s="92" t="s">
        <v>134</v>
      </c>
      <c r="C87" s="127" t="s">
        <v>480</v>
      </c>
      <c r="D87" s="131"/>
      <c r="E87" s="131"/>
      <c r="F87" s="131"/>
      <c r="G87" s="131"/>
      <c r="H87" s="131"/>
      <c r="I87" s="111" t="s">
        <v>480</v>
      </c>
      <c r="J87" s="77" t="s">
        <v>81</v>
      </c>
      <c r="K87" s="84">
        <v>33.42</v>
      </c>
      <c r="L87" s="86">
        <v>12000</v>
      </c>
      <c r="M87" s="80">
        <v>0.4</v>
      </c>
      <c r="N87" s="81">
        <v>50</v>
      </c>
      <c r="O87" s="84">
        <v>4.93</v>
      </c>
      <c r="P87" s="94">
        <v>4.1325659730000002</v>
      </c>
      <c r="Q87" s="81">
        <f t="shared" si="4"/>
        <v>1.1929634111614942</v>
      </c>
      <c r="R87" s="81">
        <f t="shared" si="5"/>
        <v>1789445.1167422412</v>
      </c>
      <c r="S87" s="84"/>
      <c r="T87" s="81" t="e">
        <f t="shared" si="6"/>
        <v>#DIV/0!</v>
      </c>
      <c r="U87" s="81"/>
      <c r="V87" s="84"/>
      <c r="W87" s="84"/>
      <c r="Y87" s="75"/>
      <c r="Z87" s="2"/>
      <c r="AA87" s="75"/>
      <c r="AB87" s="98"/>
      <c r="AD87" s="88"/>
      <c r="AE87" s="99"/>
      <c r="AF87" s="69"/>
      <c r="AH87" s="15"/>
      <c r="AI87" s="69"/>
      <c r="AJ87" s="69"/>
      <c r="AL87" s="69"/>
      <c r="AM87" s="69"/>
      <c r="AQ87" s="75"/>
      <c r="AR87" s="2"/>
      <c r="AS87" s="75"/>
      <c r="AT87" s="98"/>
      <c r="AV87" s="88"/>
      <c r="AW87" s="99"/>
      <c r="AX87" s="69"/>
      <c r="AZ87" s="15"/>
      <c r="BA87" s="69"/>
      <c r="BB87" s="69"/>
      <c r="BD87" s="69"/>
      <c r="BE87" s="69"/>
      <c r="BR87" s="88"/>
    </row>
    <row r="88" spans="1:70" x14ac:dyDescent="0.4">
      <c r="A88" s="85" t="s">
        <v>266</v>
      </c>
      <c r="B88" s="92" t="s">
        <v>134</v>
      </c>
      <c r="C88" s="127" t="s">
        <v>480</v>
      </c>
      <c r="D88" s="131"/>
      <c r="E88" s="131"/>
      <c r="F88" s="131"/>
      <c r="G88" s="131"/>
      <c r="H88" s="131"/>
      <c r="I88" s="111" t="s">
        <v>480</v>
      </c>
      <c r="J88" s="77" t="s">
        <v>81</v>
      </c>
      <c r="K88" s="84">
        <v>34.130000000000003</v>
      </c>
      <c r="L88" s="86">
        <v>11300</v>
      </c>
      <c r="M88" s="80">
        <v>0.4</v>
      </c>
      <c r="N88" s="81">
        <v>50</v>
      </c>
      <c r="O88" s="84">
        <v>4.93</v>
      </c>
      <c r="P88" s="94">
        <v>4.1325659730000002</v>
      </c>
      <c r="Q88" s="81">
        <f t="shared" si="4"/>
        <v>1.1929634111614942</v>
      </c>
      <c r="R88" s="81">
        <f t="shared" si="5"/>
        <v>1685060.8182656104</v>
      </c>
      <c r="S88" s="84"/>
      <c r="T88" s="81" t="e">
        <f t="shared" si="6"/>
        <v>#DIV/0!</v>
      </c>
      <c r="U88" s="81" t="e">
        <f>AVERAGE(T86:T88)</f>
        <v>#DIV/0!</v>
      </c>
      <c r="V88" s="81" t="e">
        <f>_xlfn.STDEV.S(T86:T88)</f>
        <v>#DIV/0!</v>
      </c>
      <c r="W88" s="81">
        <f>MAX(K86:K88)-MIN(K86:K88)</f>
        <v>1.730000000000004</v>
      </c>
      <c r="Y88" s="75"/>
      <c r="Z88" s="2"/>
      <c r="AA88" s="75"/>
      <c r="AB88" s="98"/>
      <c r="AD88" s="88"/>
      <c r="AE88" s="99"/>
      <c r="AF88" s="69"/>
      <c r="AH88" s="15"/>
      <c r="AI88" s="69"/>
      <c r="AJ88" s="69"/>
      <c r="AL88" s="69"/>
      <c r="AM88" s="69"/>
      <c r="AN88" s="69"/>
      <c r="AO88" s="69"/>
      <c r="AQ88" s="75"/>
      <c r="AR88" s="2"/>
      <c r="AS88" s="75"/>
      <c r="AT88" s="98"/>
      <c r="AV88" s="88"/>
      <c r="AW88" s="99"/>
      <c r="AX88" s="69"/>
      <c r="AZ88" s="15"/>
      <c r="BA88" s="69"/>
      <c r="BB88" s="69"/>
      <c r="BD88" s="69"/>
      <c r="BE88" s="69"/>
      <c r="BF88" s="69"/>
      <c r="BG88" s="69"/>
      <c r="BL88" s="93"/>
      <c r="BR88" s="88"/>
    </row>
    <row r="89" spans="1:70" x14ac:dyDescent="0.4">
      <c r="A89" s="85" t="s">
        <v>267</v>
      </c>
      <c r="B89" s="92" t="s">
        <v>135</v>
      </c>
      <c r="C89" s="127" t="s">
        <v>480</v>
      </c>
      <c r="D89" s="131"/>
      <c r="E89" s="131"/>
      <c r="F89" s="131"/>
      <c r="G89" s="131"/>
      <c r="H89" s="131"/>
      <c r="I89" s="111" t="s">
        <v>480</v>
      </c>
      <c r="J89" s="77" t="s">
        <v>132</v>
      </c>
      <c r="K89" s="84">
        <v>34.96</v>
      </c>
      <c r="L89" s="86">
        <v>10800</v>
      </c>
      <c r="M89" s="80">
        <v>0.4</v>
      </c>
      <c r="N89" s="81">
        <v>50</v>
      </c>
      <c r="O89" s="84">
        <v>14.65</v>
      </c>
      <c r="P89" s="94">
        <v>6.709913952</v>
      </c>
      <c r="Q89" s="81">
        <f t="shared" si="4"/>
        <v>2.1833364935526971</v>
      </c>
      <c r="R89" s="81">
        <f t="shared" si="5"/>
        <v>2947504.2662961408</v>
      </c>
      <c r="S89" s="84"/>
      <c r="T89" s="81" t="e">
        <f t="shared" si="6"/>
        <v>#DIV/0!</v>
      </c>
      <c r="U89" s="81"/>
      <c r="V89" s="84"/>
      <c r="W89" s="84"/>
      <c r="Y89" s="75"/>
      <c r="Z89" s="2"/>
      <c r="AA89" s="75"/>
      <c r="AB89" s="98"/>
      <c r="AD89" s="88"/>
      <c r="AE89" s="99"/>
      <c r="AF89" s="69"/>
      <c r="AH89" s="15"/>
      <c r="AI89" s="69"/>
      <c r="AJ89" s="69"/>
      <c r="AL89" s="69"/>
      <c r="AM89" s="69"/>
      <c r="AQ89" s="75"/>
      <c r="AR89" s="2"/>
      <c r="AS89" s="75"/>
      <c r="AT89" s="98"/>
      <c r="AV89" s="88"/>
      <c r="AW89" s="99"/>
      <c r="AX89" s="69"/>
      <c r="AY89" s="15"/>
      <c r="AZ89" s="15"/>
      <c r="BA89" s="69"/>
      <c r="BB89" s="69"/>
      <c r="BD89" s="69"/>
      <c r="BE89" s="69"/>
      <c r="BR89" s="88"/>
    </row>
    <row r="90" spans="1:70" x14ac:dyDescent="0.4">
      <c r="A90" s="85" t="s">
        <v>268</v>
      </c>
      <c r="B90" s="92" t="s">
        <v>135</v>
      </c>
      <c r="C90" s="127" t="s">
        <v>480</v>
      </c>
      <c r="D90" s="131"/>
      <c r="E90" s="131"/>
      <c r="F90" s="131"/>
      <c r="G90" s="131"/>
      <c r="H90" s="131"/>
      <c r="I90" s="111" t="s">
        <v>480</v>
      </c>
      <c r="J90" s="77" t="s">
        <v>132</v>
      </c>
      <c r="K90" s="84">
        <v>31.18</v>
      </c>
      <c r="L90" s="86">
        <v>15900</v>
      </c>
      <c r="M90" s="80">
        <v>0.4</v>
      </c>
      <c r="N90" s="81">
        <v>50</v>
      </c>
      <c r="O90" s="84">
        <v>14.65</v>
      </c>
      <c r="P90" s="94">
        <v>6.709913952</v>
      </c>
      <c r="Q90" s="81">
        <f t="shared" si="4"/>
        <v>2.1833364935526971</v>
      </c>
      <c r="R90" s="81">
        <f t="shared" si="5"/>
        <v>4339381.280935985</v>
      </c>
      <c r="S90" s="84"/>
      <c r="T90" s="81" t="e">
        <f t="shared" si="6"/>
        <v>#DIV/0!</v>
      </c>
      <c r="U90" s="81"/>
      <c r="V90" s="84"/>
      <c r="W90" s="84"/>
      <c r="Y90" s="75"/>
      <c r="Z90" s="2"/>
      <c r="AA90" s="75"/>
      <c r="AB90" s="98"/>
      <c r="AD90" s="88"/>
      <c r="AE90" s="99"/>
      <c r="AF90" s="69"/>
      <c r="AH90" s="15"/>
      <c r="AI90" s="69"/>
      <c r="AJ90" s="69"/>
      <c r="AL90" s="69"/>
      <c r="AM90" s="69"/>
      <c r="AQ90" s="75"/>
      <c r="AR90" s="2"/>
      <c r="AS90" s="75"/>
      <c r="AT90" s="98"/>
      <c r="AV90" s="88"/>
      <c r="AW90" s="99"/>
      <c r="AX90" s="69"/>
      <c r="AY90" s="15"/>
      <c r="AZ90" s="15"/>
      <c r="BA90" s="69"/>
      <c r="BB90" s="69"/>
      <c r="BD90" s="69"/>
      <c r="BE90" s="69"/>
      <c r="BL90" s="93"/>
      <c r="BR90" s="88"/>
    </row>
    <row r="91" spans="1:70" x14ac:dyDescent="0.4">
      <c r="A91" s="85" t="s">
        <v>269</v>
      </c>
      <c r="B91" s="92" t="s">
        <v>135</v>
      </c>
      <c r="C91" s="127" t="s">
        <v>480</v>
      </c>
      <c r="D91" s="131"/>
      <c r="E91" s="131"/>
      <c r="F91" s="131"/>
      <c r="G91" s="131"/>
      <c r="H91" s="131"/>
      <c r="I91" s="111" t="s">
        <v>480</v>
      </c>
      <c r="J91" s="77" t="s">
        <v>132</v>
      </c>
      <c r="K91" s="84">
        <v>32.700000000000003</v>
      </c>
      <c r="L91" s="86">
        <v>12900</v>
      </c>
      <c r="M91" s="80">
        <v>0.4</v>
      </c>
      <c r="N91" s="81">
        <v>50</v>
      </c>
      <c r="O91" s="84">
        <v>14.65</v>
      </c>
      <c r="P91" s="94">
        <v>6.709913952</v>
      </c>
      <c r="Q91" s="81">
        <f t="shared" si="4"/>
        <v>2.1833364935526971</v>
      </c>
      <c r="R91" s="81">
        <f t="shared" si="5"/>
        <v>3520630.0958537241</v>
      </c>
      <c r="S91" s="84"/>
      <c r="T91" s="81" t="e">
        <f t="shared" si="6"/>
        <v>#DIV/0!</v>
      </c>
      <c r="U91" s="81" t="e">
        <f>AVERAGE(T89:T91)</f>
        <v>#DIV/0!</v>
      </c>
      <c r="V91" s="81" t="e">
        <f>_xlfn.STDEV.S(T89:T91)</f>
        <v>#DIV/0!</v>
      </c>
      <c r="W91" s="81">
        <f>MAX(K89:K91)-MIN(K89:K91)</f>
        <v>3.7800000000000011</v>
      </c>
      <c r="Y91" s="75"/>
      <c r="Z91" s="2"/>
      <c r="AA91" s="75"/>
      <c r="AB91" s="98"/>
      <c r="AD91" s="88"/>
      <c r="AE91" s="99"/>
      <c r="AF91" s="69"/>
      <c r="AH91" s="15"/>
      <c r="AI91" s="69"/>
      <c r="AJ91" s="69"/>
      <c r="AL91" s="69"/>
      <c r="AM91" s="69"/>
      <c r="AN91" s="69"/>
      <c r="AO91" s="69"/>
      <c r="AQ91" s="75"/>
      <c r="AR91" s="2"/>
      <c r="AS91" s="75"/>
      <c r="AT91" s="98"/>
      <c r="AV91" s="88"/>
      <c r="AW91" s="99"/>
      <c r="AX91" s="69"/>
      <c r="AY91" s="15"/>
      <c r="AZ91" s="15"/>
      <c r="BA91" s="69"/>
      <c r="BB91" s="69"/>
      <c r="BD91" s="69"/>
      <c r="BE91" s="69"/>
      <c r="BF91" s="69"/>
      <c r="BG91" s="69"/>
      <c r="BR91" s="88"/>
    </row>
    <row r="92" spans="1:70" x14ac:dyDescent="0.4">
      <c r="A92" s="85" t="s">
        <v>270</v>
      </c>
      <c r="B92" s="92" t="s">
        <v>135</v>
      </c>
      <c r="C92" s="127" t="s">
        <v>480</v>
      </c>
      <c r="D92" s="131"/>
      <c r="E92" s="131"/>
      <c r="F92" s="131"/>
      <c r="G92" s="131"/>
      <c r="H92" s="131"/>
      <c r="I92" s="111" t="s">
        <v>480</v>
      </c>
      <c r="J92" s="77" t="s">
        <v>132</v>
      </c>
      <c r="K92" s="84">
        <v>33.450000000000003</v>
      </c>
      <c r="L92" s="86">
        <v>12000</v>
      </c>
      <c r="M92" s="80">
        <v>0.4</v>
      </c>
      <c r="N92" s="81">
        <v>50</v>
      </c>
      <c r="O92" s="84">
        <v>14.83</v>
      </c>
      <c r="P92" s="94">
        <v>7.321550631</v>
      </c>
      <c r="Q92" s="81">
        <f t="shared" si="4"/>
        <v>2.0255272069291794</v>
      </c>
      <c r="R92" s="81">
        <f t="shared" si="5"/>
        <v>3038290.8103937688</v>
      </c>
      <c r="S92" s="84"/>
      <c r="T92" s="81" t="e">
        <f t="shared" si="6"/>
        <v>#DIV/0!</v>
      </c>
      <c r="U92" s="81"/>
      <c r="V92" s="84"/>
      <c r="W92" s="84"/>
      <c r="Y92" s="75"/>
      <c r="Z92" s="2"/>
      <c r="AA92" s="75"/>
      <c r="AB92" s="98"/>
      <c r="AD92" s="88"/>
      <c r="AE92" s="99"/>
      <c r="AF92" s="69"/>
      <c r="AH92" s="15"/>
      <c r="AI92" s="69"/>
      <c r="AJ92" s="69"/>
      <c r="AL92" s="69"/>
      <c r="AM92" s="69"/>
      <c r="AQ92" s="75"/>
      <c r="AR92" s="2"/>
      <c r="AS92" s="75"/>
      <c r="AT92" s="98"/>
      <c r="AV92" s="88"/>
      <c r="AW92" s="99"/>
      <c r="AX92" s="69"/>
      <c r="AZ92" s="15"/>
      <c r="BA92" s="69"/>
      <c r="BB92" s="69"/>
      <c r="BD92" s="69"/>
      <c r="BE92" s="69"/>
      <c r="BR92" s="88"/>
    </row>
    <row r="93" spans="1:70" x14ac:dyDescent="0.4">
      <c r="A93" s="85" t="s">
        <v>271</v>
      </c>
      <c r="B93" s="92" t="s">
        <v>135</v>
      </c>
      <c r="C93" s="127" t="s">
        <v>480</v>
      </c>
      <c r="D93" s="131"/>
      <c r="E93" s="131"/>
      <c r="F93" s="131"/>
      <c r="G93" s="131"/>
      <c r="H93" s="131"/>
      <c r="I93" s="111" t="s">
        <v>480</v>
      </c>
      <c r="J93" s="77" t="s">
        <v>132</v>
      </c>
      <c r="K93" s="84">
        <v>31.46</v>
      </c>
      <c r="L93" s="86">
        <v>15200</v>
      </c>
      <c r="M93" s="80">
        <v>0.4</v>
      </c>
      <c r="N93" s="81">
        <v>50</v>
      </c>
      <c r="O93" s="84">
        <v>14.83</v>
      </c>
      <c r="P93" s="94">
        <v>7.321550631</v>
      </c>
      <c r="Q93" s="81">
        <f t="shared" si="4"/>
        <v>2.0255272069291794</v>
      </c>
      <c r="R93" s="81">
        <f t="shared" si="5"/>
        <v>3848501.6931654406</v>
      </c>
      <c r="S93" s="84"/>
      <c r="T93" s="81" t="e">
        <f t="shared" si="6"/>
        <v>#DIV/0!</v>
      </c>
      <c r="U93" s="81"/>
      <c r="V93" s="84"/>
      <c r="W93" s="84"/>
      <c r="Y93" s="75"/>
      <c r="Z93" s="2"/>
      <c r="AA93" s="75"/>
      <c r="AB93" s="98"/>
      <c r="AD93" s="88"/>
      <c r="AE93" s="99"/>
      <c r="AF93" s="69"/>
      <c r="AH93" s="15"/>
      <c r="AI93" s="69"/>
      <c r="AJ93" s="69"/>
      <c r="AL93" s="69"/>
      <c r="AM93" s="69"/>
      <c r="AQ93" s="75"/>
      <c r="AR93" s="2"/>
      <c r="AS93" s="75"/>
      <c r="AT93" s="98"/>
      <c r="AV93" s="88"/>
      <c r="AW93" s="99"/>
      <c r="AX93" s="69"/>
      <c r="AZ93" s="15"/>
      <c r="BA93" s="69"/>
      <c r="BB93" s="69"/>
      <c r="BD93" s="69"/>
      <c r="BE93" s="69"/>
      <c r="BR93" s="88"/>
    </row>
    <row r="94" spans="1:70" x14ac:dyDescent="0.4">
      <c r="A94" s="85" t="s">
        <v>272</v>
      </c>
      <c r="B94" s="92" t="s">
        <v>135</v>
      </c>
      <c r="C94" s="127" t="s">
        <v>480</v>
      </c>
      <c r="D94" s="131"/>
      <c r="E94" s="131"/>
      <c r="F94" s="131"/>
      <c r="G94" s="131"/>
      <c r="H94" s="131"/>
      <c r="I94" s="111" t="s">
        <v>480</v>
      </c>
      <c r="J94" s="77" t="s">
        <v>132</v>
      </c>
      <c r="K94" s="84">
        <v>33.369999999999997</v>
      </c>
      <c r="L94" s="86">
        <v>12100</v>
      </c>
      <c r="M94" s="80">
        <v>0.4</v>
      </c>
      <c r="N94" s="81">
        <v>50</v>
      </c>
      <c r="O94" s="84">
        <v>14.83</v>
      </c>
      <c r="P94" s="94">
        <v>7.321550631</v>
      </c>
      <c r="Q94" s="81">
        <f t="shared" si="4"/>
        <v>2.0255272069291794</v>
      </c>
      <c r="R94" s="81">
        <f t="shared" si="5"/>
        <v>3063609.9004803835</v>
      </c>
      <c r="S94" s="84"/>
      <c r="T94" s="81" t="e">
        <f t="shared" si="6"/>
        <v>#DIV/0!</v>
      </c>
      <c r="U94" s="81" t="e">
        <f>AVERAGE(T92:T94)</f>
        <v>#DIV/0!</v>
      </c>
      <c r="V94" s="81" t="e">
        <f>_xlfn.STDEV.S(T92:T94)</f>
        <v>#DIV/0!</v>
      </c>
      <c r="W94" s="81">
        <f>MAX(K92:K94)-MIN(K92:K94)</f>
        <v>1.990000000000002</v>
      </c>
      <c r="Y94" s="75"/>
      <c r="Z94" s="2"/>
      <c r="AA94" s="75"/>
      <c r="AB94" s="98"/>
      <c r="AD94" s="88"/>
      <c r="AE94" s="99"/>
      <c r="AF94" s="69"/>
      <c r="AH94" s="15"/>
      <c r="AI94" s="69"/>
      <c r="AJ94" s="69"/>
      <c r="AL94" s="69"/>
      <c r="AM94" s="69"/>
      <c r="AN94" s="69"/>
      <c r="AO94" s="69"/>
      <c r="AQ94" s="75"/>
      <c r="AR94" s="2"/>
      <c r="AS94" s="75"/>
      <c r="AT94" s="98"/>
      <c r="AV94" s="88"/>
      <c r="AW94" s="99"/>
      <c r="AX94" s="69"/>
      <c r="AZ94" s="15"/>
      <c r="BA94" s="69"/>
      <c r="BB94" s="69"/>
      <c r="BD94" s="69"/>
      <c r="BE94" s="69"/>
      <c r="BF94" s="69"/>
      <c r="BG94" s="69"/>
      <c r="BR94" s="88"/>
    </row>
    <row r="95" spans="1:70" x14ac:dyDescent="0.4">
      <c r="A95" s="85" t="s">
        <v>273</v>
      </c>
      <c r="B95" s="92" t="s">
        <v>145</v>
      </c>
      <c r="C95" s="127" t="s">
        <v>185</v>
      </c>
      <c r="D95" s="131"/>
      <c r="E95" s="131"/>
      <c r="F95" s="131"/>
      <c r="G95" s="131"/>
      <c r="H95" s="131"/>
      <c r="I95" s="111"/>
      <c r="J95" s="77"/>
      <c r="K95" s="84">
        <v>35</v>
      </c>
      <c r="L95" s="86">
        <v>10800</v>
      </c>
      <c r="M95" s="80"/>
      <c r="N95" s="81"/>
      <c r="O95" s="84"/>
      <c r="P95" s="94"/>
      <c r="Q95" s="81" t="e">
        <f t="shared" si="4"/>
        <v>#DIV/0!</v>
      </c>
      <c r="R95" s="81" t="e">
        <f t="shared" si="5"/>
        <v>#DIV/0!</v>
      </c>
      <c r="S95" s="84"/>
      <c r="T95" s="81" t="e">
        <f t="shared" si="6"/>
        <v>#DIV/0!</v>
      </c>
      <c r="U95" s="81"/>
      <c r="V95" s="84"/>
      <c r="W95" s="84"/>
      <c r="Y95" s="75"/>
      <c r="Z95" s="2"/>
      <c r="AA95" s="75"/>
      <c r="AB95" s="98"/>
      <c r="AD95" s="88"/>
      <c r="AE95" s="99"/>
      <c r="AF95" s="69"/>
      <c r="AI95" s="69"/>
      <c r="AJ95" s="69"/>
      <c r="AL95" s="69"/>
      <c r="AM95" s="69"/>
      <c r="AQ95" s="75"/>
      <c r="AR95" s="2"/>
      <c r="AS95" s="75"/>
      <c r="AT95" s="98"/>
      <c r="AV95" s="88"/>
      <c r="AW95" s="99"/>
      <c r="AZ95" s="15"/>
      <c r="BA95" s="69"/>
      <c r="BB95" s="69"/>
      <c r="BD95" s="69"/>
      <c r="BE95" s="69"/>
      <c r="BR95" s="88"/>
    </row>
    <row r="96" spans="1:70" x14ac:dyDescent="0.4">
      <c r="A96" s="85" t="s">
        <v>274</v>
      </c>
      <c r="B96" s="92" t="s">
        <v>145</v>
      </c>
      <c r="C96" s="127" t="s">
        <v>185</v>
      </c>
      <c r="D96" s="131"/>
      <c r="E96" s="131"/>
      <c r="F96" s="131"/>
      <c r="G96" s="131"/>
      <c r="H96" s="131"/>
      <c r="I96" s="111"/>
      <c r="J96" s="77"/>
      <c r="K96" s="84">
        <v>35</v>
      </c>
      <c r="L96" s="86">
        <v>10800</v>
      </c>
      <c r="M96" s="80"/>
      <c r="N96" s="81"/>
      <c r="O96" s="84"/>
      <c r="P96" s="84"/>
      <c r="Q96" s="81" t="e">
        <f t="shared" si="4"/>
        <v>#DIV/0!</v>
      </c>
      <c r="R96" s="81" t="e">
        <f t="shared" si="5"/>
        <v>#DIV/0!</v>
      </c>
      <c r="S96" s="84"/>
      <c r="T96" s="81" t="e">
        <f t="shared" si="6"/>
        <v>#DIV/0!</v>
      </c>
      <c r="U96" s="81"/>
      <c r="V96" s="84"/>
      <c r="W96" s="84"/>
      <c r="Y96" s="75"/>
      <c r="Z96" s="2"/>
      <c r="AA96" s="75"/>
      <c r="AB96" s="98"/>
      <c r="AD96" s="88"/>
      <c r="AE96" s="99"/>
      <c r="AF96" s="69"/>
      <c r="AI96" s="69"/>
      <c r="AJ96" s="69"/>
      <c r="AL96" s="69"/>
      <c r="AM96" s="69"/>
      <c r="AQ96" s="75"/>
      <c r="AR96" s="2"/>
      <c r="AS96" s="75"/>
      <c r="AT96" s="98"/>
      <c r="AV96" s="88"/>
      <c r="AW96" s="99"/>
      <c r="AZ96" s="15"/>
      <c r="BA96" s="69"/>
      <c r="BB96" s="69"/>
      <c r="BD96" s="69"/>
      <c r="BE96" s="69"/>
      <c r="BR96" s="88"/>
    </row>
    <row r="97" spans="1:70" x14ac:dyDescent="0.4">
      <c r="A97" s="85" t="s">
        <v>275</v>
      </c>
      <c r="B97" s="92" t="s">
        <v>145</v>
      </c>
      <c r="C97" s="127" t="s">
        <v>185</v>
      </c>
      <c r="D97" s="131"/>
      <c r="E97" s="131"/>
      <c r="F97" s="131"/>
      <c r="G97" s="131"/>
      <c r="H97" s="131"/>
      <c r="I97" s="111"/>
      <c r="J97" s="77"/>
      <c r="K97" s="84">
        <v>35</v>
      </c>
      <c r="L97" s="86">
        <v>10800</v>
      </c>
      <c r="M97" s="80"/>
      <c r="N97" s="81"/>
      <c r="O97" s="84"/>
      <c r="Q97" s="81" t="e">
        <f t="shared" si="4"/>
        <v>#DIV/0!</v>
      </c>
      <c r="R97" s="81" t="e">
        <f t="shared" si="5"/>
        <v>#DIV/0!</v>
      </c>
      <c r="S97" s="84"/>
      <c r="T97" s="81" t="e">
        <f t="shared" si="6"/>
        <v>#DIV/0!</v>
      </c>
      <c r="U97" s="81" t="e">
        <f>AVERAGE(T95:T97)</f>
        <v>#DIV/0!</v>
      </c>
      <c r="V97" s="81" t="e">
        <f>_xlfn.STDEV.S(T95:T97)</f>
        <v>#DIV/0!</v>
      </c>
      <c r="W97" s="81">
        <f>MAX(K95:K97)-MIN(K95:K97)</f>
        <v>0</v>
      </c>
      <c r="Y97" s="75"/>
      <c r="Z97" s="2"/>
      <c r="AA97" s="75"/>
      <c r="AB97" s="98"/>
      <c r="AD97" s="88"/>
      <c r="AE97" s="99"/>
      <c r="AF97" s="69"/>
      <c r="AI97" s="69"/>
      <c r="AJ97" s="69"/>
      <c r="AL97" s="69"/>
      <c r="AM97" s="69"/>
      <c r="AN97" s="69"/>
      <c r="AO97" s="69"/>
      <c r="AQ97" s="75"/>
      <c r="AR97" s="2"/>
      <c r="AS97" s="75"/>
      <c r="AT97" s="98"/>
      <c r="AV97" s="88"/>
      <c r="AW97" s="99"/>
      <c r="AZ97" s="15"/>
      <c r="BA97" s="69"/>
      <c r="BB97" s="69"/>
      <c r="BD97" s="69"/>
      <c r="BE97" s="69"/>
      <c r="BF97" s="69"/>
      <c r="BG97" s="69"/>
      <c r="BR97" s="88"/>
    </row>
    <row r="98" spans="1:70" x14ac:dyDescent="0.4">
      <c r="A98" s="85" t="s">
        <v>276</v>
      </c>
      <c r="B98" s="92" t="s">
        <v>146</v>
      </c>
      <c r="C98" s="127" t="s">
        <v>177</v>
      </c>
      <c r="D98" s="131"/>
      <c r="E98" s="131"/>
      <c r="F98" s="131"/>
      <c r="G98" s="131"/>
      <c r="H98" s="131"/>
      <c r="I98" s="111"/>
      <c r="J98" s="77"/>
      <c r="K98" s="84">
        <v>18.77</v>
      </c>
      <c r="L98" s="86">
        <v>1030000</v>
      </c>
      <c r="M98" s="80"/>
      <c r="N98" s="81"/>
      <c r="O98" s="84"/>
      <c r="Q98" s="81" t="e">
        <f t="shared" si="4"/>
        <v>#DIV/0!</v>
      </c>
      <c r="R98" s="81" t="e">
        <f t="shared" si="5"/>
        <v>#DIV/0!</v>
      </c>
      <c r="S98" s="84"/>
      <c r="T98" s="81" t="e">
        <f t="shared" si="6"/>
        <v>#DIV/0!</v>
      </c>
      <c r="U98" s="81"/>
      <c r="V98" s="84"/>
      <c r="W98" s="84"/>
      <c r="Y98" s="75"/>
      <c r="Z98" s="2"/>
      <c r="AA98" s="75"/>
      <c r="AB98" s="98"/>
      <c r="AD98" s="88"/>
      <c r="AE98" s="99"/>
      <c r="AF98" s="69"/>
      <c r="AI98" s="69"/>
      <c r="AJ98" s="69"/>
      <c r="AL98" s="69"/>
      <c r="AM98" s="69"/>
      <c r="AQ98" s="75"/>
      <c r="AR98" s="75"/>
      <c r="AS98" s="75"/>
      <c r="AT98" s="98"/>
      <c r="AW98" s="99"/>
      <c r="AZ98" s="15"/>
      <c r="BA98" s="69"/>
      <c r="BB98" s="69"/>
      <c r="BD98" s="69"/>
      <c r="BE98" s="69"/>
      <c r="BR98" s="88"/>
    </row>
    <row r="99" spans="1:70" x14ac:dyDescent="0.4">
      <c r="A99" s="85" t="s">
        <v>277</v>
      </c>
      <c r="B99" s="92" t="s">
        <v>146</v>
      </c>
      <c r="C99" s="127" t="s">
        <v>177</v>
      </c>
      <c r="D99" s="131"/>
      <c r="E99" s="131"/>
      <c r="F99" s="131"/>
      <c r="G99" s="131"/>
      <c r="H99" s="131"/>
      <c r="I99" s="111"/>
      <c r="J99" s="77"/>
      <c r="K99" s="84">
        <v>18.829999999999998</v>
      </c>
      <c r="L99" s="86">
        <v>1000000</v>
      </c>
      <c r="M99" s="80"/>
      <c r="N99" s="81"/>
      <c r="O99" s="84"/>
      <c r="Q99" s="81" t="e">
        <f t="shared" si="4"/>
        <v>#DIV/0!</v>
      </c>
      <c r="R99" s="81" t="e">
        <f t="shared" si="5"/>
        <v>#DIV/0!</v>
      </c>
      <c r="S99" s="84"/>
      <c r="T99" s="81" t="e">
        <f t="shared" si="6"/>
        <v>#DIV/0!</v>
      </c>
      <c r="U99" s="81"/>
      <c r="V99" s="84"/>
      <c r="W99" s="84"/>
      <c r="Y99" s="75"/>
      <c r="Z99" s="2"/>
      <c r="AA99" s="75"/>
      <c r="AB99" s="98"/>
      <c r="AD99" s="88"/>
      <c r="AE99" s="99"/>
      <c r="AF99" s="69"/>
      <c r="AI99" s="69"/>
      <c r="AJ99" s="69"/>
      <c r="AL99" s="69"/>
      <c r="AM99" s="69"/>
      <c r="AQ99" s="75"/>
      <c r="AR99" s="75"/>
      <c r="AS99" s="75"/>
      <c r="AT99" s="98"/>
      <c r="AW99" s="99"/>
      <c r="AZ99" s="15"/>
      <c r="BA99" s="69"/>
      <c r="BB99" s="69"/>
      <c r="BD99" s="69"/>
      <c r="BE99" s="69"/>
      <c r="BR99" s="88"/>
    </row>
    <row r="100" spans="1:70" x14ac:dyDescent="0.4">
      <c r="A100" s="85" t="s">
        <v>278</v>
      </c>
      <c r="B100" s="92" t="s">
        <v>146</v>
      </c>
      <c r="C100" s="127" t="s">
        <v>177</v>
      </c>
      <c r="D100" s="131"/>
      <c r="E100" s="131"/>
      <c r="F100" s="131"/>
      <c r="G100" s="131"/>
      <c r="H100" s="131"/>
      <c r="I100" s="111"/>
      <c r="J100" s="77"/>
      <c r="K100" s="84">
        <v>18.93</v>
      </c>
      <c r="L100" s="86">
        <v>950000</v>
      </c>
      <c r="M100" s="80"/>
      <c r="N100" s="81"/>
      <c r="O100" s="84"/>
      <c r="Q100" s="81" t="e">
        <f t="shared" si="4"/>
        <v>#DIV/0!</v>
      </c>
      <c r="R100" s="81" t="e">
        <f t="shared" si="5"/>
        <v>#DIV/0!</v>
      </c>
      <c r="S100" s="84"/>
      <c r="T100" s="81" t="e">
        <f t="shared" si="6"/>
        <v>#DIV/0!</v>
      </c>
      <c r="U100" s="81" t="e">
        <f>AVERAGE(T98:T100)</f>
        <v>#DIV/0!</v>
      </c>
      <c r="V100" s="81" t="e">
        <f>_xlfn.STDEV.S(T98:T100)</f>
        <v>#DIV/0!</v>
      </c>
      <c r="W100" s="81">
        <f>MAX(K98:K100)-MIN(K98:K100)</f>
        <v>0.16000000000000014</v>
      </c>
      <c r="Y100" s="75"/>
      <c r="Z100" s="2"/>
      <c r="AA100" s="75"/>
      <c r="AB100" s="98"/>
      <c r="AD100" s="88"/>
      <c r="AE100" s="99"/>
      <c r="AF100" s="69"/>
      <c r="AI100" s="69"/>
      <c r="AJ100" s="69"/>
      <c r="AL100" s="69"/>
      <c r="AM100" s="69"/>
      <c r="AN100" s="69"/>
      <c r="AO100" s="69"/>
      <c r="AQ100" s="75"/>
      <c r="AR100" s="75"/>
      <c r="AS100" s="75"/>
      <c r="AT100" s="98"/>
      <c r="AW100" s="99"/>
      <c r="AZ100" s="15"/>
      <c r="BA100" s="69"/>
      <c r="BB100" s="69"/>
      <c r="BD100" s="69"/>
      <c r="BE100" s="69"/>
      <c r="BF100" s="69"/>
      <c r="BG100" s="69"/>
    </row>
    <row r="101" spans="1:70" x14ac:dyDescent="0.4">
      <c r="A101" s="85" t="s">
        <v>279</v>
      </c>
      <c r="B101" s="92" t="s">
        <v>174</v>
      </c>
      <c r="C101" s="128"/>
      <c r="D101" s="133"/>
      <c r="E101" s="133"/>
      <c r="F101" s="133"/>
      <c r="G101" s="133"/>
      <c r="H101" s="133"/>
      <c r="I101" s="111"/>
      <c r="J101" s="77"/>
      <c r="K101" s="84"/>
      <c r="L101" s="84"/>
      <c r="M101" s="80"/>
      <c r="N101" s="84"/>
      <c r="O101" s="84"/>
      <c r="Q101" s="81" t="e">
        <f t="shared" si="4"/>
        <v>#DIV/0!</v>
      </c>
      <c r="R101" s="81" t="e">
        <f t="shared" si="5"/>
        <v>#DIV/0!</v>
      </c>
      <c r="S101" s="84"/>
      <c r="T101" s="81" t="e">
        <f t="shared" si="6"/>
        <v>#DIV/0!</v>
      </c>
      <c r="U101" s="81"/>
      <c r="V101" s="84"/>
      <c r="W101" s="84"/>
      <c r="Y101" s="75"/>
      <c r="Z101" s="2"/>
      <c r="AA101" s="2"/>
      <c r="AB101" s="98"/>
      <c r="AE101" s="99"/>
      <c r="AI101" s="69"/>
      <c r="AJ101" s="69"/>
      <c r="AL101" s="69"/>
      <c r="AM101" s="69"/>
      <c r="AQ101" s="75"/>
      <c r="AR101" s="2"/>
      <c r="AS101" s="2"/>
      <c r="AT101" s="98"/>
      <c r="AV101" s="88"/>
      <c r="AW101" s="99"/>
      <c r="AX101" s="69"/>
      <c r="AY101" s="15"/>
      <c r="AZ101" s="15"/>
      <c r="BA101" s="69"/>
      <c r="BB101" s="69"/>
      <c r="BD101" s="69"/>
      <c r="BE101" s="69"/>
      <c r="BL101" s="93"/>
    </row>
    <row r="102" spans="1:70" x14ac:dyDescent="0.4">
      <c r="A102" s="85" t="s">
        <v>280</v>
      </c>
      <c r="B102" s="92" t="s">
        <v>174</v>
      </c>
      <c r="C102" s="128"/>
      <c r="D102" s="133"/>
      <c r="E102" s="133"/>
      <c r="F102" s="133"/>
      <c r="G102" s="133"/>
      <c r="H102" s="133"/>
      <c r="I102" s="111"/>
      <c r="J102" s="77"/>
      <c r="K102" s="84"/>
      <c r="L102" s="84"/>
      <c r="M102" s="80"/>
      <c r="N102" s="84"/>
      <c r="O102" s="84"/>
      <c r="Q102" s="81" t="e">
        <f t="shared" si="4"/>
        <v>#DIV/0!</v>
      </c>
      <c r="R102" s="81" t="e">
        <f t="shared" si="5"/>
        <v>#DIV/0!</v>
      </c>
      <c r="S102" s="84"/>
      <c r="T102" s="81" t="e">
        <f t="shared" si="6"/>
        <v>#DIV/0!</v>
      </c>
      <c r="U102" s="81"/>
      <c r="V102" s="84"/>
      <c r="W102" s="84"/>
      <c r="Y102" s="75"/>
      <c r="Z102" s="2"/>
      <c r="AA102" s="2"/>
      <c r="AB102" s="98"/>
      <c r="AE102" s="99"/>
      <c r="AI102" s="69"/>
      <c r="AJ102" s="69"/>
      <c r="AL102" s="69"/>
      <c r="AM102" s="69"/>
      <c r="AQ102" s="75"/>
      <c r="AR102" s="2"/>
      <c r="AS102" s="2"/>
      <c r="AT102" s="98"/>
      <c r="AV102" s="88"/>
      <c r="AW102" s="99"/>
      <c r="AX102" s="69"/>
      <c r="AY102" s="15"/>
      <c r="AZ102" s="15"/>
      <c r="BA102" s="69"/>
      <c r="BB102" s="69"/>
      <c r="BD102" s="69"/>
      <c r="BE102" s="69"/>
    </row>
    <row r="103" spans="1:70" x14ac:dyDescent="0.4">
      <c r="A103" s="85" t="s">
        <v>281</v>
      </c>
      <c r="B103" s="92" t="s">
        <v>174</v>
      </c>
      <c r="C103" s="128"/>
      <c r="D103" s="133"/>
      <c r="E103" s="133"/>
      <c r="F103" s="133"/>
      <c r="G103" s="133"/>
      <c r="H103" s="133"/>
      <c r="I103" s="111"/>
      <c r="J103" s="77"/>
      <c r="K103" s="84"/>
      <c r="L103" s="84"/>
      <c r="M103" s="80"/>
      <c r="N103" s="84"/>
      <c r="O103" s="84"/>
      <c r="Q103" s="81" t="e">
        <f t="shared" si="4"/>
        <v>#DIV/0!</v>
      </c>
      <c r="R103" s="81" t="e">
        <f t="shared" si="5"/>
        <v>#DIV/0!</v>
      </c>
      <c r="S103" s="84"/>
      <c r="T103" s="81" t="e">
        <f t="shared" si="6"/>
        <v>#DIV/0!</v>
      </c>
      <c r="U103" s="81" t="e">
        <f>AVERAGE(T101:T103)</f>
        <v>#DIV/0!</v>
      </c>
      <c r="V103" s="81" t="e">
        <f>_xlfn.STDEV.S(T101:T103)</f>
        <v>#DIV/0!</v>
      </c>
      <c r="W103" s="81">
        <f>MAX(K101:K103)-MIN(K101:K103)</f>
        <v>0</v>
      </c>
      <c r="Y103" s="75"/>
      <c r="Z103" s="2"/>
      <c r="AA103" s="2"/>
      <c r="AB103" s="98"/>
      <c r="AE103" s="99"/>
      <c r="AI103" s="69"/>
      <c r="AJ103" s="69"/>
      <c r="AL103" s="69"/>
      <c r="AM103" s="69"/>
      <c r="AN103" s="69"/>
      <c r="AO103" s="69"/>
      <c r="AQ103" s="75"/>
      <c r="AR103" s="2"/>
      <c r="AS103" s="2"/>
      <c r="AT103" s="98"/>
      <c r="AV103" s="88"/>
      <c r="AW103" s="99"/>
      <c r="AX103" s="69"/>
      <c r="AY103" s="15"/>
      <c r="AZ103" s="15"/>
      <c r="BA103" s="69"/>
      <c r="BB103" s="69"/>
      <c r="BD103" s="69"/>
      <c r="BE103" s="69"/>
      <c r="BF103" s="69"/>
      <c r="BG103" s="69"/>
      <c r="BL103" s="93"/>
      <c r="BR103" s="88"/>
    </row>
    <row r="104" spans="1:70" x14ac:dyDescent="0.4">
      <c r="A104" s="85" t="s">
        <v>282</v>
      </c>
      <c r="B104" s="92" t="s">
        <v>174</v>
      </c>
      <c r="C104" s="128"/>
      <c r="D104" s="133"/>
      <c r="E104" s="133"/>
      <c r="F104" s="133"/>
      <c r="G104" s="133"/>
      <c r="H104" s="133"/>
      <c r="I104" s="111"/>
      <c r="J104" s="77"/>
      <c r="K104" s="84"/>
      <c r="L104" s="84"/>
      <c r="M104" s="80"/>
      <c r="N104" s="84"/>
      <c r="O104" s="84"/>
      <c r="Q104" s="81" t="e">
        <f t="shared" si="4"/>
        <v>#DIV/0!</v>
      </c>
      <c r="R104" s="81" t="e">
        <f t="shared" si="5"/>
        <v>#DIV/0!</v>
      </c>
      <c r="S104" s="84"/>
      <c r="T104" s="81" t="e">
        <f t="shared" si="6"/>
        <v>#DIV/0!</v>
      </c>
      <c r="U104" s="81"/>
      <c r="V104" s="84"/>
      <c r="W104" s="84"/>
      <c r="Y104" s="75"/>
      <c r="Z104" s="2"/>
      <c r="AA104" s="2"/>
      <c r="AB104" s="98"/>
      <c r="AE104" s="99"/>
      <c r="AI104" s="69"/>
      <c r="AJ104" s="69"/>
      <c r="AL104" s="69"/>
      <c r="AM104" s="69"/>
      <c r="AQ104" s="75"/>
      <c r="AR104" s="2"/>
      <c r="AS104" s="75"/>
      <c r="AT104" s="98"/>
      <c r="AV104" s="88"/>
      <c r="AW104" s="99"/>
      <c r="AZ104" s="15"/>
      <c r="BA104" s="69"/>
      <c r="BB104" s="69"/>
      <c r="BD104" s="69"/>
      <c r="BE104" s="69"/>
      <c r="BR104" s="88"/>
    </row>
    <row r="105" spans="1:70" x14ac:dyDescent="0.4">
      <c r="A105" s="85" t="s">
        <v>283</v>
      </c>
      <c r="B105" s="92" t="s">
        <v>174</v>
      </c>
      <c r="C105" s="128"/>
      <c r="D105" s="133"/>
      <c r="E105" s="133"/>
      <c r="F105" s="133"/>
      <c r="G105" s="133"/>
      <c r="H105" s="133"/>
      <c r="I105" s="111"/>
      <c r="J105" s="77"/>
      <c r="K105" s="84"/>
      <c r="L105" s="84"/>
      <c r="M105" s="80"/>
      <c r="N105" s="84"/>
      <c r="O105" s="84"/>
      <c r="Q105" s="81" t="e">
        <f t="shared" si="4"/>
        <v>#DIV/0!</v>
      </c>
      <c r="R105" s="81" t="e">
        <f t="shared" si="5"/>
        <v>#DIV/0!</v>
      </c>
      <c r="S105" s="84"/>
      <c r="T105" s="81" t="e">
        <f t="shared" si="6"/>
        <v>#DIV/0!</v>
      </c>
      <c r="U105" s="81"/>
      <c r="V105" s="84"/>
      <c r="W105" s="84"/>
      <c r="Y105" s="75"/>
      <c r="Z105" s="2"/>
      <c r="AA105" s="2"/>
      <c r="AB105" s="98"/>
      <c r="AE105" s="99"/>
      <c r="AI105" s="69"/>
      <c r="AJ105" s="69"/>
      <c r="AL105" s="69"/>
      <c r="AM105" s="69"/>
      <c r="AQ105" s="75"/>
      <c r="AR105" s="2"/>
      <c r="AS105" s="75"/>
      <c r="AT105" s="98"/>
      <c r="AV105" s="88"/>
      <c r="AW105" s="99"/>
      <c r="AZ105" s="15"/>
      <c r="BA105" s="69"/>
      <c r="BB105" s="69"/>
      <c r="BD105" s="69"/>
      <c r="BE105" s="69"/>
      <c r="BR105" s="88"/>
    </row>
    <row r="106" spans="1:70" x14ac:dyDescent="0.4">
      <c r="A106" s="85" t="s">
        <v>284</v>
      </c>
      <c r="B106" s="92" t="s">
        <v>174</v>
      </c>
      <c r="C106" s="128"/>
      <c r="D106" s="133"/>
      <c r="E106" s="133"/>
      <c r="F106" s="133"/>
      <c r="G106" s="133"/>
      <c r="H106" s="133"/>
      <c r="I106" s="111"/>
      <c r="J106" s="77"/>
      <c r="K106" s="84"/>
      <c r="L106" s="84"/>
      <c r="M106" s="83"/>
      <c r="N106" s="84"/>
      <c r="O106" s="84"/>
      <c r="P106" s="84"/>
      <c r="Q106" s="81" t="e">
        <f t="shared" si="4"/>
        <v>#DIV/0!</v>
      </c>
      <c r="R106" s="81" t="e">
        <f t="shared" si="5"/>
        <v>#DIV/0!</v>
      </c>
      <c r="S106" s="84"/>
      <c r="T106" s="81" t="e">
        <f t="shared" si="6"/>
        <v>#DIV/0!</v>
      </c>
      <c r="U106" s="81" t="e">
        <f>AVERAGE(T104:T106)</f>
        <v>#DIV/0!</v>
      </c>
      <c r="V106" s="81" t="e">
        <f>_xlfn.STDEV.S(T104:T106)</f>
        <v>#DIV/0!</v>
      </c>
      <c r="W106" s="81">
        <f>MAX(K104:K106)-MIN(K104:K106)</f>
        <v>0</v>
      </c>
      <c r="Y106" s="75"/>
      <c r="Z106" s="2"/>
      <c r="AA106" s="2"/>
      <c r="AB106" s="98"/>
      <c r="AE106" s="99"/>
      <c r="AI106" s="69"/>
      <c r="AJ106" s="69"/>
      <c r="AL106" s="69"/>
      <c r="AM106" s="69"/>
      <c r="AN106" s="69"/>
      <c r="AO106" s="69"/>
      <c r="AQ106" s="75"/>
      <c r="AR106" s="2"/>
      <c r="AS106" s="75"/>
      <c r="AT106" s="98"/>
      <c r="AV106" s="88"/>
      <c r="AW106" s="99"/>
      <c r="AZ106" s="15"/>
      <c r="BA106" s="69"/>
      <c r="BB106" s="69"/>
      <c r="BD106" s="69"/>
      <c r="BE106" s="69"/>
      <c r="BF106" s="69"/>
      <c r="BG106" s="69"/>
      <c r="BR106" s="88"/>
    </row>
    <row r="107" spans="1:70" x14ac:dyDescent="0.4">
      <c r="A107" s="76" t="s">
        <v>285</v>
      </c>
      <c r="B107" s="76" t="s">
        <v>75</v>
      </c>
      <c r="C107" s="125" t="s">
        <v>4</v>
      </c>
      <c r="D107" s="129" t="s">
        <v>485</v>
      </c>
      <c r="E107" s="129" t="s">
        <v>485</v>
      </c>
      <c r="F107" s="129" t="s">
        <v>484</v>
      </c>
      <c r="G107" s="129" t="s">
        <v>485</v>
      </c>
      <c r="H107" s="129" t="s">
        <v>484</v>
      </c>
      <c r="I107" s="112">
        <v>4.8</v>
      </c>
      <c r="J107" s="77" t="s">
        <v>81</v>
      </c>
      <c r="K107" s="84">
        <v>30.63</v>
      </c>
      <c r="L107" s="86">
        <v>14700</v>
      </c>
      <c r="M107" s="83">
        <v>0.4</v>
      </c>
      <c r="N107" s="81">
        <v>50</v>
      </c>
      <c r="O107" s="84">
        <v>26.61</v>
      </c>
      <c r="P107" s="94">
        <v>8.0369421590000005</v>
      </c>
      <c r="Q107" s="81">
        <f t="shared" si="4"/>
        <v>3.3109607452134453</v>
      </c>
      <c r="R107" s="81">
        <f t="shared" si="5"/>
        <v>6083890.3693297058</v>
      </c>
      <c r="S107" s="81"/>
      <c r="T107" s="81" t="e">
        <f t="shared" si="6"/>
        <v>#DIV/0!</v>
      </c>
      <c r="U107" s="81"/>
      <c r="V107" s="81"/>
      <c r="W107" s="81"/>
      <c r="BR107" s="88"/>
    </row>
    <row r="108" spans="1:70" x14ac:dyDescent="0.4">
      <c r="A108" s="85" t="s">
        <v>286</v>
      </c>
      <c r="B108" s="85" t="s">
        <v>75</v>
      </c>
      <c r="C108" s="125" t="s">
        <v>4</v>
      </c>
      <c r="D108" s="129" t="s">
        <v>485</v>
      </c>
      <c r="E108" s="129" t="s">
        <v>485</v>
      </c>
      <c r="F108" s="129" t="s">
        <v>484</v>
      </c>
      <c r="G108" s="129" t="s">
        <v>485</v>
      </c>
      <c r="H108" s="129" t="s">
        <v>484</v>
      </c>
      <c r="I108" s="112">
        <v>4.8</v>
      </c>
      <c r="J108" s="77" t="s">
        <v>81</v>
      </c>
      <c r="K108" s="84">
        <v>30.92</v>
      </c>
      <c r="L108" s="86">
        <v>13900</v>
      </c>
      <c r="M108" s="83">
        <v>0.4</v>
      </c>
      <c r="N108" s="81">
        <v>50</v>
      </c>
      <c r="O108" s="84">
        <v>26.61</v>
      </c>
      <c r="P108" s="94">
        <v>8.0369421590000005</v>
      </c>
      <c r="Q108" s="81">
        <f t="shared" si="4"/>
        <v>3.3109607452134453</v>
      </c>
      <c r="R108" s="81">
        <f t="shared" si="5"/>
        <v>5752794.2948083607</v>
      </c>
      <c r="S108" s="87"/>
      <c r="T108" s="81" t="e">
        <f t="shared" si="6"/>
        <v>#DIV/0!</v>
      </c>
      <c r="U108" s="87"/>
      <c r="V108" s="87"/>
      <c r="W108" s="87"/>
      <c r="BR108" s="88"/>
    </row>
    <row r="109" spans="1:70" x14ac:dyDescent="0.4">
      <c r="A109" s="85" t="s">
        <v>287</v>
      </c>
      <c r="B109" s="76" t="s">
        <v>75</v>
      </c>
      <c r="C109" s="125" t="s">
        <v>4</v>
      </c>
      <c r="D109" s="129" t="s">
        <v>485</v>
      </c>
      <c r="E109" s="129" t="s">
        <v>485</v>
      </c>
      <c r="F109" s="129" t="s">
        <v>484</v>
      </c>
      <c r="G109" s="129" t="s">
        <v>485</v>
      </c>
      <c r="H109" s="129" t="s">
        <v>484</v>
      </c>
      <c r="I109" s="112">
        <v>4.8</v>
      </c>
      <c r="J109" s="77" t="s">
        <v>81</v>
      </c>
      <c r="K109" s="84">
        <v>30.68</v>
      </c>
      <c r="L109" s="86">
        <v>14500</v>
      </c>
      <c r="M109" s="83">
        <v>0.4</v>
      </c>
      <c r="N109" s="81">
        <v>50</v>
      </c>
      <c r="O109" s="84">
        <v>26.61</v>
      </c>
      <c r="P109" s="94">
        <v>8.0369421590000005</v>
      </c>
      <c r="Q109" s="81">
        <f t="shared" si="4"/>
        <v>3.3109607452134453</v>
      </c>
      <c r="R109" s="81">
        <f t="shared" si="5"/>
        <v>6001116.3506993698</v>
      </c>
      <c r="S109" s="81"/>
      <c r="T109" s="81" t="e">
        <f t="shared" si="6"/>
        <v>#DIV/0!</v>
      </c>
      <c r="U109" s="81" t="e">
        <f>AVERAGE(T107:T109)</f>
        <v>#DIV/0!</v>
      </c>
      <c r="V109" s="81" t="e">
        <f>_xlfn.STDEV.S(T107:T109)</f>
        <v>#DIV/0!</v>
      </c>
      <c r="W109" s="81">
        <f>MAX(K107:K109)-MIN(K107:K109)</f>
        <v>0.2900000000000027</v>
      </c>
    </row>
    <row r="110" spans="1:70" x14ac:dyDescent="0.4">
      <c r="A110" s="85" t="s">
        <v>288</v>
      </c>
      <c r="B110" s="76" t="s">
        <v>76</v>
      </c>
      <c r="C110" s="125" t="s">
        <v>5</v>
      </c>
      <c r="D110" s="129" t="s">
        <v>485</v>
      </c>
      <c r="E110" s="129" t="s">
        <v>484</v>
      </c>
      <c r="F110" s="129" t="s">
        <v>484</v>
      </c>
      <c r="G110" s="129" t="s">
        <v>485</v>
      </c>
      <c r="H110" s="129" t="s">
        <v>485</v>
      </c>
      <c r="I110" s="112">
        <v>4.8</v>
      </c>
      <c r="J110" s="77" t="s">
        <v>81</v>
      </c>
      <c r="K110" s="84">
        <v>30.33</v>
      </c>
      <c r="L110" s="86">
        <v>15400</v>
      </c>
      <c r="M110" s="83">
        <v>0.4</v>
      </c>
      <c r="N110" s="81">
        <v>50</v>
      </c>
      <c r="O110" s="84">
        <v>6.43</v>
      </c>
      <c r="P110" s="94">
        <v>6.3685568080000001</v>
      </c>
      <c r="Q110" s="81">
        <f t="shared" si="4"/>
        <v>1.0096478988650641</v>
      </c>
      <c r="R110" s="81">
        <f t="shared" si="5"/>
        <v>1943572.2053152486</v>
      </c>
      <c r="S110" s="87"/>
      <c r="T110" s="81" t="e">
        <f t="shared" si="6"/>
        <v>#DIV/0!</v>
      </c>
      <c r="U110" s="81"/>
      <c r="V110" s="87"/>
      <c r="W110" s="87"/>
    </row>
    <row r="111" spans="1:70" x14ac:dyDescent="0.4">
      <c r="A111" s="85" t="s">
        <v>289</v>
      </c>
      <c r="B111" s="85" t="s">
        <v>76</v>
      </c>
      <c r="C111" s="125" t="s">
        <v>5</v>
      </c>
      <c r="D111" s="129" t="s">
        <v>485</v>
      </c>
      <c r="E111" s="129" t="s">
        <v>484</v>
      </c>
      <c r="F111" s="129" t="s">
        <v>484</v>
      </c>
      <c r="G111" s="129" t="s">
        <v>485</v>
      </c>
      <c r="H111" s="129" t="s">
        <v>485</v>
      </c>
      <c r="I111" s="112">
        <v>4.8</v>
      </c>
      <c r="J111" s="77" t="s">
        <v>81</v>
      </c>
      <c r="K111" s="84">
        <v>30.67</v>
      </c>
      <c r="L111" s="86">
        <v>14500</v>
      </c>
      <c r="M111" s="83">
        <v>0.4</v>
      </c>
      <c r="N111" s="81">
        <v>50</v>
      </c>
      <c r="O111">
        <v>6.43</v>
      </c>
      <c r="P111" s="94">
        <v>6.3685568080000001</v>
      </c>
      <c r="Q111" s="81">
        <f t="shared" si="4"/>
        <v>1.0096478988650641</v>
      </c>
      <c r="R111" s="81">
        <f t="shared" si="5"/>
        <v>1829986.8166929288</v>
      </c>
      <c r="S111" s="81"/>
      <c r="T111" s="81" t="e">
        <f t="shared" si="6"/>
        <v>#DIV/0!</v>
      </c>
      <c r="U111" s="81"/>
      <c r="V111" s="81"/>
      <c r="W111" s="81"/>
    </row>
    <row r="112" spans="1:70" x14ac:dyDescent="0.4">
      <c r="A112" s="85" t="s">
        <v>290</v>
      </c>
      <c r="B112" s="76" t="s">
        <v>76</v>
      </c>
      <c r="C112" s="125" t="s">
        <v>5</v>
      </c>
      <c r="D112" s="129" t="s">
        <v>485</v>
      </c>
      <c r="E112" s="129" t="s">
        <v>484</v>
      </c>
      <c r="F112" s="129" t="s">
        <v>484</v>
      </c>
      <c r="G112" s="129" t="s">
        <v>485</v>
      </c>
      <c r="H112" s="129" t="s">
        <v>485</v>
      </c>
      <c r="I112" s="112">
        <v>4.8</v>
      </c>
      <c r="J112" s="77" t="s">
        <v>81</v>
      </c>
      <c r="K112" s="84">
        <v>30.47</v>
      </c>
      <c r="L112" s="86">
        <v>15100</v>
      </c>
      <c r="M112" s="83">
        <v>0.4</v>
      </c>
      <c r="N112" s="81">
        <v>50</v>
      </c>
      <c r="O112">
        <v>6.43</v>
      </c>
      <c r="P112" s="94">
        <v>6.3685568080000001</v>
      </c>
      <c r="Q112" s="81">
        <f t="shared" si="4"/>
        <v>1.0096478988650641</v>
      </c>
      <c r="R112" s="81">
        <f t="shared" si="5"/>
        <v>1905710.4091078085</v>
      </c>
      <c r="S112" s="87"/>
      <c r="T112" s="81" t="e">
        <f t="shared" si="6"/>
        <v>#DIV/0!</v>
      </c>
      <c r="U112" s="81" t="e">
        <f>AVERAGE(T110:T112)</f>
        <v>#DIV/0!</v>
      </c>
      <c r="V112" s="81" t="e">
        <f>_xlfn.STDEV.S(T110:T112)</f>
        <v>#DIV/0!</v>
      </c>
      <c r="W112" s="81">
        <f>MAX(K110:K112)-MIN(K110:K112)</f>
        <v>0.34000000000000341</v>
      </c>
    </row>
    <row r="113" spans="1:23" x14ac:dyDescent="0.4">
      <c r="A113" s="85" t="s">
        <v>291</v>
      </c>
      <c r="B113" s="76" t="s">
        <v>77</v>
      </c>
      <c r="C113" s="125" t="s">
        <v>6</v>
      </c>
      <c r="D113" s="129" t="s">
        <v>485</v>
      </c>
      <c r="E113" s="129" t="s">
        <v>485</v>
      </c>
      <c r="F113" s="129" t="s">
        <v>484</v>
      </c>
      <c r="G113" s="129" t="s">
        <v>485</v>
      </c>
      <c r="H113" s="129" t="s">
        <v>485</v>
      </c>
      <c r="I113" s="112">
        <v>4.8</v>
      </c>
      <c r="J113" s="77" t="s">
        <v>81</v>
      </c>
      <c r="K113" s="84">
        <v>31.05</v>
      </c>
      <c r="L113" s="86">
        <v>13600</v>
      </c>
      <c r="M113" s="83">
        <v>0.4</v>
      </c>
      <c r="N113" s="81">
        <v>50</v>
      </c>
      <c r="O113">
        <v>2.38</v>
      </c>
      <c r="P113" s="94">
        <v>4.0712730739999996</v>
      </c>
      <c r="Q113" s="81">
        <f t="shared" si="4"/>
        <v>0.58458373013571041</v>
      </c>
      <c r="R113" s="81">
        <f t="shared" si="5"/>
        <v>993792.34123070759</v>
      </c>
      <c r="S113" s="81"/>
      <c r="T113" s="81" t="e">
        <f t="shared" si="6"/>
        <v>#DIV/0!</v>
      </c>
      <c r="U113" s="81"/>
      <c r="V113" s="81"/>
      <c r="W113" s="81"/>
    </row>
    <row r="114" spans="1:23" x14ac:dyDescent="0.4">
      <c r="A114" s="85" t="s">
        <v>292</v>
      </c>
      <c r="B114" s="85" t="s">
        <v>77</v>
      </c>
      <c r="C114" s="125" t="s">
        <v>6</v>
      </c>
      <c r="D114" s="129" t="s">
        <v>485</v>
      </c>
      <c r="E114" s="129" t="s">
        <v>485</v>
      </c>
      <c r="F114" s="129" t="s">
        <v>484</v>
      </c>
      <c r="G114" s="129" t="s">
        <v>485</v>
      </c>
      <c r="H114" s="129" t="s">
        <v>485</v>
      </c>
      <c r="I114" s="112">
        <v>4.8</v>
      </c>
      <c r="J114" s="77" t="s">
        <v>81</v>
      </c>
      <c r="K114" s="84">
        <v>30.88</v>
      </c>
      <c r="L114" s="86">
        <v>14000</v>
      </c>
      <c r="M114" s="83">
        <v>0.4</v>
      </c>
      <c r="N114" s="81">
        <v>50</v>
      </c>
      <c r="O114">
        <v>2.38</v>
      </c>
      <c r="P114" s="94">
        <v>4.0712730739999996</v>
      </c>
      <c r="Q114" s="81">
        <f t="shared" si="4"/>
        <v>0.58458373013571041</v>
      </c>
      <c r="R114" s="81">
        <f t="shared" si="5"/>
        <v>1023021.5277374932</v>
      </c>
      <c r="S114" s="87"/>
      <c r="T114" s="81" t="e">
        <f t="shared" si="6"/>
        <v>#DIV/0!</v>
      </c>
      <c r="U114" s="81"/>
      <c r="V114" s="87"/>
      <c r="W114" s="87"/>
    </row>
    <row r="115" spans="1:23" x14ac:dyDescent="0.4">
      <c r="A115" s="85" t="s">
        <v>293</v>
      </c>
      <c r="B115" s="76" t="s">
        <v>77</v>
      </c>
      <c r="C115" s="125" t="s">
        <v>6</v>
      </c>
      <c r="D115" s="129" t="s">
        <v>485</v>
      </c>
      <c r="E115" s="129" t="s">
        <v>485</v>
      </c>
      <c r="F115" s="129" t="s">
        <v>484</v>
      </c>
      <c r="G115" s="129" t="s">
        <v>485</v>
      </c>
      <c r="H115" s="129" t="s">
        <v>485</v>
      </c>
      <c r="I115" s="112">
        <v>4.8</v>
      </c>
      <c r="J115" s="77" t="s">
        <v>81</v>
      </c>
      <c r="K115" s="84">
        <v>30.95</v>
      </c>
      <c r="L115" s="86">
        <v>13900</v>
      </c>
      <c r="M115" s="83">
        <v>0.4</v>
      </c>
      <c r="N115" s="81">
        <v>50</v>
      </c>
      <c r="O115">
        <v>2.38</v>
      </c>
      <c r="P115" s="94">
        <v>4.0712730739999996</v>
      </c>
      <c r="Q115" s="81">
        <f t="shared" si="4"/>
        <v>0.58458373013571041</v>
      </c>
      <c r="R115" s="81">
        <f t="shared" si="5"/>
        <v>1015714.2311107968</v>
      </c>
      <c r="S115" s="81"/>
      <c r="T115" s="81" t="e">
        <f t="shared" si="6"/>
        <v>#DIV/0!</v>
      </c>
      <c r="U115" s="81" t="e">
        <f>AVERAGE(T113:T115)</f>
        <v>#DIV/0!</v>
      </c>
      <c r="V115" s="81" t="e">
        <f>_xlfn.STDEV.S(T113:T115)</f>
        <v>#DIV/0!</v>
      </c>
      <c r="W115" s="81">
        <f>MAX(K113:K115)-MIN(K113:K115)</f>
        <v>0.17000000000000171</v>
      </c>
    </row>
    <row r="116" spans="1:23" x14ac:dyDescent="0.4">
      <c r="A116" s="85" t="s">
        <v>294</v>
      </c>
      <c r="B116" s="85" t="s">
        <v>78</v>
      </c>
      <c r="C116" s="125" t="s">
        <v>7</v>
      </c>
      <c r="D116" s="129" t="s">
        <v>485</v>
      </c>
      <c r="E116" s="129" t="s">
        <v>485</v>
      </c>
      <c r="F116" s="129" t="s">
        <v>485</v>
      </c>
      <c r="G116" s="129" t="s">
        <v>485</v>
      </c>
      <c r="H116" s="129" t="s">
        <v>485</v>
      </c>
      <c r="I116" s="112">
        <v>4.8</v>
      </c>
      <c r="J116" s="77" t="s">
        <v>81</v>
      </c>
      <c r="K116" s="84">
        <v>30.1</v>
      </c>
      <c r="L116" s="86">
        <v>16100</v>
      </c>
      <c r="M116" s="83">
        <v>0.4</v>
      </c>
      <c r="N116" s="81">
        <v>50</v>
      </c>
      <c r="O116">
        <v>11.52</v>
      </c>
      <c r="P116" s="94">
        <v>7.2943195989999996</v>
      </c>
      <c r="Q116" s="81">
        <f t="shared" si="4"/>
        <v>1.5793111123865906</v>
      </c>
      <c r="R116" s="81">
        <f t="shared" si="5"/>
        <v>3178363.6136780134</v>
      </c>
      <c r="S116" s="87"/>
      <c r="T116" s="81" t="e">
        <f t="shared" si="6"/>
        <v>#DIV/0!</v>
      </c>
      <c r="U116" s="81"/>
      <c r="V116" s="87"/>
      <c r="W116" s="87"/>
    </row>
    <row r="117" spans="1:23" x14ac:dyDescent="0.4">
      <c r="A117" s="85" t="s">
        <v>295</v>
      </c>
      <c r="B117" s="90" t="s">
        <v>78</v>
      </c>
      <c r="C117" s="125" t="s">
        <v>7</v>
      </c>
      <c r="D117" s="129" t="s">
        <v>485</v>
      </c>
      <c r="E117" s="129" t="s">
        <v>485</v>
      </c>
      <c r="F117" s="129" t="s">
        <v>485</v>
      </c>
      <c r="G117" s="129" t="s">
        <v>485</v>
      </c>
      <c r="H117" s="129" t="s">
        <v>485</v>
      </c>
      <c r="I117" s="112">
        <v>4.8</v>
      </c>
      <c r="J117" s="77" t="s">
        <v>81</v>
      </c>
      <c r="K117" s="84">
        <v>30.44</v>
      </c>
      <c r="L117" s="86">
        <v>15100</v>
      </c>
      <c r="M117" s="83">
        <v>0.4</v>
      </c>
      <c r="N117" s="81">
        <v>50</v>
      </c>
      <c r="O117">
        <v>11.52</v>
      </c>
      <c r="P117" s="94">
        <v>7.2943195989999996</v>
      </c>
      <c r="Q117" s="81">
        <f t="shared" si="4"/>
        <v>1.5793111123865906</v>
      </c>
      <c r="R117" s="81">
        <f t="shared" si="5"/>
        <v>2980949.7246296895</v>
      </c>
      <c r="S117" s="91"/>
      <c r="T117" s="81" t="e">
        <f t="shared" si="6"/>
        <v>#DIV/0!</v>
      </c>
      <c r="U117" s="81"/>
      <c r="V117" s="91"/>
      <c r="W117" s="91"/>
    </row>
    <row r="118" spans="1:23" x14ac:dyDescent="0.4">
      <c r="A118" s="85" t="s">
        <v>296</v>
      </c>
      <c r="B118" s="92" t="s">
        <v>78</v>
      </c>
      <c r="C118" s="125" t="s">
        <v>7</v>
      </c>
      <c r="D118" s="129" t="s">
        <v>485</v>
      </c>
      <c r="E118" s="129" t="s">
        <v>485</v>
      </c>
      <c r="F118" s="129" t="s">
        <v>485</v>
      </c>
      <c r="G118" s="129" t="s">
        <v>485</v>
      </c>
      <c r="H118" s="129" t="s">
        <v>485</v>
      </c>
      <c r="I118" s="112">
        <v>4.8</v>
      </c>
      <c r="J118" s="77" t="s">
        <v>81</v>
      </c>
      <c r="K118" s="84">
        <v>30.28</v>
      </c>
      <c r="L118" s="86">
        <v>15600</v>
      </c>
      <c r="M118" s="83">
        <v>0.4</v>
      </c>
      <c r="N118" s="81">
        <v>50</v>
      </c>
      <c r="O118">
        <v>11.52</v>
      </c>
      <c r="P118" s="94">
        <v>7.2943195989999996</v>
      </c>
      <c r="Q118" s="81">
        <f t="shared" si="4"/>
        <v>1.5793111123865906</v>
      </c>
      <c r="R118" s="81">
        <f t="shared" si="5"/>
        <v>3079656.6691538515</v>
      </c>
      <c r="S118" s="84"/>
      <c r="T118" s="81" t="e">
        <f t="shared" si="6"/>
        <v>#DIV/0!</v>
      </c>
      <c r="U118" s="81" t="e">
        <f>AVERAGE(T116:T118)</f>
        <v>#DIV/0!</v>
      </c>
      <c r="V118" s="81" t="e">
        <f>_xlfn.STDEV.S(T116:T118)</f>
        <v>#DIV/0!</v>
      </c>
      <c r="W118" s="81">
        <f>MAX(K116:K118)-MIN(K116:K118)</f>
        <v>0.33999999999999986</v>
      </c>
    </row>
    <row r="119" spans="1:23" x14ac:dyDescent="0.4">
      <c r="A119" s="85" t="s">
        <v>297</v>
      </c>
      <c r="B119" s="92" t="s">
        <v>86</v>
      </c>
      <c r="C119" s="125" t="s">
        <v>4</v>
      </c>
      <c r="D119" s="129" t="s">
        <v>485</v>
      </c>
      <c r="E119" s="129" t="s">
        <v>485</v>
      </c>
      <c r="F119" s="129" t="s">
        <v>484</v>
      </c>
      <c r="G119" s="129" t="s">
        <v>485</v>
      </c>
      <c r="H119" s="129" t="s">
        <v>484</v>
      </c>
      <c r="I119" s="112">
        <v>5.8</v>
      </c>
      <c r="J119" s="77" t="s">
        <v>81</v>
      </c>
      <c r="K119" s="84">
        <v>31.54</v>
      </c>
      <c r="L119" s="86">
        <v>12700</v>
      </c>
      <c r="M119" s="83">
        <v>0.4</v>
      </c>
      <c r="N119" s="81">
        <v>50</v>
      </c>
      <c r="O119">
        <v>95.65</v>
      </c>
      <c r="P119" s="94">
        <v>6.8781001929999999</v>
      </c>
      <c r="Q119" s="81">
        <f t="shared" si="4"/>
        <v>13.906456334751448</v>
      </c>
      <c r="R119" s="81">
        <f t="shared" si="5"/>
        <v>22076499.431417923</v>
      </c>
      <c r="S119" s="84"/>
      <c r="T119" s="81" t="e">
        <f t="shared" si="6"/>
        <v>#DIV/0!</v>
      </c>
      <c r="U119" s="81"/>
      <c r="V119" s="84"/>
      <c r="W119" s="84"/>
    </row>
    <row r="120" spans="1:23" x14ac:dyDescent="0.4">
      <c r="A120" s="85" t="s">
        <v>298</v>
      </c>
      <c r="B120" s="92" t="s">
        <v>86</v>
      </c>
      <c r="C120" s="125" t="s">
        <v>4</v>
      </c>
      <c r="D120" s="129" t="s">
        <v>485</v>
      </c>
      <c r="E120" s="129" t="s">
        <v>485</v>
      </c>
      <c r="F120" s="129" t="s">
        <v>484</v>
      </c>
      <c r="G120" s="129" t="s">
        <v>485</v>
      </c>
      <c r="H120" s="129" t="s">
        <v>484</v>
      </c>
      <c r="I120" s="112">
        <v>5.8</v>
      </c>
      <c r="J120" s="77" t="s">
        <v>81</v>
      </c>
      <c r="K120" s="84">
        <v>31.69</v>
      </c>
      <c r="L120" s="86">
        <v>12400</v>
      </c>
      <c r="M120" s="83">
        <v>0.4</v>
      </c>
      <c r="N120" s="81">
        <v>50</v>
      </c>
      <c r="O120">
        <v>95.65</v>
      </c>
      <c r="P120" s="94">
        <v>6.8781001929999999</v>
      </c>
      <c r="Q120" s="81">
        <f t="shared" si="4"/>
        <v>13.906456334751448</v>
      </c>
      <c r="R120" s="81">
        <f t="shared" si="5"/>
        <v>21555007.318864744</v>
      </c>
      <c r="S120" s="84"/>
      <c r="T120" s="81" t="e">
        <f t="shared" si="6"/>
        <v>#DIV/0!</v>
      </c>
      <c r="U120" s="81"/>
      <c r="V120" s="84"/>
      <c r="W120" s="84"/>
    </row>
    <row r="121" spans="1:23" x14ac:dyDescent="0.4">
      <c r="A121" s="85" t="s">
        <v>299</v>
      </c>
      <c r="B121" s="92" t="s">
        <v>86</v>
      </c>
      <c r="C121" s="125" t="s">
        <v>4</v>
      </c>
      <c r="D121" s="129" t="s">
        <v>485</v>
      </c>
      <c r="E121" s="129" t="s">
        <v>485</v>
      </c>
      <c r="F121" s="129" t="s">
        <v>484</v>
      </c>
      <c r="G121" s="129" t="s">
        <v>485</v>
      </c>
      <c r="H121" s="129" t="s">
        <v>484</v>
      </c>
      <c r="I121" s="112">
        <v>5.8</v>
      </c>
      <c r="J121" s="77" t="s">
        <v>81</v>
      </c>
      <c r="K121" s="84">
        <v>31.52</v>
      </c>
      <c r="L121" s="86">
        <v>12700</v>
      </c>
      <c r="M121" s="83">
        <v>0.4</v>
      </c>
      <c r="N121" s="81">
        <v>50</v>
      </c>
      <c r="O121">
        <v>95.65</v>
      </c>
      <c r="P121" s="94">
        <v>6.8781001929999999</v>
      </c>
      <c r="Q121" s="81">
        <f t="shared" si="4"/>
        <v>13.906456334751448</v>
      </c>
      <c r="R121" s="81">
        <f t="shared" si="5"/>
        <v>22076499.431417923</v>
      </c>
      <c r="S121" s="84"/>
      <c r="T121" s="81" t="e">
        <f t="shared" si="6"/>
        <v>#DIV/0!</v>
      </c>
      <c r="U121" s="81" t="e">
        <f>AVERAGE(T119:T121)</f>
        <v>#DIV/0!</v>
      </c>
      <c r="V121" s="81" t="e">
        <f>_xlfn.STDEV.S(T119:T121)</f>
        <v>#DIV/0!</v>
      </c>
      <c r="W121" s="81">
        <f>MAX(K119:K121)-MIN(K119:K121)</f>
        <v>0.17000000000000171</v>
      </c>
    </row>
    <row r="122" spans="1:23" x14ac:dyDescent="0.4">
      <c r="A122" s="85" t="s">
        <v>300</v>
      </c>
      <c r="B122" s="92" t="s">
        <v>87</v>
      </c>
      <c r="C122" s="125" t="s">
        <v>5</v>
      </c>
      <c r="D122" s="129" t="s">
        <v>485</v>
      </c>
      <c r="E122" s="129" t="s">
        <v>484</v>
      </c>
      <c r="F122" s="129" t="s">
        <v>484</v>
      </c>
      <c r="G122" s="129" t="s">
        <v>485</v>
      </c>
      <c r="H122" s="129" t="s">
        <v>485</v>
      </c>
      <c r="I122" s="112">
        <v>5.8</v>
      </c>
      <c r="J122" s="77" t="s">
        <v>81</v>
      </c>
      <c r="K122" s="84">
        <v>30.99</v>
      </c>
      <c r="L122" s="86">
        <v>13800</v>
      </c>
      <c r="M122" s="83">
        <v>0.4</v>
      </c>
      <c r="N122" s="81">
        <v>50</v>
      </c>
      <c r="O122">
        <v>35.979999999999997</v>
      </c>
      <c r="P122" s="94">
        <v>5.4665173229999997</v>
      </c>
      <c r="Q122" s="81">
        <f t="shared" si="4"/>
        <v>6.5818871274068034</v>
      </c>
      <c r="R122" s="81">
        <f t="shared" si="5"/>
        <v>11353755.294776736</v>
      </c>
      <c r="S122" s="84"/>
      <c r="T122" s="81" t="e">
        <f t="shared" si="6"/>
        <v>#DIV/0!</v>
      </c>
      <c r="U122" s="81"/>
      <c r="V122" s="84"/>
      <c r="W122" s="84"/>
    </row>
    <row r="123" spans="1:23" x14ac:dyDescent="0.4">
      <c r="A123" s="85" t="s">
        <v>301</v>
      </c>
      <c r="B123" s="92" t="s">
        <v>87</v>
      </c>
      <c r="C123" s="125" t="s">
        <v>5</v>
      </c>
      <c r="D123" s="129" t="s">
        <v>485</v>
      </c>
      <c r="E123" s="129" t="s">
        <v>484</v>
      </c>
      <c r="F123" s="129" t="s">
        <v>484</v>
      </c>
      <c r="G123" s="129" t="s">
        <v>485</v>
      </c>
      <c r="H123" s="129" t="s">
        <v>485</v>
      </c>
      <c r="I123" s="112">
        <v>5.8</v>
      </c>
      <c r="J123" s="77" t="s">
        <v>81</v>
      </c>
      <c r="K123" s="84">
        <v>32.18</v>
      </c>
      <c r="L123" s="86">
        <v>11600</v>
      </c>
      <c r="M123" s="83">
        <v>0.4</v>
      </c>
      <c r="N123" s="81">
        <v>50</v>
      </c>
      <c r="O123">
        <v>35.979999999999997</v>
      </c>
      <c r="P123" s="94">
        <v>5.4665173229999997</v>
      </c>
      <c r="Q123" s="81">
        <f t="shared" si="4"/>
        <v>6.5818871274068034</v>
      </c>
      <c r="R123" s="81">
        <f t="shared" si="5"/>
        <v>9543736.3347398639</v>
      </c>
      <c r="S123" s="84"/>
      <c r="T123" s="81" t="e">
        <f t="shared" si="6"/>
        <v>#DIV/0!</v>
      </c>
      <c r="U123" s="81"/>
      <c r="V123" s="84"/>
      <c r="W123" s="84"/>
    </row>
    <row r="124" spans="1:23" x14ac:dyDescent="0.4">
      <c r="A124" s="85" t="s">
        <v>302</v>
      </c>
      <c r="B124" s="92" t="s">
        <v>87</v>
      </c>
      <c r="C124" s="125" t="s">
        <v>5</v>
      </c>
      <c r="D124" s="129" t="s">
        <v>485</v>
      </c>
      <c r="E124" s="129" t="s">
        <v>484</v>
      </c>
      <c r="F124" s="129" t="s">
        <v>484</v>
      </c>
      <c r="G124" s="129" t="s">
        <v>485</v>
      </c>
      <c r="H124" s="129" t="s">
        <v>485</v>
      </c>
      <c r="I124" s="112">
        <v>5.8</v>
      </c>
      <c r="J124" s="77" t="s">
        <v>81</v>
      </c>
      <c r="K124" s="84">
        <v>30.61</v>
      </c>
      <c r="L124" s="86">
        <v>14700</v>
      </c>
      <c r="M124" s="83">
        <v>0.4</v>
      </c>
      <c r="N124" s="81">
        <v>50</v>
      </c>
      <c r="O124">
        <v>35.979999999999997</v>
      </c>
      <c r="P124" s="94">
        <v>5.4665173229999997</v>
      </c>
      <c r="Q124" s="81">
        <f t="shared" si="4"/>
        <v>6.5818871274068034</v>
      </c>
      <c r="R124" s="81">
        <f t="shared" si="5"/>
        <v>12094217.596610002</v>
      </c>
      <c r="S124" s="84"/>
      <c r="T124" s="81" t="e">
        <f t="shared" si="6"/>
        <v>#DIV/0!</v>
      </c>
      <c r="U124" s="81" t="e">
        <f>AVERAGE(T122:T124)</f>
        <v>#DIV/0!</v>
      </c>
      <c r="V124" s="81" t="e">
        <f>_xlfn.STDEV.S(T122:T124)</f>
        <v>#DIV/0!</v>
      </c>
      <c r="W124" s="81">
        <f>MAX(K122:K124)-MIN(K122:K124)</f>
        <v>1.5700000000000003</v>
      </c>
    </row>
    <row r="125" spans="1:23" x14ac:dyDescent="0.4">
      <c r="A125" s="85" t="s">
        <v>303</v>
      </c>
      <c r="B125" s="92" t="s">
        <v>88</v>
      </c>
      <c r="C125" s="125" t="s">
        <v>6</v>
      </c>
      <c r="D125" s="129" t="s">
        <v>485</v>
      </c>
      <c r="E125" s="129" t="s">
        <v>485</v>
      </c>
      <c r="F125" s="129" t="s">
        <v>484</v>
      </c>
      <c r="G125" s="129" t="s">
        <v>485</v>
      </c>
      <c r="H125" s="129" t="s">
        <v>485</v>
      </c>
      <c r="I125" s="112">
        <v>5.8</v>
      </c>
      <c r="J125" s="77" t="s">
        <v>81</v>
      </c>
      <c r="K125" s="84">
        <v>30.35</v>
      </c>
      <c r="L125" s="86">
        <v>15400</v>
      </c>
      <c r="M125" s="83">
        <v>0.4</v>
      </c>
      <c r="N125" s="81">
        <v>50</v>
      </c>
      <c r="O125">
        <v>40.32</v>
      </c>
      <c r="P125" s="94">
        <v>4.7812183939999997</v>
      </c>
      <c r="Q125" s="81">
        <f t="shared" si="4"/>
        <v>8.4329969219975354</v>
      </c>
      <c r="R125" s="81">
        <f t="shared" si="5"/>
        <v>16233519.074845254</v>
      </c>
      <c r="S125" s="84"/>
      <c r="T125" s="81" t="e">
        <f t="shared" si="6"/>
        <v>#DIV/0!</v>
      </c>
      <c r="U125" s="81"/>
      <c r="V125" s="84"/>
      <c r="W125" s="84"/>
    </row>
    <row r="126" spans="1:23" x14ac:dyDescent="0.4">
      <c r="A126" s="85" t="s">
        <v>304</v>
      </c>
      <c r="B126" s="92" t="s">
        <v>88</v>
      </c>
      <c r="C126" s="125" t="s">
        <v>6</v>
      </c>
      <c r="D126" s="129" t="s">
        <v>485</v>
      </c>
      <c r="E126" s="129" t="s">
        <v>485</v>
      </c>
      <c r="F126" s="129" t="s">
        <v>484</v>
      </c>
      <c r="G126" s="129" t="s">
        <v>485</v>
      </c>
      <c r="H126" s="129" t="s">
        <v>485</v>
      </c>
      <c r="I126" s="112">
        <v>5.8</v>
      </c>
      <c r="J126" s="77" t="s">
        <v>81</v>
      </c>
      <c r="K126" s="84">
        <v>30.58</v>
      </c>
      <c r="L126" s="86">
        <v>14800</v>
      </c>
      <c r="M126" s="83">
        <v>0.4</v>
      </c>
      <c r="N126" s="81">
        <v>50</v>
      </c>
      <c r="O126">
        <v>40.32</v>
      </c>
      <c r="P126" s="94">
        <v>4.7812183939999997</v>
      </c>
      <c r="Q126" s="81">
        <f t="shared" si="4"/>
        <v>8.4329969219975354</v>
      </c>
      <c r="R126" s="81">
        <f t="shared" si="5"/>
        <v>15601044.305695439</v>
      </c>
      <c r="S126" s="84"/>
      <c r="T126" s="81" t="e">
        <f t="shared" si="6"/>
        <v>#DIV/0!</v>
      </c>
      <c r="U126" s="81"/>
      <c r="V126" s="84"/>
      <c r="W126" s="84"/>
    </row>
    <row r="127" spans="1:23" x14ac:dyDescent="0.4">
      <c r="A127" s="85" t="s">
        <v>305</v>
      </c>
      <c r="B127" s="92" t="s">
        <v>88</v>
      </c>
      <c r="C127" s="125" t="s">
        <v>6</v>
      </c>
      <c r="D127" s="129" t="s">
        <v>485</v>
      </c>
      <c r="E127" s="129" t="s">
        <v>485</v>
      </c>
      <c r="F127" s="129" t="s">
        <v>484</v>
      </c>
      <c r="G127" s="129" t="s">
        <v>485</v>
      </c>
      <c r="H127" s="129" t="s">
        <v>485</v>
      </c>
      <c r="I127" s="112">
        <v>5.8</v>
      </c>
      <c r="J127" s="77" t="s">
        <v>81</v>
      </c>
      <c r="K127" s="84">
        <v>31.41</v>
      </c>
      <c r="L127" s="86">
        <v>12900</v>
      </c>
      <c r="M127" s="83">
        <v>0.4</v>
      </c>
      <c r="N127" s="81">
        <v>50</v>
      </c>
      <c r="O127">
        <v>40.32</v>
      </c>
      <c r="P127" s="94">
        <v>4.7812183939999997</v>
      </c>
      <c r="Q127" s="81">
        <f t="shared" si="4"/>
        <v>8.4329969219975354</v>
      </c>
      <c r="R127" s="81">
        <f t="shared" si="5"/>
        <v>13598207.536721025</v>
      </c>
      <c r="S127" s="84"/>
      <c r="T127" s="81" t="e">
        <f t="shared" si="6"/>
        <v>#DIV/0!</v>
      </c>
      <c r="U127" s="81" t="e">
        <f>AVERAGE(T125:T127)</f>
        <v>#DIV/0!</v>
      </c>
      <c r="V127" s="81" t="e">
        <f>_xlfn.STDEV.S(T125:T127)</f>
        <v>#DIV/0!</v>
      </c>
      <c r="W127" s="81">
        <f>MAX(K125:K127)-MIN(K125:K127)</f>
        <v>1.0599999999999987</v>
      </c>
    </row>
    <row r="128" spans="1:23" x14ac:dyDescent="0.4">
      <c r="A128" s="85" t="s">
        <v>306</v>
      </c>
      <c r="B128" s="92" t="s">
        <v>89</v>
      </c>
      <c r="C128" s="125" t="s">
        <v>7</v>
      </c>
      <c r="D128" s="129" t="s">
        <v>485</v>
      </c>
      <c r="E128" s="129" t="s">
        <v>485</v>
      </c>
      <c r="F128" s="129" t="s">
        <v>485</v>
      </c>
      <c r="G128" s="129" t="s">
        <v>485</v>
      </c>
      <c r="H128" s="129" t="s">
        <v>485</v>
      </c>
      <c r="I128" s="112">
        <v>5.8</v>
      </c>
      <c r="J128" s="77" t="s">
        <v>81</v>
      </c>
      <c r="K128" s="84">
        <v>30.68</v>
      </c>
      <c r="L128" s="86">
        <v>14500</v>
      </c>
      <c r="M128" s="83">
        <v>0.4</v>
      </c>
      <c r="N128" s="81">
        <v>50</v>
      </c>
      <c r="O128">
        <v>41.26</v>
      </c>
      <c r="P128" s="94">
        <v>5.4128860359999997</v>
      </c>
      <c r="Q128" s="81">
        <f t="shared" si="4"/>
        <v>7.6225510246452934</v>
      </c>
      <c r="R128" s="81">
        <f t="shared" si="5"/>
        <v>13815873.732169593</v>
      </c>
      <c r="S128" s="84"/>
      <c r="T128" s="81" t="e">
        <f t="shared" si="6"/>
        <v>#DIV/0!</v>
      </c>
      <c r="U128" s="81"/>
      <c r="V128" s="84"/>
      <c r="W128" s="84"/>
    </row>
    <row r="129" spans="1:23" x14ac:dyDescent="0.4">
      <c r="A129" s="85" t="s">
        <v>307</v>
      </c>
      <c r="B129" s="92" t="s">
        <v>89</v>
      </c>
      <c r="C129" s="125" t="s">
        <v>7</v>
      </c>
      <c r="D129" s="129" t="s">
        <v>485</v>
      </c>
      <c r="E129" s="129" t="s">
        <v>485</v>
      </c>
      <c r="F129" s="129" t="s">
        <v>485</v>
      </c>
      <c r="G129" s="129" t="s">
        <v>485</v>
      </c>
      <c r="H129" s="129" t="s">
        <v>485</v>
      </c>
      <c r="I129" s="112">
        <v>5.8</v>
      </c>
      <c r="J129" s="77" t="s">
        <v>81</v>
      </c>
      <c r="K129" s="84">
        <v>30.52</v>
      </c>
      <c r="L129" s="86">
        <v>14900</v>
      </c>
      <c r="M129" s="83">
        <v>0.4</v>
      </c>
      <c r="N129" s="81">
        <v>50</v>
      </c>
      <c r="O129">
        <v>41.26</v>
      </c>
      <c r="P129" s="94">
        <v>5.4128860359999997</v>
      </c>
      <c r="Q129" s="81">
        <f t="shared" si="4"/>
        <v>7.6225510246452934</v>
      </c>
      <c r="R129" s="81">
        <f t="shared" si="5"/>
        <v>14197001.283401858</v>
      </c>
      <c r="S129" s="84"/>
      <c r="T129" s="81" t="e">
        <f t="shared" si="6"/>
        <v>#DIV/0!</v>
      </c>
      <c r="U129" s="81"/>
      <c r="V129" s="84"/>
      <c r="W129" s="84"/>
    </row>
    <row r="130" spans="1:23" x14ac:dyDescent="0.4">
      <c r="A130" s="85" t="s">
        <v>308</v>
      </c>
      <c r="B130" s="92" t="s">
        <v>89</v>
      </c>
      <c r="C130" s="125" t="s">
        <v>7</v>
      </c>
      <c r="D130" s="129" t="s">
        <v>485</v>
      </c>
      <c r="E130" s="129" t="s">
        <v>485</v>
      </c>
      <c r="F130" s="129" t="s">
        <v>485</v>
      </c>
      <c r="G130" s="129" t="s">
        <v>485</v>
      </c>
      <c r="H130" s="129" t="s">
        <v>485</v>
      </c>
      <c r="I130" s="112">
        <v>5.8</v>
      </c>
      <c r="J130" s="77" t="s">
        <v>81</v>
      </c>
      <c r="K130" s="84">
        <v>30.5</v>
      </c>
      <c r="L130" s="86">
        <v>15000</v>
      </c>
      <c r="M130" s="83">
        <v>0.4</v>
      </c>
      <c r="N130" s="81">
        <v>50</v>
      </c>
      <c r="O130">
        <v>41.26</v>
      </c>
      <c r="P130" s="94">
        <v>5.4128860359999997</v>
      </c>
      <c r="Q130" s="81">
        <f t="shared" si="4"/>
        <v>7.6225510246452934</v>
      </c>
      <c r="R130" s="81">
        <f t="shared" si="5"/>
        <v>14292283.171209926</v>
      </c>
      <c r="S130" s="84"/>
      <c r="T130" s="81" t="e">
        <f t="shared" si="6"/>
        <v>#DIV/0!</v>
      </c>
      <c r="U130" s="81" t="e">
        <f>AVERAGE(T128:T130)</f>
        <v>#DIV/0!</v>
      </c>
      <c r="V130" s="81" t="e">
        <f>_xlfn.STDEV.S(T128:T130)</f>
        <v>#DIV/0!</v>
      </c>
      <c r="W130" s="81">
        <f>MAX(K128:K130)-MIN(K128:K130)</f>
        <v>0.17999999999999972</v>
      </c>
    </row>
    <row r="131" spans="1:23" x14ac:dyDescent="0.4">
      <c r="A131" s="85" t="s">
        <v>309</v>
      </c>
      <c r="B131" s="92" t="s">
        <v>96</v>
      </c>
      <c r="C131" s="125" t="s">
        <v>4</v>
      </c>
      <c r="D131" s="129" t="s">
        <v>485</v>
      </c>
      <c r="E131" s="129" t="s">
        <v>485</v>
      </c>
      <c r="F131" s="129" t="s">
        <v>484</v>
      </c>
      <c r="G131" s="129" t="s">
        <v>485</v>
      </c>
      <c r="H131" s="129" t="s">
        <v>484</v>
      </c>
      <c r="I131" s="112">
        <v>4.8</v>
      </c>
      <c r="J131" s="77" t="s">
        <v>132</v>
      </c>
      <c r="K131" s="84">
        <v>31.78</v>
      </c>
      <c r="L131" s="86">
        <v>12200</v>
      </c>
      <c r="M131" s="83">
        <v>0.4</v>
      </c>
      <c r="N131" s="81">
        <v>50</v>
      </c>
      <c r="O131">
        <v>3.1</v>
      </c>
      <c r="P131" s="94">
        <v>0.85496507499999996</v>
      </c>
      <c r="Q131" s="81">
        <f t="shared" si="4"/>
        <v>3.6258791038920513</v>
      </c>
      <c r="R131" s="81">
        <f t="shared" si="5"/>
        <v>5529465.6334353779</v>
      </c>
      <c r="S131" s="84"/>
      <c r="T131" s="81" t="e">
        <f t="shared" si="6"/>
        <v>#DIV/0!</v>
      </c>
      <c r="U131" s="81"/>
      <c r="V131" s="84"/>
      <c r="W131" s="84"/>
    </row>
    <row r="132" spans="1:23" x14ac:dyDescent="0.4">
      <c r="A132" s="85" t="s">
        <v>310</v>
      </c>
      <c r="B132" s="92" t="s">
        <v>96</v>
      </c>
      <c r="C132" s="125" t="s">
        <v>4</v>
      </c>
      <c r="D132" s="129" t="s">
        <v>485</v>
      </c>
      <c r="E132" s="129" t="s">
        <v>485</v>
      </c>
      <c r="F132" s="129" t="s">
        <v>484</v>
      </c>
      <c r="G132" s="129" t="s">
        <v>485</v>
      </c>
      <c r="H132" s="129" t="s">
        <v>484</v>
      </c>
      <c r="I132" s="112">
        <v>4.8</v>
      </c>
      <c r="J132" s="77" t="s">
        <v>132</v>
      </c>
      <c r="K132" s="84">
        <v>31.24</v>
      </c>
      <c r="L132" s="86">
        <v>13300</v>
      </c>
      <c r="M132" s="83">
        <v>0.4</v>
      </c>
      <c r="N132" s="81">
        <v>50</v>
      </c>
      <c r="O132">
        <v>3.1</v>
      </c>
      <c r="P132" s="94">
        <v>0.85496507499999996</v>
      </c>
      <c r="Q132" s="81">
        <f t="shared" si="4"/>
        <v>3.6258791038920513</v>
      </c>
      <c r="R132" s="81">
        <f t="shared" si="5"/>
        <v>6028024.0102205351</v>
      </c>
      <c r="S132" s="84"/>
      <c r="T132" s="81" t="e">
        <f t="shared" si="6"/>
        <v>#DIV/0!</v>
      </c>
      <c r="U132" s="81"/>
      <c r="V132" s="84"/>
      <c r="W132" s="84"/>
    </row>
    <row r="133" spans="1:23" x14ac:dyDescent="0.4">
      <c r="A133" s="85" t="s">
        <v>311</v>
      </c>
      <c r="B133" s="92" t="s">
        <v>96</v>
      </c>
      <c r="C133" s="125" t="s">
        <v>4</v>
      </c>
      <c r="D133" s="129" t="s">
        <v>485</v>
      </c>
      <c r="E133" s="129" t="s">
        <v>485</v>
      </c>
      <c r="F133" s="129" t="s">
        <v>484</v>
      </c>
      <c r="G133" s="129" t="s">
        <v>485</v>
      </c>
      <c r="H133" s="129" t="s">
        <v>484</v>
      </c>
      <c r="I133" s="112">
        <v>4.8</v>
      </c>
      <c r="J133" s="77" t="s">
        <v>132</v>
      </c>
      <c r="K133" s="84">
        <v>30.99</v>
      </c>
      <c r="L133" s="86">
        <v>13800</v>
      </c>
      <c r="M133" s="83">
        <v>0.4</v>
      </c>
      <c r="N133" s="81">
        <v>50</v>
      </c>
      <c r="O133">
        <v>3.1</v>
      </c>
      <c r="P133" s="94">
        <v>0.85496507499999996</v>
      </c>
      <c r="Q133" s="81">
        <f t="shared" si="4"/>
        <v>3.6258791038920513</v>
      </c>
      <c r="R133" s="81">
        <f t="shared" si="5"/>
        <v>6254641.4542137887</v>
      </c>
      <c r="S133" s="84"/>
      <c r="T133" s="81" t="e">
        <f t="shared" si="6"/>
        <v>#DIV/0!</v>
      </c>
      <c r="U133" s="81" t="e">
        <f>AVERAGE(T131:T133)</f>
        <v>#DIV/0!</v>
      </c>
      <c r="V133" s="81" t="e">
        <f>_xlfn.STDEV.S(T131:T133)</f>
        <v>#DIV/0!</v>
      </c>
      <c r="W133" s="81">
        <f>MAX(K131:K133)-MIN(K131:K133)</f>
        <v>0.7900000000000027</v>
      </c>
    </row>
    <row r="134" spans="1:23" x14ac:dyDescent="0.4">
      <c r="A134" s="85" t="s">
        <v>312</v>
      </c>
      <c r="B134" s="92" t="s">
        <v>97</v>
      </c>
      <c r="C134" s="125" t="s">
        <v>5</v>
      </c>
      <c r="D134" s="129" t="s">
        <v>485</v>
      </c>
      <c r="E134" s="129" t="s">
        <v>484</v>
      </c>
      <c r="F134" s="129" t="s">
        <v>484</v>
      </c>
      <c r="G134" s="129" t="s">
        <v>485</v>
      </c>
      <c r="H134" s="129" t="s">
        <v>485</v>
      </c>
      <c r="I134" s="112">
        <v>4.8</v>
      </c>
      <c r="J134" s="77" t="s">
        <v>132</v>
      </c>
      <c r="K134" s="84">
        <v>31.67</v>
      </c>
      <c r="L134" s="86">
        <v>12400</v>
      </c>
      <c r="M134" s="83">
        <v>0.4</v>
      </c>
      <c r="N134" s="81">
        <v>50</v>
      </c>
      <c r="O134">
        <v>0.28000000000000003</v>
      </c>
      <c r="P134" s="94">
        <v>-0.12202898</v>
      </c>
      <c r="Q134" s="81">
        <f t="shared" si="4"/>
        <v>-2.2945369206560611</v>
      </c>
      <c r="R134" s="81">
        <f t="shared" si="5"/>
        <v>-3556532.2270168946</v>
      </c>
      <c r="S134" s="84"/>
      <c r="T134" s="81" t="e">
        <f t="shared" si="6"/>
        <v>#DIV/0!</v>
      </c>
      <c r="U134" s="81"/>
      <c r="V134" s="84"/>
      <c r="W134" s="84"/>
    </row>
    <row r="135" spans="1:23" x14ac:dyDescent="0.4">
      <c r="A135" s="85" t="s">
        <v>313</v>
      </c>
      <c r="B135" s="92" t="s">
        <v>97</v>
      </c>
      <c r="C135" s="125" t="s">
        <v>5</v>
      </c>
      <c r="D135" s="129" t="s">
        <v>485</v>
      </c>
      <c r="E135" s="129" t="s">
        <v>484</v>
      </c>
      <c r="F135" s="129" t="s">
        <v>484</v>
      </c>
      <c r="G135" s="129" t="s">
        <v>485</v>
      </c>
      <c r="H135" s="129" t="s">
        <v>485</v>
      </c>
      <c r="I135" s="112">
        <v>4.8</v>
      </c>
      <c r="J135" s="77" t="s">
        <v>132</v>
      </c>
      <c r="K135" s="84">
        <v>32.07</v>
      </c>
      <c r="L135" s="86">
        <v>11800</v>
      </c>
      <c r="M135" s="83">
        <v>0.4</v>
      </c>
      <c r="N135" s="81">
        <v>50</v>
      </c>
      <c r="O135">
        <v>0.28000000000000003</v>
      </c>
      <c r="P135" s="94">
        <v>-0.12202898</v>
      </c>
      <c r="Q135" s="81">
        <f t="shared" si="4"/>
        <v>-2.2945369206560611</v>
      </c>
      <c r="R135" s="81">
        <f t="shared" si="5"/>
        <v>-3384441.9579676897</v>
      </c>
      <c r="S135" s="84"/>
      <c r="T135" s="81" t="e">
        <f t="shared" si="6"/>
        <v>#DIV/0!</v>
      </c>
      <c r="U135" s="81"/>
      <c r="V135" s="84"/>
      <c r="W135" s="84"/>
    </row>
    <row r="136" spans="1:23" x14ac:dyDescent="0.4">
      <c r="A136" s="85" t="s">
        <v>314</v>
      </c>
      <c r="B136" s="92" t="s">
        <v>97</v>
      </c>
      <c r="C136" s="125" t="s">
        <v>5</v>
      </c>
      <c r="D136" s="129" t="s">
        <v>485</v>
      </c>
      <c r="E136" s="129" t="s">
        <v>484</v>
      </c>
      <c r="F136" s="129" t="s">
        <v>484</v>
      </c>
      <c r="G136" s="129" t="s">
        <v>485</v>
      </c>
      <c r="H136" s="129" t="s">
        <v>485</v>
      </c>
      <c r="I136" s="112">
        <v>4.8</v>
      </c>
      <c r="J136" s="77" t="s">
        <v>132</v>
      </c>
      <c r="K136" s="84">
        <v>31.68</v>
      </c>
      <c r="L136" s="86">
        <v>12400</v>
      </c>
      <c r="M136" s="83">
        <v>0.4</v>
      </c>
      <c r="N136" s="81">
        <v>50</v>
      </c>
      <c r="O136">
        <v>0.28000000000000003</v>
      </c>
      <c r="P136" s="94">
        <v>-0.12202898</v>
      </c>
      <c r="Q136" s="81">
        <f t="shared" si="4"/>
        <v>-2.2945369206560611</v>
      </c>
      <c r="R136" s="81">
        <f t="shared" si="5"/>
        <v>-3556532.2270168946</v>
      </c>
      <c r="S136" s="84"/>
      <c r="T136" s="81" t="e">
        <f t="shared" si="6"/>
        <v>#DIV/0!</v>
      </c>
      <c r="U136" s="81" t="e">
        <f>AVERAGE(T134:T136)</f>
        <v>#DIV/0!</v>
      </c>
      <c r="V136" s="81" t="e">
        <f>_xlfn.STDEV.S(T134:T136)</f>
        <v>#DIV/0!</v>
      </c>
      <c r="W136" s="81">
        <f>MAX(K134:K136)-MIN(K134:K136)</f>
        <v>0.39999999999999858</v>
      </c>
    </row>
    <row r="137" spans="1:23" x14ac:dyDescent="0.4">
      <c r="A137" s="85" t="s">
        <v>315</v>
      </c>
      <c r="B137" s="92" t="s">
        <v>98</v>
      </c>
      <c r="C137" s="125" t="s">
        <v>6</v>
      </c>
      <c r="D137" s="129" t="s">
        <v>485</v>
      </c>
      <c r="E137" s="129" t="s">
        <v>485</v>
      </c>
      <c r="F137" s="129" t="s">
        <v>484</v>
      </c>
      <c r="G137" s="129" t="s">
        <v>485</v>
      </c>
      <c r="H137" s="129" t="s">
        <v>485</v>
      </c>
      <c r="I137" s="112">
        <v>4.8</v>
      </c>
      <c r="J137" s="77" t="s">
        <v>132</v>
      </c>
      <c r="K137" s="84">
        <v>32.04</v>
      </c>
      <c r="L137" s="86">
        <v>11800</v>
      </c>
      <c r="M137" s="83">
        <v>0.4</v>
      </c>
      <c r="N137" s="81">
        <v>50</v>
      </c>
      <c r="O137">
        <v>2.39</v>
      </c>
      <c r="P137" s="94">
        <v>0.61274735000000002</v>
      </c>
      <c r="Q137" s="81">
        <f t="shared" si="4"/>
        <v>3.9004656650085878</v>
      </c>
      <c r="R137" s="81">
        <f t="shared" si="5"/>
        <v>5753186.8558876663</v>
      </c>
      <c r="S137" s="84"/>
      <c r="T137" s="81" t="e">
        <f t="shared" si="6"/>
        <v>#DIV/0!</v>
      </c>
      <c r="U137" s="81"/>
      <c r="V137" s="84"/>
      <c r="W137" s="84"/>
    </row>
    <row r="138" spans="1:23" x14ac:dyDescent="0.4">
      <c r="A138" s="85" t="s">
        <v>316</v>
      </c>
      <c r="B138" s="92" t="s">
        <v>98</v>
      </c>
      <c r="C138" s="125" t="s">
        <v>6</v>
      </c>
      <c r="D138" s="129" t="s">
        <v>485</v>
      </c>
      <c r="E138" s="129" t="s">
        <v>485</v>
      </c>
      <c r="F138" s="129" t="s">
        <v>484</v>
      </c>
      <c r="G138" s="129" t="s">
        <v>485</v>
      </c>
      <c r="H138" s="129" t="s">
        <v>485</v>
      </c>
      <c r="I138" s="112">
        <v>4.8</v>
      </c>
      <c r="J138" s="77" t="s">
        <v>132</v>
      </c>
      <c r="K138" s="84">
        <v>32.340000000000003</v>
      </c>
      <c r="L138" s="86">
        <v>11400</v>
      </c>
      <c r="M138" s="83">
        <v>0.4</v>
      </c>
      <c r="N138" s="81">
        <v>50</v>
      </c>
      <c r="O138">
        <v>2.39</v>
      </c>
      <c r="P138" s="94">
        <v>0.61274735000000002</v>
      </c>
      <c r="Q138" s="81">
        <f t="shared" si="4"/>
        <v>3.9004656650085878</v>
      </c>
      <c r="R138" s="81">
        <f t="shared" si="5"/>
        <v>5558163.5726372367</v>
      </c>
      <c r="S138" s="84"/>
      <c r="T138" s="81" t="e">
        <f t="shared" si="6"/>
        <v>#DIV/0!</v>
      </c>
      <c r="U138" s="81"/>
      <c r="V138" s="84"/>
      <c r="W138" s="84"/>
    </row>
    <row r="139" spans="1:23" x14ac:dyDescent="0.4">
      <c r="A139" s="85" t="s">
        <v>317</v>
      </c>
      <c r="B139" s="92" t="s">
        <v>98</v>
      </c>
      <c r="C139" s="125" t="s">
        <v>6</v>
      </c>
      <c r="D139" s="129" t="s">
        <v>485</v>
      </c>
      <c r="E139" s="129" t="s">
        <v>485</v>
      </c>
      <c r="F139" s="129" t="s">
        <v>484</v>
      </c>
      <c r="G139" s="129" t="s">
        <v>485</v>
      </c>
      <c r="H139" s="129" t="s">
        <v>485</v>
      </c>
      <c r="I139" s="112">
        <v>4.8</v>
      </c>
      <c r="J139" s="77" t="s">
        <v>132</v>
      </c>
      <c r="K139" s="84">
        <v>32.15</v>
      </c>
      <c r="L139" s="86">
        <v>11600</v>
      </c>
      <c r="M139" s="83">
        <v>0.4</v>
      </c>
      <c r="N139" s="81">
        <v>50</v>
      </c>
      <c r="O139">
        <v>2.39</v>
      </c>
      <c r="P139" s="94">
        <v>0.61274735000000002</v>
      </c>
      <c r="Q139" s="81">
        <f t="shared" ref="Q139:Q202" si="7">O139/P139</f>
        <v>3.9004656650085878</v>
      </c>
      <c r="R139" s="81">
        <f t="shared" ref="R139:R202" si="8">(L139*N139*Q139)/M139</f>
        <v>5655675.214262452</v>
      </c>
      <c r="S139" s="84"/>
      <c r="T139" s="81" t="e">
        <f t="shared" ref="T139:T202" si="9">R139/S139</f>
        <v>#DIV/0!</v>
      </c>
      <c r="U139" s="81" t="e">
        <f>AVERAGE(T137:T139)</f>
        <v>#DIV/0!</v>
      </c>
      <c r="V139" s="81" t="e">
        <f>_xlfn.STDEV.S(T137:T139)</f>
        <v>#DIV/0!</v>
      </c>
      <c r="W139" s="81">
        <f>MAX(K137:K139)-MIN(K137:K139)</f>
        <v>0.30000000000000426</v>
      </c>
    </row>
    <row r="140" spans="1:23" x14ac:dyDescent="0.4">
      <c r="A140" s="85" t="s">
        <v>318</v>
      </c>
      <c r="B140" s="92" t="s">
        <v>99</v>
      </c>
      <c r="C140" s="125" t="s">
        <v>7</v>
      </c>
      <c r="D140" s="129" t="s">
        <v>485</v>
      </c>
      <c r="E140" s="129" t="s">
        <v>485</v>
      </c>
      <c r="F140" s="129" t="s">
        <v>485</v>
      </c>
      <c r="G140" s="129" t="s">
        <v>485</v>
      </c>
      <c r="H140" s="129" t="s">
        <v>485</v>
      </c>
      <c r="I140" s="112">
        <v>4.8</v>
      </c>
      <c r="J140" s="77" t="s">
        <v>132</v>
      </c>
      <c r="K140" s="84">
        <v>30.01</v>
      </c>
      <c r="L140" s="86">
        <v>16400</v>
      </c>
      <c r="M140" s="83">
        <v>0.4</v>
      </c>
      <c r="N140" s="81">
        <v>50</v>
      </c>
      <c r="O140">
        <v>1.39</v>
      </c>
      <c r="P140" s="94">
        <v>0.146404383</v>
      </c>
      <c r="Q140" s="81">
        <f t="shared" si="7"/>
        <v>9.4942512752504129</v>
      </c>
      <c r="R140" s="81">
        <f t="shared" si="8"/>
        <v>19463215.114263345</v>
      </c>
      <c r="S140" s="84"/>
      <c r="T140" s="81" t="e">
        <f t="shared" si="9"/>
        <v>#DIV/0!</v>
      </c>
      <c r="U140" s="81"/>
      <c r="V140" s="84"/>
      <c r="W140" s="84"/>
    </row>
    <row r="141" spans="1:23" x14ac:dyDescent="0.4">
      <c r="A141" s="85" t="s">
        <v>319</v>
      </c>
      <c r="B141" s="92" t="s">
        <v>99</v>
      </c>
      <c r="C141" s="125" t="s">
        <v>7</v>
      </c>
      <c r="D141" s="129" t="s">
        <v>485</v>
      </c>
      <c r="E141" s="129" t="s">
        <v>485</v>
      </c>
      <c r="F141" s="129" t="s">
        <v>485</v>
      </c>
      <c r="G141" s="129" t="s">
        <v>485</v>
      </c>
      <c r="H141" s="129" t="s">
        <v>485</v>
      </c>
      <c r="I141" s="112">
        <v>4.8</v>
      </c>
      <c r="J141" s="77" t="s">
        <v>132</v>
      </c>
      <c r="K141" s="84">
        <v>29.56</v>
      </c>
      <c r="L141" s="86">
        <v>17900</v>
      </c>
      <c r="M141" s="83">
        <v>0.4</v>
      </c>
      <c r="N141" s="81">
        <v>50</v>
      </c>
      <c r="O141">
        <v>1.39</v>
      </c>
      <c r="P141" s="94">
        <v>0.146404383</v>
      </c>
      <c r="Q141" s="81">
        <f t="shared" si="7"/>
        <v>9.4942512752504129</v>
      </c>
      <c r="R141" s="81">
        <f t="shared" si="8"/>
        <v>21243387.228372797</v>
      </c>
      <c r="S141" s="84"/>
      <c r="T141" s="81" t="e">
        <f t="shared" si="9"/>
        <v>#DIV/0!</v>
      </c>
      <c r="U141" s="81"/>
      <c r="V141" s="84"/>
      <c r="W141" s="84"/>
    </row>
    <row r="142" spans="1:23" x14ac:dyDescent="0.4">
      <c r="A142" s="85" t="s">
        <v>320</v>
      </c>
      <c r="B142" s="92" t="s">
        <v>99</v>
      </c>
      <c r="C142" s="125" t="s">
        <v>7</v>
      </c>
      <c r="D142" s="129" t="s">
        <v>485</v>
      </c>
      <c r="E142" s="129" t="s">
        <v>485</v>
      </c>
      <c r="F142" s="129" t="s">
        <v>485</v>
      </c>
      <c r="G142" s="129" t="s">
        <v>485</v>
      </c>
      <c r="H142" s="129" t="s">
        <v>485</v>
      </c>
      <c r="I142" s="112">
        <v>4.8</v>
      </c>
      <c r="J142" s="77" t="s">
        <v>132</v>
      </c>
      <c r="K142" s="84">
        <v>30.08</v>
      </c>
      <c r="L142" s="86">
        <v>16200</v>
      </c>
      <c r="M142" s="83">
        <v>0.4</v>
      </c>
      <c r="N142" s="81">
        <v>50</v>
      </c>
      <c r="O142">
        <v>1.39</v>
      </c>
      <c r="P142" s="94">
        <v>0.146404383</v>
      </c>
      <c r="Q142" s="81">
        <f t="shared" si="7"/>
        <v>9.4942512752504129</v>
      </c>
      <c r="R142" s="81">
        <f t="shared" si="8"/>
        <v>19225858.832382087</v>
      </c>
      <c r="S142" s="84"/>
      <c r="T142" s="81" t="e">
        <f t="shared" si="9"/>
        <v>#DIV/0!</v>
      </c>
      <c r="U142" s="81" t="e">
        <f>AVERAGE(T140:T142)</f>
        <v>#DIV/0!</v>
      </c>
      <c r="V142" s="81" t="e">
        <f>_xlfn.STDEV.S(T140:T142)</f>
        <v>#DIV/0!</v>
      </c>
      <c r="W142" s="81">
        <f>MAX(K140:K142)-MIN(K140:K142)</f>
        <v>0.51999999999999957</v>
      </c>
    </row>
    <row r="143" spans="1:23" x14ac:dyDescent="0.4">
      <c r="A143" s="85" t="s">
        <v>321</v>
      </c>
      <c r="B143" s="92" t="s">
        <v>106</v>
      </c>
      <c r="C143" s="125" t="s">
        <v>4</v>
      </c>
      <c r="D143" s="129" t="s">
        <v>485</v>
      </c>
      <c r="E143" s="129" t="s">
        <v>485</v>
      </c>
      <c r="F143" s="129" t="s">
        <v>484</v>
      </c>
      <c r="G143" s="129" t="s">
        <v>485</v>
      </c>
      <c r="H143" s="129" t="s">
        <v>484</v>
      </c>
      <c r="I143" s="112">
        <v>5.8</v>
      </c>
      <c r="J143" s="77" t="s">
        <v>132</v>
      </c>
      <c r="K143" s="84">
        <v>30.71</v>
      </c>
      <c r="L143" s="86">
        <v>14400</v>
      </c>
      <c r="M143" s="83">
        <v>0.4</v>
      </c>
      <c r="N143" s="81">
        <v>50</v>
      </c>
      <c r="O143">
        <v>24.45</v>
      </c>
      <c r="P143" s="94">
        <v>7.292473427</v>
      </c>
      <c r="Q143" s="81">
        <f t="shared" si="7"/>
        <v>3.3527719017082953</v>
      </c>
      <c r="R143" s="81">
        <f t="shared" si="8"/>
        <v>6034989.4230749318</v>
      </c>
      <c r="S143" s="84"/>
      <c r="T143" s="81" t="e">
        <f t="shared" si="9"/>
        <v>#DIV/0!</v>
      </c>
      <c r="U143" s="81"/>
      <c r="V143" s="84"/>
      <c r="W143" s="84"/>
    </row>
    <row r="144" spans="1:23" x14ac:dyDescent="0.4">
      <c r="A144" s="85" t="s">
        <v>322</v>
      </c>
      <c r="B144" s="92" t="s">
        <v>106</v>
      </c>
      <c r="C144" s="125" t="s">
        <v>4</v>
      </c>
      <c r="D144" s="129" t="s">
        <v>485</v>
      </c>
      <c r="E144" s="129" t="s">
        <v>485</v>
      </c>
      <c r="F144" s="129" t="s">
        <v>484</v>
      </c>
      <c r="G144" s="129" t="s">
        <v>485</v>
      </c>
      <c r="H144" s="129" t="s">
        <v>484</v>
      </c>
      <c r="I144" s="112">
        <v>5.8</v>
      </c>
      <c r="J144" s="77" t="s">
        <v>132</v>
      </c>
      <c r="K144" s="84">
        <v>29.58</v>
      </c>
      <c r="L144" s="86">
        <v>17900</v>
      </c>
      <c r="M144" s="83">
        <v>0.4</v>
      </c>
      <c r="N144" s="81">
        <v>50</v>
      </c>
      <c r="O144">
        <v>24.45</v>
      </c>
      <c r="P144" s="94">
        <v>7.292473427</v>
      </c>
      <c r="Q144" s="81">
        <f t="shared" si="7"/>
        <v>3.3527719017082953</v>
      </c>
      <c r="R144" s="81">
        <f t="shared" si="8"/>
        <v>7501827.1300723106</v>
      </c>
      <c r="S144" s="84"/>
      <c r="T144" s="81" t="e">
        <f t="shared" si="9"/>
        <v>#DIV/0!</v>
      </c>
      <c r="U144" s="81"/>
      <c r="V144" s="84"/>
      <c r="W144" s="84"/>
    </row>
    <row r="145" spans="1:23" x14ac:dyDescent="0.4">
      <c r="A145" s="85" t="s">
        <v>323</v>
      </c>
      <c r="B145" s="92" t="s">
        <v>106</v>
      </c>
      <c r="C145" s="125" t="s">
        <v>4</v>
      </c>
      <c r="D145" s="129" t="s">
        <v>485</v>
      </c>
      <c r="E145" s="129" t="s">
        <v>485</v>
      </c>
      <c r="F145" s="129" t="s">
        <v>484</v>
      </c>
      <c r="G145" s="129" t="s">
        <v>485</v>
      </c>
      <c r="H145" s="129" t="s">
        <v>484</v>
      </c>
      <c r="I145" s="112">
        <v>5.8</v>
      </c>
      <c r="J145" s="77" t="s">
        <v>132</v>
      </c>
      <c r="K145" s="84">
        <v>29.92</v>
      </c>
      <c r="L145" s="86">
        <v>16700</v>
      </c>
      <c r="M145" s="83">
        <v>0.4</v>
      </c>
      <c r="N145" s="81">
        <v>50</v>
      </c>
      <c r="O145">
        <v>24.45</v>
      </c>
      <c r="P145" s="94">
        <v>7.292473427</v>
      </c>
      <c r="Q145" s="81">
        <f t="shared" si="7"/>
        <v>3.3527719017082953</v>
      </c>
      <c r="R145" s="81">
        <f t="shared" si="8"/>
        <v>6998911.3448160663</v>
      </c>
      <c r="S145" s="84"/>
      <c r="T145" s="81" t="e">
        <f t="shared" si="9"/>
        <v>#DIV/0!</v>
      </c>
      <c r="U145" s="81" t="e">
        <f>AVERAGE(T143:T145)</f>
        <v>#DIV/0!</v>
      </c>
      <c r="V145" s="81" t="e">
        <f>_xlfn.STDEV.S(T143:T145)</f>
        <v>#DIV/0!</v>
      </c>
      <c r="W145" s="81">
        <f>MAX(K143:K145)-MIN(K143:K145)</f>
        <v>1.1300000000000026</v>
      </c>
    </row>
    <row r="146" spans="1:23" x14ac:dyDescent="0.4">
      <c r="A146" s="85" t="s">
        <v>324</v>
      </c>
      <c r="B146" s="92" t="s">
        <v>107</v>
      </c>
      <c r="C146" s="125" t="s">
        <v>5</v>
      </c>
      <c r="D146" s="129" t="s">
        <v>485</v>
      </c>
      <c r="E146" s="129" t="s">
        <v>484</v>
      </c>
      <c r="F146" s="129" t="s">
        <v>484</v>
      </c>
      <c r="G146" s="129" t="s">
        <v>485</v>
      </c>
      <c r="H146" s="129" t="s">
        <v>485</v>
      </c>
      <c r="I146" s="112">
        <v>5.8</v>
      </c>
      <c r="J146" s="77" t="s">
        <v>132</v>
      </c>
      <c r="K146" s="84">
        <v>33.15</v>
      </c>
      <c r="L146" s="86">
        <v>10400</v>
      </c>
      <c r="M146" s="83">
        <v>0.4</v>
      </c>
      <c r="N146" s="81">
        <v>50</v>
      </c>
      <c r="O146">
        <v>3.2</v>
      </c>
      <c r="P146" s="94">
        <v>1.0047819069999999</v>
      </c>
      <c r="Q146" s="81">
        <f t="shared" si="7"/>
        <v>3.1847707225882607</v>
      </c>
      <c r="R146" s="81">
        <f t="shared" si="8"/>
        <v>4140201.9393647383</v>
      </c>
      <c r="S146" s="84"/>
      <c r="T146" s="81" t="e">
        <f t="shared" si="9"/>
        <v>#DIV/0!</v>
      </c>
      <c r="U146" s="81"/>
      <c r="V146" s="84"/>
      <c r="W146" s="84"/>
    </row>
    <row r="147" spans="1:23" x14ac:dyDescent="0.4">
      <c r="A147" s="85" t="s">
        <v>325</v>
      </c>
      <c r="B147" s="92" t="s">
        <v>107</v>
      </c>
      <c r="C147" s="125" t="s">
        <v>5</v>
      </c>
      <c r="D147" s="129" t="s">
        <v>485</v>
      </c>
      <c r="E147" s="129" t="s">
        <v>484</v>
      </c>
      <c r="F147" s="129" t="s">
        <v>484</v>
      </c>
      <c r="G147" s="129" t="s">
        <v>485</v>
      </c>
      <c r="H147" s="129" t="s">
        <v>485</v>
      </c>
      <c r="I147" s="112">
        <v>5.8</v>
      </c>
      <c r="J147" s="77" t="s">
        <v>132</v>
      </c>
      <c r="K147" s="84">
        <v>34.58</v>
      </c>
      <c r="L147" s="86">
        <v>9250</v>
      </c>
      <c r="M147" s="83">
        <v>0.4</v>
      </c>
      <c r="N147" s="81">
        <v>50</v>
      </c>
      <c r="O147">
        <v>3.2</v>
      </c>
      <c r="P147" s="94">
        <v>1.0047819069999999</v>
      </c>
      <c r="Q147" s="81">
        <f t="shared" si="7"/>
        <v>3.1847707225882607</v>
      </c>
      <c r="R147" s="81">
        <f t="shared" si="8"/>
        <v>3682391.1479926761</v>
      </c>
      <c r="S147" s="84"/>
      <c r="T147" s="81" t="e">
        <f t="shared" si="9"/>
        <v>#DIV/0!</v>
      </c>
      <c r="U147" s="81"/>
      <c r="V147" s="84"/>
      <c r="W147" s="84"/>
    </row>
    <row r="148" spans="1:23" x14ac:dyDescent="0.4">
      <c r="A148" s="85" t="s">
        <v>326</v>
      </c>
      <c r="B148" s="92" t="s">
        <v>107</v>
      </c>
      <c r="C148" s="125" t="s">
        <v>5</v>
      </c>
      <c r="D148" s="129" t="s">
        <v>485</v>
      </c>
      <c r="E148" s="129" t="s">
        <v>484</v>
      </c>
      <c r="F148" s="129" t="s">
        <v>484</v>
      </c>
      <c r="G148" s="129" t="s">
        <v>485</v>
      </c>
      <c r="H148" s="129" t="s">
        <v>485</v>
      </c>
      <c r="I148" s="112">
        <v>5.8</v>
      </c>
      <c r="J148" s="77" t="s">
        <v>132</v>
      </c>
      <c r="K148" s="84">
        <v>33.659999999999997</v>
      </c>
      <c r="L148" s="86">
        <v>9890</v>
      </c>
      <c r="M148" s="83">
        <v>0.4</v>
      </c>
      <c r="N148" s="81">
        <v>50</v>
      </c>
      <c r="O148">
        <v>3.2</v>
      </c>
      <c r="P148" s="94">
        <v>1.0047819069999999</v>
      </c>
      <c r="Q148" s="81">
        <f t="shared" si="7"/>
        <v>3.1847707225882607</v>
      </c>
      <c r="R148" s="81">
        <f t="shared" si="8"/>
        <v>3937172.8057997371</v>
      </c>
      <c r="S148" s="84"/>
      <c r="T148" s="81" t="e">
        <f t="shared" si="9"/>
        <v>#DIV/0!</v>
      </c>
      <c r="U148" s="81" t="e">
        <f>AVERAGE(T146:T148)</f>
        <v>#DIV/0!</v>
      </c>
      <c r="V148" s="81" t="e">
        <f>_xlfn.STDEV.S(T146:T148)</f>
        <v>#DIV/0!</v>
      </c>
      <c r="W148" s="81">
        <f>MAX(K146:K148)-MIN(K146:K148)</f>
        <v>1.4299999999999997</v>
      </c>
    </row>
    <row r="149" spans="1:23" x14ac:dyDescent="0.4">
      <c r="A149" s="85" t="s">
        <v>327</v>
      </c>
      <c r="B149" s="92" t="s">
        <v>108</v>
      </c>
      <c r="C149" s="125" t="s">
        <v>6</v>
      </c>
      <c r="D149" s="129" t="s">
        <v>485</v>
      </c>
      <c r="E149" s="129" t="s">
        <v>485</v>
      </c>
      <c r="F149" s="129" t="s">
        <v>484</v>
      </c>
      <c r="G149" s="129" t="s">
        <v>485</v>
      </c>
      <c r="H149" s="129" t="s">
        <v>485</v>
      </c>
      <c r="I149" s="112">
        <v>5.8</v>
      </c>
      <c r="J149" s="77" t="s">
        <v>132</v>
      </c>
      <c r="K149" s="84">
        <v>35</v>
      </c>
      <c r="L149" s="86">
        <v>9050</v>
      </c>
      <c r="M149" s="83">
        <v>0.4</v>
      </c>
      <c r="N149" s="81">
        <v>50</v>
      </c>
      <c r="O149">
        <v>1.1200000000000001</v>
      </c>
      <c r="P149" s="94">
        <v>1.3449390400000001</v>
      </c>
      <c r="Q149" s="81">
        <f t="shared" si="7"/>
        <v>0.83275149779279223</v>
      </c>
      <c r="R149" s="81">
        <f t="shared" si="8"/>
        <v>942050.13187809614</v>
      </c>
      <c r="S149" s="84"/>
      <c r="T149" s="81" t="e">
        <f t="shared" si="9"/>
        <v>#DIV/0!</v>
      </c>
      <c r="U149" s="81"/>
      <c r="V149" s="84"/>
      <c r="W149" s="84"/>
    </row>
    <row r="150" spans="1:23" x14ac:dyDescent="0.4">
      <c r="A150" s="85" t="s">
        <v>328</v>
      </c>
      <c r="B150" s="92" t="s">
        <v>108</v>
      </c>
      <c r="C150" s="125" t="s">
        <v>6</v>
      </c>
      <c r="D150" s="129" t="s">
        <v>485</v>
      </c>
      <c r="E150" s="129" t="s">
        <v>485</v>
      </c>
      <c r="F150" s="129" t="s">
        <v>484</v>
      </c>
      <c r="G150" s="129" t="s">
        <v>485</v>
      </c>
      <c r="H150" s="129" t="s">
        <v>485</v>
      </c>
      <c r="I150" s="112">
        <v>5.8</v>
      </c>
      <c r="J150" s="77" t="s">
        <v>132</v>
      </c>
      <c r="K150" s="84">
        <v>35</v>
      </c>
      <c r="L150" s="86">
        <v>9050</v>
      </c>
      <c r="M150" s="83">
        <v>0.4</v>
      </c>
      <c r="N150" s="81">
        <v>50</v>
      </c>
      <c r="O150">
        <v>1.1200000000000001</v>
      </c>
      <c r="P150" s="94">
        <v>1.3449390400000001</v>
      </c>
      <c r="Q150" s="81">
        <f t="shared" si="7"/>
        <v>0.83275149779279223</v>
      </c>
      <c r="R150" s="81">
        <f t="shared" si="8"/>
        <v>942050.13187809614</v>
      </c>
      <c r="S150" s="84"/>
      <c r="T150" s="81" t="e">
        <f t="shared" si="9"/>
        <v>#DIV/0!</v>
      </c>
      <c r="U150" s="81"/>
      <c r="V150" s="84"/>
      <c r="W150" s="84"/>
    </row>
    <row r="151" spans="1:23" x14ac:dyDescent="0.4">
      <c r="A151" s="85" t="s">
        <v>329</v>
      </c>
      <c r="B151" s="92" t="s">
        <v>108</v>
      </c>
      <c r="C151" s="125" t="s">
        <v>6</v>
      </c>
      <c r="D151" s="129" t="s">
        <v>485</v>
      </c>
      <c r="E151" s="129" t="s">
        <v>485</v>
      </c>
      <c r="F151" s="129" t="s">
        <v>484</v>
      </c>
      <c r="G151" s="129" t="s">
        <v>485</v>
      </c>
      <c r="H151" s="129" t="s">
        <v>485</v>
      </c>
      <c r="I151" s="112">
        <v>5.8</v>
      </c>
      <c r="J151" s="77" t="s">
        <v>132</v>
      </c>
      <c r="K151" s="84">
        <v>34.49</v>
      </c>
      <c r="L151" s="86">
        <v>9300</v>
      </c>
      <c r="M151" s="83">
        <v>0.4</v>
      </c>
      <c r="N151" s="81">
        <v>50</v>
      </c>
      <c r="O151">
        <v>1.1200000000000001</v>
      </c>
      <c r="P151" s="94">
        <v>1.3449390400000001</v>
      </c>
      <c r="Q151" s="81">
        <f t="shared" si="7"/>
        <v>0.83275149779279223</v>
      </c>
      <c r="R151" s="81">
        <f t="shared" si="8"/>
        <v>968073.61618412088</v>
      </c>
      <c r="S151" s="84"/>
      <c r="T151" s="81" t="e">
        <f t="shared" si="9"/>
        <v>#DIV/0!</v>
      </c>
      <c r="U151" s="81" t="e">
        <f>AVERAGE(T149:T151)</f>
        <v>#DIV/0!</v>
      </c>
      <c r="V151" s="81" t="e">
        <f>_xlfn.STDEV.S(T149:T151)</f>
        <v>#DIV/0!</v>
      </c>
      <c r="W151" s="81">
        <f>MAX(K149:K151)-MIN(K149:K151)</f>
        <v>0.50999999999999801</v>
      </c>
    </row>
    <row r="152" spans="1:23" x14ac:dyDescent="0.4">
      <c r="A152" s="85" t="s">
        <v>330</v>
      </c>
      <c r="B152" s="92" t="s">
        <v>109</v>
      </c>
      <c r="C152" s="125" t="s">
        <v>7</v>
      </c>
      <c r="D152" s="129" t="s">
        <v>485</v>
      </c>
      <c r="E152" s="129" t="s">
        <v>485</v>
      </c>
      <c r="F152" s="129" t="s">
        <v>485</v>
      </c>
      <c r="G152" s="129" t="s">
        <v>485</v>
      </c>
      <c r="H152" s="129" t="s">
        <v>485</v>
      </c>
      <c r="I152" s="112">
        <v>5.8</v>
      </c>
      <c r="J152" s="77" t="s">
        <v>132</v>
      </c>
      <c r="K152" s="84">
        <v>34.32</v>
      </c>
      <c r="L152" s="86">
        <v>9410</v>
      </c>
      <c r="M152" s="83">
        <v>0.4</v>
      </c>
      <c r="N152" s="81">
        <v>50</v>
      </c>
      <c r="O152">
        <v>13.11</v>
      </c>
      <c r="P152" s="94">
        <v>6.2053552310000004</v>
      </c>
      <c r="Q152" s="81">
        <f t="shared" si="7"/>
        <v>2.1126912983976434</v>
      </c>
      <c r="R152" s="81">
        <f t="shared" si="8"/>
        <v>2485053.1397402277</v>
      </c>
      <c r="S152" s="84"/>
      <c r="T152" s="81" t="e">
        <f t="shared" si="9"/>
        <v>#DIV/0!</v>
      </c>
      <c r="U152" s="81"/>
      <c r="V152" s="84"/>
      <c r="W152" s="84"/>
    </row>
    <row r="153" spans="1:23" x14ac:dyDescent="0.4">
      <c r="A153" s="85" t="s">
        <v>331</v>
      </c>
      <c r="B153" s="92" t="s">
        <v>109</v>
      </c>
      <c r="C153" s="125" t="s">
        <v>7</v>
      </c>
      <c r="D153" s="129" t="s">
        <v>485</v>
      </c>
      <c r="E153" s="129" t="s">
        <v>485</v>
      </c>
      <c r="F153" s="129" t="s">
        <v>485</v>
      </c>
      <c r="G153" s="129" t="s">
        <v>485</v>
      </c>
      <c r="H153" s="129" t="s">
        <v>485</v>
      </c>
      <c r="I153" s="112">
        <v>5.8</v>
      </c>
      <c r="J153" s="77" t="s">
        <v>132</v>
      </c>
      <c r="K153" s="84">
        <v>35</v>
      </c>
      <c r="L153" s="86">
        <v>9050</v>
      </c>
      <c r="M153" s="83">
        <v>0.4</v>
      </c>
      <c r="N153" s="81">
        <v>50</v>
      </c>
      <c r="O153">
        <v>13.11</v>
      </c>
      <c r="P153" s="94">
        <v>6.2053552310000004</v>
      </c>
      <c r="Q153" s="81">
        <f t="shared" si="7"/>
        <v>2.1126912983976434</v>
      </c>
      <c r="R153" s="81">
        <f t="shared" si="8"/>
        <v>2389982.0313123339</v>
      </c>
      <c r="S153" s="84"/>
      <c r="T153" s="81" t="e">
        <f t="shared" si="9"/>
        <v>#DIV/0!</v>
      </c>
      <c r="U153" s="81"/>
      <c r="V153" s="84"/>
      <c r="W153" s="84"/>
    </row>
    <row r="154" spans="1:23" x14ac:dyDescent="0.4">
      <c r="A154" s="85" t="s">
        <v>332</v>
      </c>
      <c r="B154" s="92" t="s">
        <v>109</v>
      </c>
      <c r="C154" s="125" t="s">
        <v>7</v>
      </c>
      <c r="D154" s="129" t="s">
        <v>485</v>
      </c>
      <c r="E154" s="129" t="s">
        <v>485</v>
      </c>
      <c r="F154" s="129" t="s">
        <v>485</v>
      </c>
      <c r="G154" s="129" t="s">
        <v>485</v>
      </c>
      <c r="H154" s="129" t="s">
        <v>485</v>
      </c>
      <c r="I154" s="112">
        <v>5.8</v>
      </c>
      <c r="J154" s="77" t="s">
        <v>132</v>
      </c>
      <c r="K154" s="84">
        <v>35</v>
      </c>
      <c r="L154" s="86">
        <v>9050</v>
      </c>
      <c r="M154" s="83">
        <v>0.4</v>
      </c>
      <c r="N154" s="81">
        <v>50</v>
      </c>
      <c r="O154">
        <v>13.11</v>
      </c>
      <c r="P154" s="94">
        <v>6.2053552310000004</v>
      </c>
      <c r="Q154" s="81">
        <f t="shared" si="7"/>
        <v>2.1126912983976434</v>
      </c>
      <c r="R154" s="81">
        <f t="shared" si="8"/>
        <v>2389982.0313123339</v>
      </c>
      <c r="S154" s="84"/>
      <c r="T154" s="81" t="e">
        <f t="shared" si="9"/>
        <v>#DIV/0!</v>
      </c>
      <c r="U154" s="81" t="e">
        <f>AVERAGE(T152:T154)</f>
        <v>#DIV/0!</v>
      </c>
      <c r="V154" s="81" t="e">
        <f>_xlfn.STDEV.S(T152:T154)</f>
        <v>#DIV/0!</v>
      </c>
      <c r="W154" s="81">
        <f>MAX(K152:K154)-MIN(K152:K154)</f>
        <v>0.67999999999999972</v>
      </c>
    </row>
    <row r="155" spans="1:23" x14ac:dyDescent="0.4">
      <c r="A155" s="85" t="s">
        <v>333</v>
      </c>
      <c r="B155" s="92" t="s">
        <v>116</v>
      </c>
      <c r="C155" s="125" t="s">
        <v>4</v>
      </c>
      <c r="D155" s="129" t="s">
        <v>485</v>
      </c>
      <c r="E155" s="129" t="s">
        <v>485</v>
      </c>
      <c r="F155" s="129" t="s">
        <v>484</v>
      </c>
      <c r="G155" s="129" t="s">
        <v>485</v>
      </c>
      <c r="H155" s="129" t="s">
        <v>484</v>
      </c>
      <c r="I155" s="112">
        <v>4.8</v>
      </c>
      <c r="J155" s="77" t="s">
        <v>133</v>
      </c>
      <c r="K155" s="84">
        <v>32.18</v>
      </c>
      <c r="L155" s="86">
        <v>11600</v>
      </c>
      <c r="M155" s="83">
        <v>0.4</v>
      </c>
      <c r="N155" s="81">
        <v>50</v>
      </c>
      <c r="O155">
        <v>14.07</v>
      </c>
      <c r="P155" s="94">
        <v>8.6378710420000004</v>
      </c>
      <c r="Q155" s="81">
        <f t="shared" si="7"/>
        <v>1.6288735883630709</v>
      </c>
      <c r="R155" s="81">
        <f t="shared" si="8"/>
        <v>2361866.7031264529</v>
      </c>
      <c r="S155" s="84"/>
      <c r="T155" s="81" t="e">
        <f t="shared" si="9"/>
        <v>#DIV/0!</v>
      </c>
      <c r="U155" s="81"/>
      <c r="V155" s="84"/>
      <c r="W155" s="84"/>
    </row>
    <row r="156" spans="1:23" x14ac:dyDescent="0.4">
      <c r="A156" s="85" t="s">
        <v>334</v>
      </c>
      <c r="B156" s="92" t="s">
        <v>116</v>
      </c>
      <c r="C156" s="125" t="s">
        <v>4</v>
      </c>
      <c r="D156" s="129" t="s">
        <v>485</v>
      </c>
      <c r="E156" s="129" t="s">
        <v>485</v>
      </c>
      <c r="F156" s="129" t="s">
        <v>484</v>
      </c>
      <c r="G156" s="129" t="s">
        <v>485</v>
      </c>
      <c r="H156" s="129" t="s">
        <v>484</v>
      </c>
      <c r="I156" s="112">
        <v>4.8</v>
      </c>
      <c r="J156" s="77" t="s">
        <v>133</v>
      </c>
      <c r="K156" s="84">
        <v>32.01</v>
      </c>
      <c r="L156" s="86">
        <v>11900</v>
      </c>
      <c r="M156" s="83">
        <v>0.4</v>
      </c>
      <c r="N156" s="81">
        <v>50</v>
      </c>
      <c r="O156">
        <v>14.07</v>
      </c>
      <c r="P156" s="94">
        <v>8.6378710420000004</v>
      </c>
      <c r="Q156" s="81">
        <f t="shared" si="7"/>
        <v>1.6288735883630709</v>
      </c>
      <c r="R156" s="81">
        <f t="shared" si="8"/>
        <v>2422949.4626900679</v>
      </c>
      <c r="S156" s="84"/>
      <c r="T156" s="81" t="e">
        <f t="shared" si="9"/>
        <v>#DIV/0!</v>
      </c>
      <c r="U156" s="81"/>
      <c r="V156" s="84"/>
      <c r="W156" s="84"/>
    </row>
    <row r="157" spans="1:23" x14ac:dyDescent="0.4">
      <c r="A157" s="85" t="s">
        <v>335</v>
      </c>
      <c r="B157" s="92" t="s">
        <v>116</v>
      </c>
      <c r="C157" s="125" t="s">
        <v>4</v>
      </c>
      <c r="D157" s="129" t="s">
        <v>485</v>
      </c>
      <c r="E157" s="129" t="s">
        <v>485</v>
      </c>
      <c r="F157" s="129" t="s">
        <v>484</v>
      </c>
      <c r="G157" s="129" t="s">
        <v>485</v>
      </c>
      <c r="H157" s="129" t="s">
        <v>484</v>
      </c>
      <c r="I157" s="112">
        <v>4.8</v>
      </c>
      <c r="J157" s="77" t="s">
        <v>133</v>
      </c>
      <c r="K157" s="84">
        <v>32.36</v>
      </c>
      <c r="L157" s="86">
        <v>11300</v>
      </c>
      <c r="M157" s="83">
        <v>0.4</v>
      </c>
      <c r="N157" s="81">
        <v>50</v>
      </c>
      <c r="O157">
        <v>14.07</v>
      </c>
      <c r="P157" s="94">
        <v>8.6378710420000004</v>
      </c>
      <c r="Q157" s="81">
        <f t="shared" si="7"/>
        <v>1.6288735883630709</v>
      </c>
      <c r="R157" s="81">
        <f t="shared" si="8"/>
        <v>2300783.9435628373</v>
      </c>
      <c r="S157" s="84"/>
      <c r="T157" s="81" t="e">
        <f t="shared" si="9"/>
        <v>#DIV/0!</v>
      </c>
      <c r="U157" s="81" t="e">
        <f>AVERAGE(T155:T157)</f>
        <v>#DIV/0!</v>
      </c>
      <c r="V157" s="81" t="e">
        <f>_xlfn.STDEV.S(T155:T157)</f>
        <v>#DIV/0!</v>
      </c>
      <c r="W157" s="81">
        <f>MAX(K155:K157)-MIN(K155:K157)</f>
        <v>0.35000000000000142</v>
      </c>
    </row>
    <row r="158" spans="1:23" x14ac:dyDescent="0.4">
      <c r="A158" s="85" t="s">
        <v>336</v>
      </c>
      <c r="B158" s="92" t="s">
        <v>117</v>
      </c>
      <c r="C158" s="125" t="s">
        <v>5</v>
      </c>
      <c r="D158" s="129" t="s">
        <v>485</v>
      </c>
      <c r="E158" s="129" t="s">
        <v>484</v>
      </c>
      <c r="F158" s="129" t="s">
        <v>484</v>
      </c>
      <c r="G158" s="129" t="s">
        <v>485</v>
      </c>
      <c r="H158" s="129" t="s">
        <v>485</v>
      </c>
      <c r="I158" s="112">
        <v>4.8</v>
      </c>
      <c r="J158" s="77" t="s">
        <v>133</v>
      </c>
      <c r="K158" s="84">
        <v>32.1</v>
      </c>
      <c r="L158" s="86">
        <v>11700</v>
      </c>
      <c r="M158" s="83">
        <v>0.4</v>
      </c>
      <c r="N158" s="81">
        <v>50</v>
      </c>
      <c r="O158">
        <v>5.82</v>
      </c>
      <c r="P158" s="94">
        <v>8.8012572359999997</v>
      </c>
      <c r="Q158" s="81">
        <f t="shared" si="7"/>
        <v>0.66126916234129718</v>
      </c>
      <c r="R158" s="81">
        <f t="shared" si="8"/>
        <v>967106.14992414718</v>
      </c>
      <c r="S158" s="84"/>
      <c r="T158" s="81" t="e">
        <f t="shared" si="9"/>
        <v>#DIV/0!</v>
      </c>
      <c r="U158" s="81"/>
      <c r="V158" s="84"/>
      <c r="W158" s="84"/>
    </row>
    <row r="159" spans="1:23" x14ac:dyDescent="0.4">
      <c r="A159" s="85" t="s">
        <v>337</v>
      </c>
      <c r="B159" s="92" t="s">
        <v>117</v>
      </c>
      <c r="C159" s="125" t="s">
        <v>5</v>
      </c>
      <c r="D159" s="129" t="s">
        <v>485</v>
      </c>
      <c r="E159" s="129" t="s">
        <v>484</v>
      </c>
      <c r="F159" s="129" t="s">
        <v>484</v>
      </c>
      <c r="G159" s="129" t="s">
        <v>485</v>
      </c>
      <c r="H159" s="129" t="s">
        <v>485</v>
      </c>
      <c r="I159" s="112">
        <v>4.8</v>
      </c>
      <c r="J159" s="77" t="s">
        <v>133</v>
      </c>
      <c r="K159" s="84">
        <v>32.43</v>
      </c>
      <c r="L159" s="86">
        <v>11200</v>
      </c>
      <c r="M159" s="83">
        <v>0.4</v>
      </c>
      <c r="N159" s="81">
        <v>50</v>
      </c>
      <c r="O159">
        <v>5.82</v>
      </c>
      <c r="P159" s="94">
        <v>8.8012572359999997</v>
      </c>
      <c r="Q159" s="81">
        <f t="shared" si="7"/>
        <v>0.66126916234129718</v>
      </c>
      <c r="R159" s="81">
        <f t="shared" si="8"/>
        <v>925776.82727781602</v>
      </c>
      <c r="S159" s="84"/>
      <c r="T159" s="81" t="e">
        <f t="shared" si="9"/>
        <v>#DIV/0!</v>
      </c>
      <c r="U159" s="81"/>
      <c r="V159" s="84"/>
      <c r="W159" s="84"/>
    </row>
    <row r="160" spans="1:23" x14ac:dyDescent="0.4">
      <c r="A160" s="85" t="s">
        <v>338</v>
      </c>
      <c r="B160" s="92" t="s">
        <v>117</v>
      </c>
      <c r="C160" s="125" t="s">
        <v>5</v>
      </c>
      <c r="D160" s="129" t="s">
        <v>485</v>
      </c>
      <c r="E160" s="129" t="s">
        <v>484</v>
      </c>
      <c r="F160" s="129" t="s">
        <v>484</v>
      </c>
      <c r="G160" s="129" t="s">
        <v>485</v>
      </c>
      <c r="H160" s="129" t="s">
        <v>485</v>
      </c>
      <c r="I160" s="112">
        <v>4.8</v>
      </c>
      <c r="J160" s="77" t="s">
        <v>133</v>
      </c>
      <c r="K160" s="84">
        <v>31.87</v>
      </c>
      <c r="L160" s="86">
        <v>12100</v>
      </c>
      <c r="M160" s="83">
        <v>0.4</v>
      </c>
      <c r="N160" s="81">
        <v>50</v>
      </c>
      <c r="O160">
        <v>5.82</v>
      </c>
      <c r="P160" s="94">
        <v>8.8012572359999997</v>
      </c>
      <c r="Q160" s="81">
        <f t="shared" si="7"/>
        <v>0.66126916234129718</v>
      </c>
      <c r="R160" s="81">
        <f t="shared" si="8"/>
        <v>1000169.608041212</v>
      </c>
      <c r="S160" s="84"/>
      <c r="T160" s="81" t="e">
        <f t="shared" si="9"/>
        <v>#DIV/0!</v>
      </c>
      <c r="U160" s="81" t="e">
        <f>AVERAGE(T158:T160)</f>
        <v>#DIV/0!</v>
      </c>
      <c r="V160" s="81" t="e">
        <f>_xlfn.STDEV.S(T158:T160)</f>
        <v>#DIV/0!</v>
      </c>
      <c r="W160" s="81">
        <f>MAX(K158:K160)-MIN(K158:K160)</f>
        <v>0.55999999999999872</v>
      </c>
    </row>
    <row r="161" spans="1:23" x14ac:dyDescent="0.4">
      <c r="A161" s="85" t="s">
        <v>339</v>
      </c>
      <c r="B161" s="92" t="s">
        <v>118</v>
      </c>
      <c r="C161" s="125" t="s">
        <v>6</v>
      </c>
      <c r="D161" s="129" t="s">
        <v>485</v>
      </c>
      <c r="E161" s="129" t="s">
        <v>485</v>
      </c>
      <c r="F161" s="129" t="s">
        <v>484</v>
      </c>
      <c r="G161" s="129" t="s">
        <v>485</v>
      </c>
      <c r="H161" s="129" t="s">
        <v>485</v>
      </c>
      <c r="I161" s="112">
        <v>4.8</v>
      </c>
      <c r="J161" s="77" t="s">
        <v>133</v>
      </c>
      <c r="K161" s="84">
        <v>30.8</v>
      </c>
      <c r="L161" s="86">
        <v>14200</v>
      </c>
      <c r="M161" s="83">
        <v>0.4</v>
      </c>
      <c r="N161" s="81">
        <v>50</v>
      </c>
      <c r="O161">
        <v>26.22</v>
      </c>
      <c r="P161" s="94">
        <v>7.5380142609999998</v>
      </c>
      <c r="Q161" s="81">
        <f t="shared" si="7"/>
        <v>3.4783696464540292</v>
      </c>
      <c r="R161" s="81">
        <f t="shared" si="8"/>
        <v>6174106.1224559015</v>
      </c>
      <c r="S161" s="84"/>
      <c r="T161" s="81" t="e">
        <f t="shared" si="9"/>
        <v>#DIV/0!</v>
      </c>
      <c r="U161" s="81"/>
      <c r="V161" s="84"/>
      <c r="W161" s="84"/>
    </row>
    <row r="162" spans="1:23" x14ac:dyDescent="0.4">
      <c r="A162" s="85" t="s">
        <v>340</v>
      </c>
      <c r="B162" s="92" t="s">
        <v>118</v>
      </c>
      <c r="C162" s="125" t="s">
        <v>6</v>
      </c>
      <c r="D162" s="129" t="s">
        <v>485</v>
      </c>
      <c r="E162" s="129" t="s">
        <v>485</v>
      </c>
      <c r="F162" s="129" t="s">
        <v>484</v>
      </c>
      <c r="G162" s="129" t="s">
        <v>485</v>
      </c>
      <c r="H162" s="129" t="s">
        <v>485</v>
      </c>
      <c r="I162" s="112">
        <v>4.8</v>
      </c>
      <c r="J162" s="77" t="s">
        <v>133</v>
      </c>
      <c r="K162" s="84">
        <v>31.64</v>
      </c>
      <c r="L162" s="86">
        <v>12500</v>
      </c>
      <c r="M162" s="83">
        <v>0.4</v>
      </c>
      <c r="N162" s="81">
        <v>50</v>
      </c>
      <c r="O162">
        <v>26.22</v>
      </c>
      <c r="P162" s="94">
        <v>7.5380142609999998</v>
      </c>
      <c r="Q162" s="81">
        <f t="shared" si="7"/>
        <v>3.4783696464540292</v>
      </c>
      <c r="R162" s="81">
        <f t="shared" si="8"/>
        <v>5434952.5725844204</v>
      </c>
      <c r="S162" s="84"/>
      <c r="T162" s="81" t="e">
        <f t="shared" si="9"/>
        <v>#DIV/0!</v>
      </c>
      <c r="U162" s="81"/>
      <c r="V162" s="84"/>
      <c r="W162" s="84"/>
    </row>
    <row r="163" spans="1:23" x14ac:dyDescent="0.4">
      <c r="A163" s="85" t="s">
        <v>341</v>
      </c>
      <c r="B163" s="92" t="s">
        <v>118</v>
      </c>
      <c r="C163" s="125" t="s">
        <v>6</v>
      </c>
      <c r="D163" s="129" t="s">
        <v>485</v>
      </c>
      <c r="E163" s="129" t="s">
        <v>485</v>
      </c>
      <c r="F163" s="129" t="s">
        <v>484</v>
      </c>
      <c r="G163" s="129" t="s">
        <v>485</v>
      </c>
      <c r="H163" s="129" t="s">
        <v>485</v>
      </c>
      <c r="I163" s="112">
        <v>4.8</v>
      </c>
      <c r="J163" s="77" t="s">
        <v>133</v>
      </c>
      <c r="K163" s="84">
        <v>31.4</v>
      </c>
      <c r="L163" s="86">
        <v>12900</v>
      </c>
      <c r="M163" s="83">
        <v>0.4</v>
      </c>
      <c r="N163" s="81">
        <v>50</v>
      </c>
      <c r="O163">
        <v>26.22</v>
      </c>
      <c r="P163" s="94">
        <v>7.5380142609999998</v>
      </c>
      <c r="Q163" s="81">
        <f t="shared" si="7"/>
        <v>3.4783696464540292</v>
      </c>
      <c r="R163" s="81">
        <f t="shared" si="8"/>
        <v>5608871.0549071217</v>
      </c>
      <c r="S163" s="84"/>
      <c r="T163" s="81" t="e">
        <f t="shared" si="9"/>
        <v>#DIV/0!</v>
      </c>
      <c r="U163" s="81" t="e">
        <f>AVERAGE(T161:T163)</f>
        <v>#DIV/0!</v>
      </c>
      <c r="V163" s="81" t="e">
        <f>_xlfn.STDEV.S(T161:T163)</f>
        <v>#DIV/0!</v>
      </c>
      <c r="W163" s="81">
        <f>MAX(K161:K163)-MIN(K161:K163)</f>
        <v>0.83999999999999986</v>
      </c>
    </row>
    <row r="164" spans="1:23" x14ac:dyDescent="0.4">
      <c r="A164" s="85" t="s">
        <v>342</v>
      </c>
      <c r="B164" s="92" t="s">
        <v>119</v>
      </c>
      <c r="C164" s="125" t="s">
        <v>7</v>
      </c>
      <c r="D164" s="129" t="s">
        <v>485</v>
      </c>
      <c r="E164" s="129" t="s">
        <v>485</v>
      </c>
      <c r="F164" s="129" t="s">
        <v>485</v>
      </c>
      <c r="G164" s="129" t="s">
        <v>485</v>
      </c>
      <c r="H164" s="129" t="s">
        <v>485</v>
      </c>
      <c r="I164" s="112">
        <v>4.8</v>
      </c>
      <c r="J164" s="77" t="s">
        <v>133</v>
      </c>
      <c r="K164" s="84">
        <v>30.96</v>
      </c>
      <c r="L164" s="86">
        <v>13900</v>
      </c>
      <c r="M164" s="83">
        <v>0.4</v>
      </c>
      <c r="N164" s="81">
        <v>50</v>
      </c>
      <c r="O164">
        <v>27.24</v>
      </c>
      <c r="P164" s="94">
        <v>6.8811463760000002</v>
      </c>
      <c r="Q164" s="81">
        <f t="shared" si="7"/>
        <v>3.9586427190398714</v>
      </c>
      <c r="R164" s="81">
        <f t="shared" si="8"/>
        <v>6878141.7243317766</v>
      </c>
      <c r="S164" s="84"/>
      <c r="T164" s="81" t="e">
        <f t="shared" si="9"/>
        <v>#DIV/0!</v>
      </c>
      <c r="U164" s="81"/>
      <c r="V164" s="84"/>
      <c r="W164" s="84"/>
    </row>
    <row r="165" spans="1:23" x14ac:dyDescent="0.4">
      <c r="A165" s="85" t="s">
        <v>343</v>
      </c>
      <c r="B165" s="92" t="s">
        <v>119</v>
      </c>
      <c r="C165" s="125" t="s">
        <v>7</v>
      </c>
      <c r="D165" s="129" t="s">
        <v>485</v>
      </c>
      <c r="E165" s="129" t="s">
        <v>485</v>
      </c>
      <c r="F165" s="129" t="s">
        <v>485</v>
      </c>
      <c r="G165" s="129" t="s">
        <v>485</v>
      </c>
      <c r="H165" s="129" t="s">
        <v>485</v>
      </c>
      <c r="I165" s="112">
        <v>4.8</v>
      </c>
      <c r="J165" s="77" t="s">
        <v>133</v>
      </c>
      <c r="K165" s="84">
        <v>29.79</v>
      </c>
      <c r="L165" s="86">
        <v>17100</v>
      </c>
      <c r="M165" s="83">
        <v>0.4</v>
      </c>
      <c r="N165" s="81">
        <v>50</v>
      </c>
      <c r="O165">
        <v>27.24</v>
      </c>
      <c r="P165" s="94">
        <v>6.8811463760000002</v>
      </c>
      <c r="Q165" s="81">
        <f t="shared" si="7"/>
        <v>3.9586427190398714</v>
      </c>
      <c r="R165" s="81">
        <f t="shared" si="8"/>
        <v>8461598.8119477257</v>
      </c>
      <c r="S165" s="84"/>
      <c r="T165" s="81" t="e">
        <f t="shared" si="9"/>
        <v>#DIV/0!</v>
      </c>
      <c r="U165" s="81"/>
      <c r="V165" s="84"/>
      <c r="W165" s="84"/>
    </row>
    <row r="166" spans="1:23" x14ac:dyDescent="0.4">
      <c r="A166" s="85" t="s">
        <v>344</v>
      </c>
      <c r="B166" s="92" t="s">
        <v>119</v>
      </c>
      <c r="C166" s="125" t="s">
        <v>7</v>
      </c>
      <c r="D166" s="129" t="s">
        <v>485</v>
      </c>
      <c r="E166" s="129" t="s">
        <v>485</v>
      </c>
      <c r="F166" s="129" t="s">
        <v>485</v>
      </c>
      <c r="G166" s="129" t="s">
        <v>485</v>
      </c>
      <c r="H166" s="129" t="s">
        <v>485</v>
      </c>
      <c r="I166" s="112">
        <v>4.8</v>
      </c>
      <c r="J166" s="77" t="s">
        <v>133</v>
      </c>
      <c r="K166" s="84">
        <v>30.99</v>
      </c>
      <c r="L166" s="86">
        <v>13800</v>
      </c>
      <c r="M166" s="83">
        <v>0.4</v>
      </c>
      <c r="N166" s="81">
        <v>50</v>
      </c>
      <c r="O166">
        <v>27.24</v>
      </c>
      <c r="P166" s="94">
        <v>6.8811463760000002</v>
      </c>
      <c r="Q166" s="81">
        <f t="shared" si="7"/>
        <v>3.9586427190398714</v>
      </c>
      <c r="R166" s="81">
        <f t="shared" si="8"/>
        <v>6828658.6903437786</v>
      </c>
      <c r="S166" s="84"/>
      <c r="T166" s="81" t="e">
        <f t="shared" si="9"/>
        <v>#DIV/0!</v>
      </c>
      <c r="U166" s="81" t="e">
        <f>AVERAGE(T164:T166)</f>
        <v>#DIV/0!</v>
      </c>
      <c r="V166" s="81" t="e">
        <f>_xlfn.STDEV.S(T164:T166)</f>
        <v>#DIV/0!</v>
      </c>
      <c r="W166" s="81">
        <f>MAX(K164:K166)-MIN(K164:K166)</f>
        <v>1.1999999999999993</v>
      </c>
    </row>
    <row r="167" spans="1:23" x14ac:dyDescent="0.4">
      <c r="A167" s="85" t="s">
        <v>345</v>
      </c>
      <c r="B167" s="92" t="s">
        <v>126</v>
      </c>
      <c r="C167" s="125" t="s">
        <v>4</v>
      </c>
      <c r="D167" s="129" t="s">
        <v>485</v>
      </c>
      <c r="E167" s="129" t="s">
        <v>485</v>
      </c>
      <c r="F167" s="129" t="s">
        <v>484</v>
      </c>
      <c r="G167" s="129" t="s">
        <v>485</v>
      </c>
      <c r="H167" s="129" t="s">
        <v>484</v>
      </c>
      <c r="I167" s="112">
        <v>5.8</v>
      </c>
      <c r="J167" s="77" t="s">
        <v>133</v>
      </c>
      <c r="K167" s="84">
        <v>32.83</v>
      </c>
      <c r="L167" s="86">
        <v>10700</v>
      </c>
      <c r="M167" s="83">
        <v>0.4</v>
      </c>
      <c r="N167" s="81">
        <v>50</v>
      </c>
      <c r="O167">
        <v>54.4</v>
      </c>
      <c r="P167" s="94">
        <v>8.1022966360000002</v>
      </c>
      <c r="Q167" s="81">
        <f t="shared" si="7"/>
        <v>6.714145685346887</v>
      </c>
      <c r="R167" s="81">
        <f t="shared" si="8"/>
        <v>8980169.8541514613</v>
      </c>
      <c r="S167" s="84"/>
      <c r="T167" s="81" t="e">
        <f t="shared" si="9"/>
        <v>#DIV/0!</v>
      </c>
      <c r="U167" s="81"/>
      <c r="V167" s="84"/>
      <c r="W167" s="84"/>
    </row>
    <row r="168" spans="1:23" x14ac:dyDescent="0.4">
      <c r="A168" s="85" t="s">
        <v>346</v>
      </c>
      <c r="B168" s="92" t="s">
        <v>126</v>
      </c>
      <c r="C168" s="125" t="s">
        <v>4</v>
      </c>
      <c r="D168" s="129" t="s">
        <v>485</v>
      </c>
      <c r="E168" s="129" t="s">
        <v>485</v>
      </c>
      <c r="F168" s="129" t="s">
        <v>484</v>
      </c>
      <c r="G168" s="129" t="s">
        <v>485</v>
      </c>
      <c r="H168" s="129" t="s">
        <v>484</v>
      </c>
      <c r="I168" s="112">
        <v>5.8</v>
      </c>
      <c r="J168" s="77" t="s">
        <v>133</v>
      </c>
      <c r="K168" s="84">
        <v>32.630000000000003</v>
      </c>
      <c r="L168" s="86">
        <v>11000</v>
      </c>
      <c r="M168" s="83">
        <v>0.4</v>
      </c>
      <c r="N168" s="81">
        <v>50</v>
      </c>
      <c r="O168">
        <v>54.4</v>
      </c>
      <c r="P168" s="94">
        <v>8.1022966360000002</v>
      </c>
      <c r="Q168" s="81">
        <f t="shared" si="7"/>
        <v>6.714145685346887</v>
      </c>
      <c r="R168" s="81">
        <f t="shared" si="8"/>
        <v>9231950.317351969</v>
      </c>
      <c r="S168" s="84"/>
      <c r="T168" s="81" t="e">
        <f t="shared" si="9"/>
        <v>#DIV/0!</v>
      </c>
      <c r="U168" s="81"/>
      <c r="V168" s="84"/>
      <c r="W168" s="84"/>
    </row>
    <row r="169" spans="1:23" x14ac:dyDescent="0.4">
      <c r="A169" s="85" t="s">
        <v>347</v>
      </c>
      <c r="B169" s="92" t="s">
        <v>126</v>
      </c>
      <c r="C169" s="125" t="s">
        <v>4</v>
      </c>
      <c r="D169" s="129" t="s">
        <v>485</v>
      </c>
      <c r="E169" s="129" t="s">
        <v>485</v>
      </c>
      <c r="F169" s="129" t="s">
        <v>484</v>
      </c>
      <c r="G169" s="129" t="s">
        <v>485</v>
      </c>
      <c r="H169" s="129" t="s">
        <v>484</v>
      </c>
      <c r="I169" s="112">
        <v>5.8</v>
      </c>
      <c r="J169" s="77" t="s">
        <v>133</v>
      </c>
      <c r="K169" s="84">
        <v>32.68</v>
      </c>
      <c r="L169" s="86">
        <v>10900</v>
      </c>
      <c r="M169" s="83">
        <v>0.4</v>
      </c>
      <c r="N169" s="81">
        <v>50</v>
      </c>
      <c r="O169">
        <v>54.4</v>
      </c>
      <c r="P169" s="94">
        <v>8.1022966360000002</v>
      </c>
      <c r="Q169" s="81">
        <f t="shared" si="7"/>
        <v>6.714145685346887</v>
      </c>
      <c r="R169" s="81">
        <f t="shared" si="8"/>
        <v>9148023.4962851331</v>
      </c>
      <c r="S169" s="84"/>
      <c r="T169" s="81" t="e">
        <f t="shared" si="9"/>
        <v>#DIV/0!</v>
      </c>
      <c r="U169" s="81" t="e">
        <f>AVERAGE(T167:T169)</f>
        <v>#DIV/0!</v>
      </c>
      <c r="V169" s="81" t="e">
        <f>_xlfn.STDEV.S(T167:T169)</f>
        <v>#DIV/0!</v>
      </c>
      <c r="W169" s="81">
        <f>MAX(K167:K169)-MIN(K167:K169)</f>
        <v>0.19999999999999574</v>
      </c>
    </row>
    <row r="170" spans="1:23" x14ac:dyDescent="0.4">
      <c r="A170" s="85" t="s">
        <v>348</v>
      </c>
      <c r="B170" s="92" t="s">
        <v>127</v>
      </c>
      <c r="C170" s="125" t="s">
        <v>5</v>
      </c>
      <c r="D170" s="129" t="s">
        <v>485</v>
      </c>
      <c r="E170" s="129" t="s">
        <v>484</v>
      </c>
      <c r="F170" s="129" t="s">
        <v>484</v>
      </c>
      <c r="G170" s="129" t="s">
        <v>485</v>
      </c>
      <c r="H170" s="129" t="s">
        <v>485</v>
      </c>
      <c r="I170" s="112">
        <v>5.8</v>
      </c>
      <c r="J170" s="77" t="s">
        <v>133</v>
      </c>
      <c r="K170" s="84">
        <v>32.049999999999997</v>
      </c>
      <c r="L170" s="86">
        <v>11800</v>
      </c>
      <c r="M170" s="83">
        <v>0.4</v>
      </c>
      <c r="N170" s="81">
        <v>50</v>
      </c>
      <c r="O170">
        <v>37.869999999999997</v>
      </c>
      <c r="P170" s="94">
        <v>7.7065697359999996</v>
      </c>
      <c r="Q170" s="81">
        <f t="shared" si="7"/>
        <v>4.913989141381073</v>
      </c>
      <c r="R170" s="81">
        <f t="shared" si="8"/>
        <v>7248133.9835370826</v>
      </c>
      <c r="S170" s="84"/>
      <c r="T170" s="81" t="e">
        <f t="shared" si="9"/>
        <v>#DIV/0!</v>
      </c>
      <c r="U170" s="81"/>
      <c r="V170" s="84"/>
      <c r="W170" s="84"/>
    </row>
    <row r="171" spans="1:23" x14ac:dyDescent="0.4">
      <c r="A171" s="85" t="s">
        <v>349</v>
      </c>
      <c r="B171" s="92" t="s">
        <v>127</v>
      </c>
      <c r="C171" s="125" t="s">
        <v>5</v>
      </c>
      <c r="D171" s="129" t="s">
        <v>485</v>
      </c>
      <c r="E171" s="129" t="s">
        <v>484</v>
      </c>
      <c r="F171" s="129" t="s">
        <v>484</v>
      </c>
      <c r="G171" s="129" t="s">
        <v>485</v>
      </c>
      <c r="H171" s="129" t="s">
        <v>485</v>
      </c>
      <c r="I171" s="112">
        <v>5.8</v>
      </c>
      <c r="J171" s="77" t="s">
        <v>133</v>
      </c>
      <c r="K171" s="84">
        <v>35</v>
      </c>
      <c r="L171" s="86">
        <v>9050</v>
      </c>
      <c r="M171" s="83">
        <v>0.4</v>
      </c>
      <c r="N171" s="81">
        <v>50</v>
      </c>
      <c r="O171">
        <v>37.869999999999997</v>
      </c>
      <c r="P171" s="94">
        <v>7.7065697359999996</v>
      </c>
      <c r="Q171" s="81">
        <f t="shared" si="7"/>
        <v>4.913989141381073</v>
      </c>
      <c r="R171" s="81">
        <f t="shared" si="8"/>
        <v>5558950.2161873383</v>
      </c>
      <c r="S171" s="84"/>
      <c r="T171" s="81" t="e">
        <f t="shared" si="9"/>
        <v>#DIV/0!</v>
      </c>
      <c r="U171" s="81"/>
      <c r="V171" s="84"/>
      <c r="W171" s="84"/>
    </row>
    <row r="172" spans="1:23" x14ac:dyDescent="0.4">
      <c r="A172" s="85" t="s">
        <v>350</v>
      </c>
      <c r="B172" s="92" t="s">
        <v>127</v>
      </c>
      <c r="C172" s="125" t="s">
        <v>5</v>
      </c>
      <c r="D172" s="129" t="s">
        <v>485</v>
      </c>
      <c r="E172" s="129" t="s">
        <v>484</v>
      </c>
      <c r="F172" s="129" t="s">
        <v>484</v>
      </c>
      <c r="G172" s="129" t="s">
        <v>485</v>
      </c>
      <c r="H172" s="129" t="s">
        <v>485</v>
      </c>
      <c r="I172" s="112">
        <v>5.8</v>
      </c>
      <c r="J172" s="77" t="s">
        <v>133</v>
      </c>
      <c r="K172" s="84">
        <v>32.49</v>
      </c>
      <c r="L172" s="86">
        <v>11200</v>
      </c>
      <c r="M172" s="83">
        <v>0.4</v>
      </c>
      <c r="N172" s="81">
        <v>50</v>
      </c>
      <c r="O172">
        <v>37.869999999999997</v>
      </c>
      <c r="P172" s="94">
        <v>7.7065697359999996</v>
      </c>
      <c r="Q172" s="81">
        <f t="shared" si="7"/>
        <v>4.913989141381073</v>
      </c>
      <c r="R172" s="81">
        <f t="shared" si="8"/>
        <v>6879584.7979335021</v>
      </c>
      <c r="S172" s="84"/>
      <c r="T172" s="81" t="e">
        <f t="shared" si="9"/>
        <v>#DIV/0!</v>
      </c>
      <c r="U172" s="81" t="e">
        <f>AVERAGE(T170:T172)</f>
        <v>#DIV/0!</v>
      </c>
      <c r="V172" s="81" t="e">
        <f>_xlfn.STDEV.S(T170:T172)</f>
        <v>#DIV/0!</v>
      </c>
      <c r="W172" s="81">
        <f>MAX(K170:K172)-MIN(K170:K172)</f>
        <v>2.9500000000000028</v>
      </c>
    </row>
    <row r="173" spans="1:23" x14ac:dyDescent="0.4">
      <c r="A173" s="85" t="s">
        <v>351</v>
      </c>
      <c r="B173" s="92" t="s">
        <v>128</v>
      </c>
      <c r="C173" s="125" t="s">
        <v>6</v>
      </c>
      <c r="D173" s="129" t="s">
        <v>485</v>
      </c>
      <c r="E173" s="129" t="s">
        <v>485</v>
      </c>
      <c r="F173" s="129" t="s">
        <v>484</v>
      </c>
      <c r="G173" s="129" t="s">
        <v>485</v>
      </c>
      <c r="H173" s="129" t="s">
        <v>485</v>
      </c>
      <c r="I173" s="112">
        <v>5.8</v>
      </c>
      <c r="J173" s="77" t="s">
        <v>133</v>
      </c>
      <c r="K173" s="84">
        <v>32.78</v>
      </c>
      <c r="L173" s="86">
        <v>10800</v>
      </c>
      <c r="M173" s="83">
        <v>0.4</v>
      </c>
      <c r="N173" s="81">
        <v>50</v>
      </c>
      <c r="O173">
        <v>33.76</v>
      </c>
      <c r="P173" s="94">
        <v>6.602282143</v>
      </c>
      <c r="Q173" s="81">
        <f t="shared" si="7"/>
        <v>5.113383413308636</v>
      </c>
      <c r="R173" s="81">
        <f t="shared" si="8"/>
        <v>6903067.6079666587</v>
      </c>
      <c r="S173" s="84"/>
      <c r="T173" s="81" t="e">
        <f t="shared" si="9"/>
        <v>#DIV/0!</v>
      </c>
      <c r="U173" s="81"/>
      <c r="V173" s="84"/>
      <c r="W173" s="84"/>
    </row>
    <row r="174" spans="1:23" x14ac:dyDescent="0.4">
      <c r="A174" s="85" t="s">
        <v>352</v>
      </c>
      <c r="B174" s="92" t="s">
        <v>128</v>
      </c>
      <c r="C174" s="125" t="s">
        <v>6</v>
      </c>
      <c r="D174" s="129" t="s">
        <v>485</v>
      </c>
      <c r="E174" s="129" t="s">
        <v>485</v>
      </c>
      <c r="F174" s="129" t="s">
        <v>484</v>
      </c>
      <c r="G174" s="129" t="s">
        <v>485</v>
      </c>
      <c r="H174" s="129" t="s">
        <v>485</v>
      </c>
      <c r="I174" s="112">
        <v>5.8</v>
      </c>
      <c r="J174" s="77" t="s">
        <v>133</v>
      </c>
      <c r="K174" s="84">
        <v>32.04</v>
      </c>
      <c r="L174" s="86">
        <v>11800</v>
      </c>
      <c r="M174" s="83">
        <v>0.4</v>
      </c>
      <c r="N174" s="81">
        <v>50</v>
      </c>
      <c r="O174">
        <v>33.76</v>
      </c>
      <c r="P174" s="94">
        <v>6.602282143</v>
      </c>
      <c r="Q174" s="81">
        <f t="shared" si="7"/>
        <v>5.113383413308636</v>
      </c>
      <c r="R174" s="81">
        <f t="shared" si="8"/>
        <v>7542240.5346302381</v>
      </c>
      <c r="S174" s="84"/>
      <c r="T174" s="81" t="e">
        <f t="shared" si="9"/>
        <v>#DIV/0!</v>
      </c>
      <c r="U174" s="81"/>
      <c r="V174" s="84"/>
      <c r="W174" s="84"/>
    </row>
    <row r="175" spans="1:23" x14ac:dyDescent="0.4">
      <c r="A175" s="85" t="s">
        <v>353</v>
      </c>
      <c r="B175" s="92" t="s">
        <v>128</v>
      </c>
      <c r="C175" s="125" t="s">
        <v>6</v>
      </c>
      <c r="D175" s="129" t="s">
        <v>485</v>
      </c>
      <c r="E175" s="129" t="s">
        <v>485</v>
      </c>
      <c r="F175" s="129" t="s">
        <v>484</v>
      </c>
      <c r="G175" s="129" t="s">
        <v>485</v>
      </c>
      <c r="H175" s="129" t="s">
        <v>485</v>
      </c>
      <c r="I175" s="112">
        <v>5.8</v>
      </c>
      <c r="J175" s="77" t="s">
        <v>133</v>
      </c>
      <c r="K175" s="84">
        <v>32.43</v>
      </c>
      <c r="L175" s="86">
        <v>11200</v>
      </c>
      <c r="M175" s="83">
        <v>0.4</v>
      </c>
      <c r="N175" s="81">
        <v>50</v>
      </c>
      <c r="O175">
        <v>33.76</v>
      </c>
      <c r="P175" s="94">
        <v>6.602282143</v>
      </c>
      <c r="Q175" s="81">
        <f t="shared" si="7"/>
        <v>5.113383413308636</v>
      </c>
      <c r="R175" s="81">
        <f t="shared" si="8"/>
        <v>7158736.7786320904</v>
      </c>
      <c r="S175" s="84"/>
      <c r="T175" s="81" t="e">
        <f t="shared" si="9"/>
        <v>#DIV/0!</v>
      </c>
      <c r="U175" s="81" t="e">
        <f>AVERAGE(T173:T175)</f>
        <v>#DIV/0!</v>
      </c>
      <c r="V175" s="81" t="e">
        <f>_xlfn.STDEV.S(T173:T175)</f>
        <v>#DIV/0!</v>
      </c>
      <c r="W175" s="81">
        <f>MAX(K173:K175)-MIN(K173:K175)</f>
        <v>0.74000000000000199</v>
      </c>
    </row>
    <row r="176" spans="1:23" x14ac:dyDescent="0.4">
      <c r="A176" s="85" t="s">
        <v>354</v>
      </c>
      <c r="B176" s="92" t="s">
        <v>129</v>
      </c>
      <c r="C176" s="125" t="s">
        <v>7</v>
      </c>
      <c r="D176" s="129" t="s">
        <v>485</v>
      </c>
      <c r="E176" s="129" t="s">
        <v>485</v>
      </c>
      <c r="F176" s="129" t="s">
        <v>485</v>
      </c>
      <c r="G176" s="129" t="s">
        <v>485</v>
      </c>
      <c r="H176" s="129" t="s">
        <v>485</v>
      </c>
      <c r="I176" s="112">
        <v>5.8</v>
      </c>
      <c r="J176" s="77" t="s">
        <v>133</v>
      </c>
      <c r="K176" s="84">
        <v>28.96</v>
      </c>
      <c r="L176" s="86">
        <v>20400</v>
      </c>
      <c r="M176" s="83">
        <v>0.4</v>
      </c>
      <c r="N176" s="81">
        <v>50</v>
      </c>
      <c r="O176">
        <v>18.75</v>
      </c>
      <c r="P176" s="94">
        <v>7.148379727</v>
      </c>
      <c r="Q176" s="81">
        <f t="shared" si="7"/>
        <v>2.6229720182854521</v>
      </c>
      <c r="R176" s="81">
        <f t="shared" si="8"/>
        <v>6688578.646627903</v>
      </c>
      <c r="S176" s="84"/>
      <c r="T176" s="81" t="e">
        <f t="shared" si="9"/>
        <v>#DIV/0!</v>
      </c>
      <c r="U176" s="81"/>
      <c r="V176" s="84"/>
      <c r="W176" s="84"/>
    </row>
    <row r="177" spans="1:23" x14ac:dyDescent="0.4">
      <c r="A177" s="85" t="s">
        <v>355</v>
      </c>
      <c r="B177" s="92" t="s">
        <v>129</v>
      </c>
      <c r="C177" s="125" t="s">
        <v>7</v>
      </c>
      <c r="D177" s="129" t="s">
        <v>485</v>
      </c>
      <c r="E177" s="129" t="s">
        <v>485</v>
      </c>
      <c r="F177" s="129" t="s">
        <v>485</v>
      </c>
      <c r="G177" s="129" t="s">
        <v>485</v>
      </c>
      <c r="H177" s="129" t="s">
        <v>485</v>
      </c>
      <c r="I177" s="112">
        <v>5.8</v>
      </c>
      <c r="J177" s="77" t="s">
        <v>133</v>
      </c>
      <c r="K177" s="84">
        <v>29.16</v>
      </c>
      <c r="L177" s="86">
        <v>19500</v>
      </c>
      <c r="M177" s="83">
        <v>0.4</v>
      </c>
      <c r="N177" s="81">
        <v>50</v>
      </c>
      <c r="O177">
        <v>18.75</v>
      </c>
      <c r="P177" s="94">
        <v>7.148379727</v>
      </c>
      <c r="Q177" s="81">
        <f t="shared" si="7"/>
        <v>2.6229720182854521</v>
      </c>
      <c r="R177" s="81">
        <f t="shared" si="8"/>
        <v>6393494.2945707887</v>
      </c>
      <c r="S177" s="84"/>
      <c r="T177" s="81" t="e">
        <f t="shared" si="9"/>
        <v>#DIV/0!</v>
      </c>
      <c r="U177" s="81"/>
      <c r="V177" s="84"/>
      <c r="W177" s="84"/>
    </row>
    <row r="178" spans="1:23" x14ac:dyDescent="0.4">
      <c r="A178" s="85" t="s">
        <v>356</v>
      </c>
      <c r="B178" s="92" t="s">
        <v>129</v>
      </c>
      <c r="C178" s="125" t="s">
        <v>7</v>
      </c>
      <c r="D178" s="129" t="s">
        <v>485</v>
      </c>
      <c r="E178" s="129" t="s">
        <v>485</v>
      </c>
      <c r="F178" s="129" t="s">
        <v>485</v>
      </c>
      <c r="G178" s="129" t="s">
        <v>485</v>
      </c>
      <c r="H178" s="129" t="s">
        <v>485</v>
      </c>
      <c r="I178" s="112">
        <v>5.8</v>
      </c>
      <c r="J178" s="77" t="s">
        <v>133</v>
      </c>
      <c r="K178" s="84">
        <v>31.11</v>
      </c>
      <c r="L178" s="86">
        <v>13500</v>
      </c>
      <c r="M178" s="83">
        <v>0.4</v>
      </c>
      <c r="N178" s="81">
        <v>50</v>
      </c>
      <c r="O178">
        <v>18.75</v>
      </c>
      <c r="P178" s="94">
        <v>7.148379727</v>
      </c>
      <c r="Q178" s="81">
        <f t="shared" si="7"/>
        <v>2.6229720182854521</v>
      </c>
      <c r="R178" s="81">
        <f t="shared" si="8"/>
        <v>4426265.2808566997</v>
      </c>
      <c r="S178" s="84"/>
      <c r="T178" s="81" t="e">
        <f t="shared" si="9"/>
        <v>#DIV/0!</v>
      </c>
      <c r="U178" s="81" t="e">
        <f>AVERAGE(T176:T178)</f>
        <v>#DIV/0!</v>
      </c>
      <c r="V178" s="81" t="e">
        <f>_xlfn.STDEV.S(T176:T178)</f>
        <v>#DIV/0!</v>
      </c>
      <c r="W178" s="81">
        <f>MAX(K176:K178)-MIN(K176:K178)</f>
        <v>2.1499999999999986</v>
      </c>
    </row>
    <row r="179" spans="1:23" x14ac:dyDescent="0.4">
      <c r="A179" s="85" t="s">
        <v>357</v>
      </c>
      <c r="B179" s="92" t="s">
        <v>136</v>
      </c>
      <c r="C179" s="127" t="s">
        <v>480</v>
      </c>
      <c r="D179" s="131"/>
      <c r="E179" s="129"/>
      <c r="F179" s="131"/>
      <c r="G179" s="131"/>
      <c r="H179" s="131"/>
      <c r="I179" s="111" t="s">
        <v>480</v>
      </c>
      <c r="J179" s="77" t="s">
        <v>133</v>
      </c>
      <c r="K179" s="84">
        <v>35</v>
      </c>
      <c r="L179" s="86">
        <v>9050</v>
      </c>
      <c r="M179" s="83">
        <v>0.4</v>
      </c>
      <c r="N179" s="81">
        <v>50</v>
      </c>
      <c r="O179">
        <v>52.24</v>
      </c>
      <c r="P179" s="94">
        <v>6.6045898579999998</v>
      </c>
      <c r="Q179" s="81">
        <f t="shared" si="7"/>
        <v>7.909650882669542</v>
      </c>
      <c r="R179" s="81">
        <f t="shared" si="8"/>
        <v>8947792.5610199198</v>
      </c>
      <c r="S179" s="84"/>
      <c r="T179" s="81" t="e">
        <f t="shared" si="9"/>
        <v>#DIV/0!</v>
      </c>
      <c r="U179" s="81"/>
      <c r="V179" s="84"/>
      <c r="W179" s="84"/>
    </row>
    <row r="180" spans="1:23" x14ac:dyDescent="0.4">
      <c r="A180" s="85" t="s">
        <v>358</v>
      </c>
      <c r="B180" s="92" t="s">
        <v>136</v>
      </c>
      <c r="C180" s="127" t="s">
        <v>480</v>
      </c>
      <c r="D180" s="131"/>
      <c r="E180" s="131"/>
      <c r="F180" s="131"/>
      <c r="G180" s="131"/>
      <c r="H180" s="131"/>
      <c r="I180" s="111" t="s">
        <v>480</v>
      </c>
      <c r="J180" s="77" t="s">
        <v>133</v>
      </c>
      <c r="K180" s="84">
        <v>32.299999999999997</v>
      </c>
      <c r="L180" s="86">
        <v>11400</v>
      </c>
      <c r="M180" s="83">
        <v>0.4</v>
      </c>
      <c r="N180" s="81">
        <v>50</v>
      </c>
      <c r="O180">
        <v>52.24</v>
      </c>
      <c r="P180" s="94">
        <v>6.6045898579999998</v>
      </c>
      <c r="Q180" s="81">
        <f t="shared" si="7"/>
        <v>7.909650882669542</v>
      </c>
      <c r="R180" s="81">
        <f t="shared" si="8"/>
        <v>11271252.507804096</v>
      </c>
      <c r="S180" s="84"/>
      <c r="T180" s="81" t="e">
        <f t="shared" si="9"/>
        <v>#DIV/0!</v>
      </c>
      <c r="U180" s="81"/>
      <c r="V180" s="84"/>
      <c r="W180" s="84"/>
    </row>
    <row r="181" spans="1:23" x14ac:dyDescent="0.4">
      <c r="A181" s="85" t="s">
        <v>359</v>
      </c>
      <c r="B181" s="92" t="s">
        <v>136</v>
      </c>
      <c r="C181" s="127" t="s">
        <v>480</v>
      </c>
      <c r="D181" s="131"/>
      <c r="E181" s="131"/>
      <c r="F181" s="131"/>
      <c r="G181" s="131"/>
      <c r="H181" s="131"/>
      <c r="I181" s="111" t="s">
        <v>480</v>
      </c>
      <c r="J181" s="77" t="s">
        <v>133</v>
      </c>
      <c r="K181" s="84">
        <v>33.369999999999997</v>
      </c>
      <c r="L181" s="86">
        <v>10200</v>
      </c>
      <c r="M181" s="83">
        <v>0.4</v>
      </c>
      <c r="N181" s="81">
        <v>50</v>
      </c>
      <c r="O181">
        <v>52.24</v>
      </c>
      <c r="P181" s="94">
        <v>6.6045898579999998</v>
      </c>
      <c r="Q181" s="81">
        <f t="shared" si="7"/>
        <v>7.909650882669542</v>
      </c>
      <c r="R181" s="81">
        <f t="shared" si="8"/>
        <v>10084804.875403665</v>
      </c>
      <c r="S181" s="84"/>
      <c r="T181" s="81" t="e">
        <f t="shared" si="9"/>
        <v>#DIV/0!</v>
      </c>
      <c r="U181" s="81" t="e">
        <f>AVERAGE(T179:T181)</f>
        <v>#DIV/0!</v>
      </c>
      <c r="V181" s="81" t="e">
        <f>_xlfn.STDEV.S(T179:T181)</f>
        <v>#DIV/0!</v>
      </c>
      <c r="W181" s="81">
        <f>MAX(K179:K181)-MIN(K179:K181)</f>
        <v>2.7000000000000028</v>
      </c>
    </row>
    <row r="182" spans="1:23" x14ac:dyDescent="0.4">
      <c r="A182" s="85" t="s">
        <v>360</v>
      </c>
      <c r="B182" s="92" t="s">
        <v>136</v>
      </c>
      <c r="C182" s="127" t="s">
        <v>480</v>
      </c>
      <c r="D182" s="131"/>
      <c r="E182" s="131"/>
      <c r="F182" s="131"/>
      <c r="G182" s="131"/>
      <c r="H182" s="131"/>
      <c r="I182" s="111" t="s">
        <v>480</v>
      </c>
      <c r="J182" s="77" t="s">
        <v>133</v>
      </c>
      <c r="K182" s="84">
        <v>35</v>
      </c>
      <c r="L182" s="86">
        <v>9050</v>
      </c>
      <c r="M182" s="83">
        <v>0.4</v>
      </c>
      <c r="N182" s="81">
        <v>50</v>
      </c>
      <c r="O182">
        <v>43.38</v>
      </c>
      <c r="P182" s="94">
        <v>5.7012580530000001</v>
      </c>
      <c r="Q182" s="81">
        <f t="shared" si="7"/>
        <v>7.6088469591678036</v>
      </c>
      <c r="R182" s="81">
        <f t="shared" si="8"/>
        <v>8607508.122558577</v>
      </c>
      <c r="S182" s="84"/>
      <c r="T182" s="81" t="e">
        <f t="shared" si="9"/>
        <v>#DIV/0!</v>
      </c>
      <c r="U182" s="81"/>
      <c r="V182" s="84"/>
      <c r="W182" s="84"/>
    </row>
    <row r="183" spans="1:23" x14ac:dyDescent="0.4">
      <c r="A183" s="85" t="s">
        <v>361</v>
      </c>
      <c r="B183" s="92" t="s">
        <v>136</v>
      </c>
      <c r="C183" s="127" t="s">
        <v>480</v>
      </c>
      <c r="D183" s="131"/>
      <c r="E183" s="131"/>
      <c r="F183" s="131"/>
      <c r="G183" s="131"/>
      <c r="H183" s="131"/>
      <c r="I183" s="111" t="s">
        <v>480</v>
      </c>
      <c r="J183" s="77" t="s">
        <v>133</v>
      </c>
      <c r="K183" s="84">
        <v>33.630000000000003</v>
      </c>
      <c r="L183" s="86">
        <v>9920</v>
      </c>
      <c r="M183" s="83">
        <v>0.4</v>
      </c>
      <c r="N183" s="81">
        <v>50</v>
      </c>
      <c r="O183">
        <v>43.38</v>
      </c>
      <c r="P183" s="94">
        <v>5.7012580530000001</v>
      </c>
      <c r="Q183" s="81">
        <f t="shared" si="7"/>
        <v>7.6088469591678036</v>
      </c>
      <c r="R183" s="81">
        <f t="shared" si="8"/>
        <v>9434970.2293680757</v>
      </c>
      <c r="S183" s="84"/>
      <c r="T183" s="81" t="e">
        <f t="shared" si="9"/>
        <v>#DIV/0!</v>
      </c>
      <c r="U183" s="81"/>
      <c r="V183" s="84"/>
      <c r="W183" s="84"/>
    </row>
    <row r="184" spans="1:23" x14ac:dyDescent="0.4">
      <c r="A184" s="85" t="s">
        <v>362</v>
      </c>
      <c r="B184" s="92" t="s">
        <v>136</v>
      </c>
      <c r="C184" s="127" t="s">
        <v>480</v>
      </c>
      <c r="D184" s="131"/>
      <c r="E184" s="131"/>
      <c r="F184" s="131"/>
      <c r="G184" s="131"/>
      <c r="H184" s="131"/>
      <c r="I184" s="111" t="s">
        <v>480</v>
      </c>
      <c r="J184" s="77" t="s">
        <v>133</v>
      </c>
      <c r="K184" s="84">
        <v>32.4</v>
      </c>
      <c r="L184" s="86">
        <v>11300</v>
      </c>
      <c r="M184" s="83">
        <v>0.4</v>
      </c>
      <c r="N184" s="81">
        <v>50</v>
      </c>
      <c r="O184">
        <v>43.38</v>
      </c>
      <c r="P184" s="94">
        <v>5.7012580530000001</v>
      </c>
      <c r="Q184" s="81">
        <f t="shared" si="7"/>
        <v>7.6088469591678036</v>
      </c>
      <c r="R184" s="81">
        <f t="shared" si="8"/>
        <v>10747496.32982452</v>
      </c>
      <c r="S184" s="84"/>
      <c r="T184" s="81" t="e">
        <f t="shared" si="9"/>
        <v>#DIV/0!</v>
      </c>
      <c r="U184" s="81" t="e">
        <f>AVERAGE(T182:T184)</f>
        <v>#DIV/0!</v>
      </c>
      <c r="V184" s="81" t="e">
        <f>_xlfn.STDEV.S(T182:T184)</f>
        <v>#DIV/0!</v>
      </c>
      <c r="W184" s="81">
        <f>MAX(K182:K184)-MIN(K182:K184)</f>
        <v>2.6000000000000014</v>
      </c>
    </row>
    <row r="185" spans="1:23" x14ac:dyDescent="0.4">
      <c r="A185" s="85" t="s">
        <v>363</v>
      </c>
      <c r="B185" s="92" t="s">
        <v>137</v>
      </c>
      <c r="C185" s="127" t="s">
        <v>182</v>
      </c>
      <c r="D185" s="131"/>
      <c r="E185" s="131"/>
      <c r="F185" s="131"/>
      <c r="G185" s="131"/>
      <c r="H185" s="131"/>
      <c r="I185" s="112"/>
      <c r="J185" s="82"/>
      <c r="K185" s="84">
        <v>28.48</v>
      </c>
      <c r="L185" s="86">
        <v>22700</v>
      </c>
      <c r="M185" s="83">
        <v>0.4</v>
      </c>
      <c r="N185" s="81">
        <v>50</v>
      </c>
      <c r="O185">
        <v>-0.88</v>
      </c>
      <c r="P185" s="94">
        <v>-0.25910722800000002</v>
      </c>
      <c r="Q185" s="81">
        <f t="shared" si="7"/>
        <v>3.3962773126498806</v>
      </c>
      <c r="R185" s="81">
        <f t="shared" si="8"/>
        <v>9636936.8746440355</v>
      </c>
      <c r="S185" s="84"/>
      <c r="T185" s="81" t="e">
        <f t="shared" si="9"/>
        <v>#DIV/0!</v>
      </c>
      <c r="U185" s="81"/>
      <c r="V185" s="84"/>
      <c r="W185" s="84"/>
    </row>
    <row r="186" spans="1:23" x14ac:dyDescent="0.4">
      <c r="A186" s="85" t="s">
        <v>364</v>
      </c>
      <c r="B186" s="92" t="s">
        <v>137</v>
      </c>
      <c r="C186" s="127" t="s">
        <v>182</v>
      </c>
      <c r="D186" s="131"/>
      <c r="E186" s="131"/>
      <c r="F186" s="131"/>
      <c r="G186" s="131"/>
      <c r="H186" s="131"/>
      <c r="I186" s="112"/>
      <c r="J186" s="82"/>
      <c r="K186" s="84">
        <v>32.619999999999997</v>
      </c>
      <c r="L186" s="86">
        <v>11000</v>
      </c>
      <c r="M186" s="83">
        <v>0.4</v>
      </c>
      <c r="N186" s="81">
        <v>50</v>
      </c>
      <c r="O186">
        <v>-0.88</v>
      </c>
      <c r="P186" s="94">
        <v>-0.25910722800000002</v>
      </c>
      <c r="Q186" s="81">
        <f t="shared" si="7"/>
        <v>3.3962773126498806</v>
      </c>
      <c r="R186" s="81">
        <f t="shared" si="8"/>
        <v>4669881.3048935849</v>
      </c>
      <c r="S186" s="84"/>
      <c r="T186" s="81" t="e">
        <f t="shared" si="9"/>
        <v>#DIV/0!</v>
      </c>
      <c r="U186" s="81"/>
      <c r="V186" s="84"/>
      <c r="W186" s="84"/>
    </row>
    <row r="187" spans="1:23" x14ac:dyDescent="0.4">
      <c r="A187" s="85" t="s">
        <v>365</v>
      </c>
      <c r="B187" s="92" t="s">
        <v>137</v>
      </c>
      <c r="C187" s="127" t="s">
        <v>182</v>
      </c>
      <c r="D187" s="131"/>
      <c r="E187" s="131"/>
      <c r="F187" s="131"/>
      <c r="G187" s="131"/>
      <c r="H187" s="131"/>
      <c r="I187" s="112"/>
      <c r="J187" s="82"/>
      <c r="K187" s="84">
        <v>31.79</v>
      </c>
      <c r="L187" s="86">
        <v>12200</v>
      </c>
      <c r="M187" s="83">
        <v>0.4</v>
      </c>
      <c r="N187" s="81">
        <v>50</v>
      </c>
      <c r="O187">
        <v>-0.88</v>
      </c>
      <c r="P187" s="94">
        <v>-0.25910722800000002</v>
      </c>
      <c r="Q187" s="81">
        <f t="shared" si="7"/>
        <v>3.3962773126498806</v>
      </c>
      <c r="R187" s="81">
        <f t="shared" si="8"/>
        <v>5179322.9017910678</v>
      </c>
      <c r="S187" s="84"/>
      <c r="T187" s="81" t="e">
        <f t="shared" si="9"/>
        <v>#DIV/0!</v>
      </c>
      <c r="U187" s="81" t="e">
        <f>AVERAGE(T185:T187)</f>
        <v>#DIV/0!</v>
      </c>
      <c r="V187" s="81" t="e">
        <f>_xlfn.STDEV.S(T185:T187)</f>
        <v>#DIV/0!</v>
      </c>
      <c r="W187" s="81">
        <f>MAX(K185:K187)-MIN(K185:K187)</f>
        <v>4.139999999999997</v>
      </c>
    </row>
    <row r="188" spans="1:23" x14ac:dyDescent="0.4">
      <c r="A188" s="85" t="s">
        <v>366</v>
      </c>
      <c r="B188" s="92" t="s">
        <v>137</v>
      </c>
      <c r="C188" s="127" t="s">
        <v>182</v>
      </c>
      <c r="D188" s="131"/>
      <c r="E188" s="131"/>
      <c r="F188" s="131"/>
      <c r="G188" s="131"/>
      <c r="H188" s="131"/>
      <c r="I188" s="112"/>
      <c r="J188" s="82"/>
      <c r="K188" s="84">
        <v>31.97</v>
      </c>
      <c r="L188" s="86">
        <v>11900</v>
      </c>
      <c r="M188" s="83">
        <v>0.4</v>
      </c>
      <c r="N188" s="81">
        <v>50</v>
      </c>
      <c r="O188">
        <v>-0.92</v>
      </c>
      <c r="P188" s="94">
        <v>-0.25523026700000001</v>
      </c>
      <c r="Q188" s="81">
        <f t="shared" si="7"/>
        <v>3.604588165869842</v>
      </c>
      <c r="R188" s="81">
        <f t="shared" si="8"/>
        <v>5361824.8967313888</v>
      </c>
      <c r="S188" s="84"/>
      <c r="T188" s="81" t="e">
        <f t="shared" si="9"/>
        <v>#DIV/0!</v>
      </c>
      <c r="U188" s="81"/>
      <c r="V188" s="84"/>
      <c r="W188" s="84"/>
    </row>
    <row r="189" spans="1:23" x14ac:dyDescent="0.4">
      <c r="A189" s="85" t="s">
        <v>367</v>
      </c>
      <c r="B189" s="92" t="s">
        <v>137</v>
      </c>
      <c r="C189" s="127" t="s">
        <v>182</v>
      </c>
      <c r="D189" s="131"/>
      <c r="E189" s="131"/>
      <c r="F189" s="131"/>
      <c r="G189" s="131"/>
      <c r="H189" s="131"/>
      <c r="I189" s="112"/>
      <c r="J189" s="82"/>
      <c r="K189" s="84">
        <v>31.42</v>
      </c>
      <c r="L189" s="86">
        <v>12900</v>
      </c>
      <c r="M189" s="83">
        <v>0.4</v>
      </c>
      <c r="N189" s="81">
        <v>50</v>
      </c>
      <c r="O189">
        <v>-0.92</v>
      </c>
      <c r="P189" s="94">
        <v>-0.25523026700000001</v>
      </c>
      <c r="Q189" s="81">
        <f t="shared" si="7"/>
        <v>3.604588165869842</v>
      </c>
      <c r="R189" s="81">
        <f t="shared" si="8"/>
        <v>5812398.4174651196</v>
      </c>
      <c r="S189" s="84"/>
      <c r="T189" s="81" t="e">
        <f t="shared" si="9"/>
        <v>#DIV/0!</v>
      </c>
      <c r="U189" s="81"/>
      <c r="V189" s="84"/>
      <c r="W189" s="84"/>
    </row>
    <row r="190" spans="1:23" x14ac:dyDescent="0.4">
      <c r="A190" s="85" t="s">
        <v>368</v>
      </c>
      <c r="B190" s="92" t="s">
        <v>137</v>
      </c>
      <c r="C190" s="127" t="s">
        <v>182</v>
      </c>
      <c r="D190" s="131"/>
      <c r="E190" s="131"/>
      <c r="F190" s="131"/>
      <c r="G190" s="131"/>
      <c r="H190" s="131"/>
      <c r="I190" s="112"/>
      <c r="J190" s="82"/>
      <c r="K190" s="84">
        <v>31.2</v>
      </c>
      <c r="L190" s="86">
        <v>13300</v>
      </c>
      <c r="M190" s="83">
        <v>0.4</v>
      </c>
      <c r="N190" s="81">
        <v>50</v>
      </c>
      <c r="O190">
        <v>-0.92</v>
      </c>
      <c r="P190" s="94">
        <v>-0.25523026700000001</v>
      </c>
      <c r="Q190" s="81">
        <f t="shared" si="7"/>
        <v>3.604588165869842</v>
      </c>
      <c r="R190" s="81">
        <f t="shared" si="8"/>
        <v>5992627.8257586118</v>
      </c>
      <c r="S190" s="84"/>
      <c r="T190" s="81" t="e">
        <f t="shared" si="9"/>
        <v>#DIV/0!</v>
      </c>
      <c r="U190" s="81" t="e">
        <f>AVERAGE(T188:T190)</f>
        <v>#DIV/0!</v>
      </c>
      <c r="V190" s="81" t="e">
        <f>_xlfn.STDEV.S(T188:T190)</f>
        <v>#DIV/0!</v>
      </c>
      <c r="W190" s="81">
        <f>MAX(K188:K190)-MIN(K188:K190)</f>
        <v>0.76999999999999957</v>
      </c>
    </row>
    <row r="191" spans="1:23" x14ac:dyDescent="0.4">
      <c r="A191" s="85" t="s">
        <v>369</v>
      </c>
      <c r="B191" s="92" t="s">
        <v>145</v>
      </c>
      <c r="C191" s="127" t="s">
        <v>185</v>
      </c>
      <c r="D191" s="131"/>
      <c r="E191" s="131"/>
      <c r="F191" s="131"/>
      <c r="G191" s="131"/>
      <c r="H191" s="131"/>
      <c r="I191" s="112"/>
      <c r="J191" s="82"/>
      <c r="K191" s="84">
        <v>35</v>
      </c>
      <c r="L191" s="86">
        <v>9050</v>
      </c>
      <c r="M191" s="83"/>
      <c r="N191" s="81"/>
      <c r="O191" s="84"/>
      <c r="P191" s="84"/>
      <c r="Q191" s="81" t="e">
        <f t="shared" si="7"/>
        <v>#DIV/0!</v>
      </c>
      <c r="R191" s="81" t="e">
        <f t="shared" si="8"/>
        <v>#DIV/0!</v>
      </c>
      <c r="S191" s="84"/>
      <c r="T191" s="81" t="e">
        <f t="shared" si="9"/>
        <v>#DIV/0!</v>
      </c>
      <c r="U191" s="81"/>
      <c r="V191" s="84"/>
      <c r="W191" s="84"/>
    </row>
    <row r="192" spans="1:23" x14ac:dyDescent="0.4">
      <c r="A192" s="85" t="s">
        <v>370</v>
      </c>
      <c r="B192" s="92" t="s">
        <v>145</v>
      </c>
      <c r="C192" s="127" t="s">
        <v>185</v>
      </c>
      <c r="D192" s="131"/>
      <c r="E192" s="131"/>
      <c r="F192" s="131"/>
      <c r="G192" s="131"/>
      <c r="H192" s="131"/>
      <c r="I192" s="112"/>
      <c r="J192" s="82"/>
      <c r="K192" s="84">
        <v>35</v>
      </c>
      <c r="L192" s="86">
        <v>9050</v>
      </c>
      <c r="M192" s="83"/>
      <c r="N192" s="81"/>
      <c r="O192" s="84"/>
      <c r="P192" s="84"/>
      <c r="Q192" s="81" t="e">
        <f t="shared" si="7"/>
        <v>#DIV/0!</v>
      </c>
      <c r="R192" s="81" t="e">
        <f t="shared" si="8"/>
        <v>#DIV/0!</v>
      </c>
      <c r="S192" s="84"/>
      <c r="T192" s="81" t="e">
        <f t="shared" si="9"/>
        <v>#DIV/0!</v>
      </c>
      <c r="U192" s="81"/>
      <c r="V192" s="84"/>
      <c r="W192" s="84"/>
    </row>
    <row r="193" spans="1:23" x14ac:dyDescent="0.4">
      <c r="A193" s="85" t="s">
        <v>371</v>
      </c>
      <c r="B193" s="92" t="s">
        <v>145</v>
      </c>
      <c r="C193" s="127" t="s">
        <v>185</v>
      </c>
      <c r="D193" s="131"/>
      <c r="E193" s="131"/>
      <c r="F193" s="131"/>
      <c r="G193" s="131"/>
      <c r="H193" s="131"/>
      <c r="I193" s="112"/>
      <c r="J193" s="82"/>
      <c r="K193" s="84">
        <v>34.43</v>
      </c>
      <c r="L193" s="86">
        <v>9340</v>
      </c>
      <c r="M193" s="83"/>
      <c r="N193" s="81"/>
      <c r="O193" s="84"/>
      <c r="P193" s="84"/>
      <c r="Q193" s="81" t="e">
        <f t="shared" si="7"/>
        <v>#DIV/0!</v>
      </c>
      <c r="R193" s="81" t="e">
        <f t="shared" si="8"/>
        <v>#DIV/0!</v>
      </c>
      <c r="S193" s="84"/>
      <c r="T193" s="81" t="e">
        <f t="shared" si="9"/>
        <v>#DIV/0!</v>
      </c>
      <c r="U193" s="81" t="e">
        <f>AVERAGE(T191:T193)</f>
        <v>#DIV/0!</v>
      </c>
      <c r="V193" s="81" t="e">
        <f>_xlfn.STDEV.S(T191:T193)</f>
        <v>#DIV/0!</v>
      </c>
      <c r="W193" s="81">
        <f>MAX(K191:K193)-MIN(K191:K193)</f>
        <v>0.57000000000000028</v>
      </c>
    </row>
    <row r="194" spans="1:23" x14ac:dyDescent="0.4">
      <c r="A194" s="85" t="s">
        <v>372</v>
      </c>
      <c r="B194" s="92" t="s">
        <v>146</v>
      </c>
      <c r="C194" s="127" t="s">
        <v>177</v>
      </c>
      <c r="D194" s="131"/>
      <c r="E194" s="131"/>
      <c r="F194" s="131"/>
      <c r="G194" s="131"/>
      <c r="H194" s="131"/>
      <c r="I194" s="112"/>
      <c r="J194" s="82"/>
      <c r="K194" s="84">
        <v>18.5</v>
      </c>
      <c r="L194" s="86">
        <v>1000000</v>
      </c>
      <c r="M194" s="83"/>
      <c r="N194" s="81"/>
      <c r="O194" s="84"/>
      <c r="P194" s="84"/>
      <c r="Q194" s="81" t="e">
        <f t="shared" si="7"/>
        <v>#DIV/0!</v>
      </c>
      <c r="R194" s="81" t="e">
        <f t="shared" si="8"/>
        <v>#DIV/0!</v>
      </c>
      <c r="S194" s="84"/>
      <c r="T194" s="81" t="e">
        <f t="shared" si="9"/>
        <v>#DIV/0!</v>
      </c>
      <c r="U194" s="81"/>
      <c r="V194" s="84"/>
      <c r="W194" s="84"/>
    </row>
    <row r="195" spans="1:23" x14ac:dyDescent="0.4">
      <c r="A195" s="85" t="s">
        <v>373</v>
      </c>
      <c r="B195" s="92" t="s">
        <v>146</v>
      </c>
      <c r="C195" s="127" t="s">
        <v>177</v>
      </c>
      <c r="D195" s="131"/>
      <c r="E195" s="131"/>
      <c r="F195" s="131"/>
      <c r="G195" s="131"/>
      <c r="H195" s="131"/>
      <c r="I195" s="112"/>
      <c r="J195" s="82"/>
      <c r="K195" s="84">
        <v>18.45</v>
      </c>
      <c r="L195" s="86">
        <v>1020000</v>
      </c>
      <c r="M195" s="83"/>
      <c r="N195" s="81"/>
      <c r="O195" s="84"/>
      <c r="P195" s="84"/>
      <c r="Q195" s="81" t="e">
        <f t="shared" si="7"/>
        <v>#DIV/0!</v>
      </c>
      <c r="R195" s="81" t="e">
        <f t="shared" si="8"/>
        <v>#DIV/0!</v>
      </c>
      <c r="S195" s="84"/>
      <c r="T195" s="81" t="e">
        <f t="shared" si="9"/>
        <v>#DIV/0!</v>
      </c>
      <c r="U195" s="81"/>
      <c r="V195" s="84"/>
      <c r="W195" s="84"/>
    </row>
    <row r="196" spans="1:23" x14ac:dyDescent="0.4">
      <c r="A196" s="85" t="s">
        <v>374</v>
      </c>
      <c r="B196" s="92" t="s">
        <v>146</v>
      </c>
      <c r="C196" s="127" t="s">
        <v>177</v>
      </c>
      <c r="D196" s="131"/>
      <c r="E196" s="131"/>
      <c r="F196" s="131"/>
      <c r="G196" s="131"/>
      <c r="H196" s="131"/>
      <c r="I196" s="112"/>
      <c r="J196" s="82"/>
      <c r="K196" s="84">
        <v>18.649999999999999</v>
      </c>
      <c r="L196" s="86">
        <v>924000</v>
      </c>
      <c r="M196" s="83"/>
      <c r="N196" s="81"/>
      <c r="O196" s="84"/>
      <c r="P196" s="84"/>
      <c r="Q196" s="81" t="e">
        <f t="shared" si="7"/>
        <v>#DIV/0!</v>
      </c>
      <c r="R196" s="81" t="e">
        <f t="shared" si="8"/>
        <v>#DIV/0!</v>
      </c>
      <c r="S196" s="84"/>
      <c r="T196" s="81" t="e">
        <f t="shared" si="9"/>
        <v>#DIV/0!</v>
      </c>
      <c r="U196" s="81" t="e">
        <f>AVERAGE(T194:T196)</f>
        <v>#DIV/0!</v>
      </c>
      <c r="V196" s="81" t="e">
        <f>_xlfn.STDEV.S(T194:T196)</f>
        <v>#DIV/0!</v>
      </c>
      <c r="W196" s="81">
        <f>MAX(K194:K196)-MIN(K194:K196)</f>
        <v>0.19999999999999929</v>
      </c>
    </row>
    <row r="197" spans="1:23" x14ac:dyDescent="0.4">
      <c r="A197" s="85" t="s">
        <v>375</v>
      </c>
      <c r="B197" s="92" t="s">
        <v>174</v>
      </c>
      <c r="C197" s="128"/>
      <c r="D197" s="133"/>
      <c r="E197" s="133"/>
      <c r="F197" s="133"/>
      <c r="G197" s="133"/>
      <c r="H197" s="133"/>
      <c r="I197" s="112"/>
      <c r="J197" s="82"/>
      <c r="K197" s="84"/>
      <c r="L197" s="84"/>
      <c r="M197" s="83"/>
      <c r="N197" s="84"/>
      <c r="O197" s="84"/>
      <c r="P197" s="84"/>
      <c r="Q197" s="81" t="e">
        <f t="shared" si="7"/>
        <v>#DIV/0!</v>
      </c>
      <c r="R197" s="81" t="e">
        <f t="shared" si="8"/>
        <v>#DIV/0!</v>
      </c>
      <c r="S197" s="84"/>
      <c r="T197" s="81" t="e">
        <f t="shared" si="9"/>
        <v>#DIV/0!</v>
      </c>
      <c r="U197" s="81"/>
      <c r="V197" s="84"/>
      <c r="W197" s="84"/>
    </row>
    <row r="198" spans="1:23" x14ac:dyDescent="0.4">
      <c r="A198" s="85" t="s">
        <v>376</v>
      </c>
      <c r="B198" s="92" t="s">
        <v>174</v>
      </c>
      <c r="C198" s="128"/>
      <c r="D198" s="133"/>
      <c r="E198" s="133"/>
      <c r="F198" s="133"/>
      <c r="G198" s="133"/>
      <c r="H198" s="133"/>
      <c r="I198" s="112"/>
      <c r="J198" s="82"/>
      <c r="K198" s="84"/>
      <c r="L198" s="84"/>
      <c r="M198" s="83"/>
      <c r="N198" s="84"/>
      <c r="O198" s="84"/>
      <c r="P198" s="84"/>
      <c r="Q198" s="81" t="e">
        <f t="shared" si="7"/>
        <v>#DIV/0!</v>
      </c>
      <c r="R198" s="81" t="e">
        <f t="shared" si="8"/>
        <v>#DIV/0!</v>
      </c>
      <c r="S198" s="84"/>
      <c r="T198" s="81" t="e">
        <f t="shared" si="9"/>
        <v>#DIV/0!</v>
      </c>
      <c r="U198" s="81"/>
      <c r="V198" s="84"/>
      <c r="W198" s="84"/>
    </row>
    <row r="199" spans="1:23" x14ac:dyDescent="0.4">
      <c r="A199" s="85" t="s">
        <v>377</v>
      </c>
      <c r="B199" s="92" t="s">
        <v>174</v>
      </c>
      <c r="C199" s="128"/>
      <c r="D199" s="133"/>
      <c r="E199" s="133"/>
      <c r="F199" s="133"/>
      <c r="G199" s="133"/>
      <c r="H199" s="133"/>
      <c r="I199" s="112"/>
      <c r="J199" s="82"/>
      <c r="K199" s="84"/>
      <c r="L199" s="84"/>
      <c r="M199" s="83"/>
      <c r="N199" s="84"/>
      <c r="O199" s="84"/>
      <c r="P199" s="84"/>
      <c r="Q199" s="81" t="e">
        <f t="shared" si="7"/>
        <v>#DIV/0!</v>
      </c>
      <c r="R199" s="81" t="e">
        <f t="shared" si="8"/>
        <v>#DIV/0!</v>
      </c>
      <c r="S199" s="84"/>
      <c r="T199" s="81" t="e">
        <f t="shared" si="9"/>
        <v>#DIV/0!</v>
      </c>
      <c r="U199" s="81" t="e">
        <f>AVERAGE(T197:T199)</f>
        <v>#DIV/0!</v>
      </c>
      <c r="V199" s="81" t="e">
        <f>_xlfn.STDEV.S(T197:T199)</f>
        <v>#DIV/0!</v>
      </c>
      <c r="W199" s="81">
        <f>MAX(K197:K199)-MIN(K197:K199)</f>
        <v>0</v>
      </c>
    </row>
    <row r="200" spans="1:23" x14ac:dyDescent="0.4">
      <c r="A200" s="85" t="s">
        <v>378</v>
      </c>
      <c r="B200" s="92" t="s">
        <v>174</v>
      </c>
      <c r="C200" s="128"/>
      <c r="D200" s="133"/>
      <c r="E200" s="133"/>
      <c r="F200" s="133"/>
      <c r="G200" s="133"/>
      <c r="H200" s="133"/>
      <c r="I200" s="112"/>
      <c r="J200" s="82"/>
      <c r="K200" s="84"/>
      <c r="L200" s="84"/>
      <c r="M200" s="83"/>
      <c r="N200" s="84"/>
      <c r="O200" s="84"/>
      <c r="P200" s="84"/>
      <c r="Q200" s="81" t="e">
        <f t="shared" si="7"/>
        <v>#DIV/0!</v>
      </c>
      <c r="R200" s="81" t="e">
        <f t="shared" si="8"/>
        <v>#DIV/0!</v>
      </c>
      <c r="S200" s="84"/>
      <c r="T200" s="81" t="e">
        <f t="shared" si="9"/>
        <v>#DIV/0!</v>
      </c>
      <c r="U200" s="81"/>
      <c r="V200" s="84"/>
      <c r="W200" s="84"/>
    </row>
    <row r="201" spans="1:23" x14ac:dyDescent="0.4">
      <c r="A201" s="85" t="s">
        <v>379</v>
      </c>
      <c r="B201" s="92" t="s">
        <v>174</v>
      </c>
      <c r="C201" s="128"/>
      <c r="D201" s="133"/>
      <c r="E201" s="133"/>
      <c r="F201" s="133"/>
      <c r="G201" s="133"/>
      <c r="H201" s="133"/>
      <c r="I201" s="112"/>
      <c r="J201" s="82"/>
      <c r="K201" s="84"/>
      <c r="L201" s="84"/>
      <c r="M201" s="83"/>
      <c r="N201" s="84"/>
      <c r="O201" s="84"/>
      <c r="P201" s="84"/>
      <c r="Q201" s="81" t="e">
        <f t="shared" si="7"/>
        <v>#DIV/0!</v>
      </c>
      <c r="R201" s="81" t="e">
        <f t="shared" si="8"/>
        <v>#DIV/0!</v>
      </c>
      <c r="S201" s="84"/>
      <c r="T201" s="81" t="e">
        <f t="shared" si="9"/>
        <v>#DIV/0!</v>
      </c>
      <c r="U201" s="81"/>
      <c r="V201" s="84"/>
      <c r="W201" s="84"/>
    </row>
    <row r="202" spans="1:23" x14ac:dyDescent="0.4">
      <c r="A202" s="85" t="s">
        <v>380</v>
      </c>
      <c r="B202" s="92" t="s">
        <v>174</v>
      </c>
      <c r="C202" s="128"/>
      <c r="D202" s="133"/>
      <c r="E202" s="133"/>
      <c r="F202" s="133"/>
      <c r="G202" s="133"/>
      <c r="H202" s="133"/>
      <c r="I202" s="112"/>
      <c r="J202" s="82"/>
      <c r="K202" s="84"/>
      <c r="L202" s="84"/>
      <c r="M202" s="83"/>
      <c r="N202" s="84"/>
      <c r="O202" s="84"/>
      <c r="P202" s="84"/>
      <c r="Q202" s="81" t="e">
        <f t="shared" si="7"/>
        <v>#DIV/0!</v>
      </c>
      <c r="R202" s="81" t="e">
        <f t="shared" si="8"/>
        <v>#DIV/0!</v>
      </c>
      <c r="S202" s="84"/>
      <c r="T202" s="81" t="e">
        <f t="shared" si="9"/>
        <v>#DIV/0!</v>
      </c>
      <c r="U202" s="81" t="e">
        <f>AVERAGE(T200:T202)</f>
        <v>#DIV/0!</v>
      </c>
      <c r="V202" s="81" t="e">
        <f>_xlfn.STDEV.S(T200:T202)</f>
        <v>#DIV/0!</v>
      </c>
      <c r="W202" s="81">
        <f>MAX(K200:K202)-MIN(K200:K202)</f>
        <v>0</v>
      </c>
    </row>
    <row r="203" spans="1:23" x14ac:dyDescent="0.4">
      <c r="A203" s="76" t="s">
        <v>381</v>
      </c>
      <c r="B203" s="76" t="s">
        <v>79</v>
      </c>
      <c r="C203" s="125" t="s">
        <v>8</v>
      </c>
      <c r="D203" s="129" t="s">
        <v>485</v>
      </c>
      <c r="E203" s="129" t="s">
        <v>484</v>
      </c>
      <c r="F203" s="129" t="s">
        <v>485</v>
      </c>
      <c r="G203" s="129" t="s">
        <v>484</v>
      </c>
      <c r="H203" s="129" t="s">
        <v>484</v>
      </c>
      <c r="I203" s="112">
        <v>4.8</v>
      </c>
      <c r="J203" s="82" t="s">
        <v>81</v>
      </c>
      <c r="K203" s="84">
        <v>30.79</v>
      </c>
      <c r="L203" s="86">
        <v>1400</v>
      </c>
      <c r="M203" s="83">
        <v>0.4</v>
      </c>
      <c r="N203" s="81">
        <v>50</v>
      </c>
      <c r="O203">
        <v>3.97</v>
      </c>
      <c r="P203" s="94">
        <v>4.2664134210000002</v>
      </c>
      <c r="Q203" s="81">
        <f t="shared" ref="Q203:Q266" si="10">O203/P203</f>
        <v>0.9305239807419966</v>
      </c>
      <c r="R203" s="81">
        <f t="shared" ref="R203:R266" si="11">(L203*N203*Q203)/M203</f>
        <v>162841.69662984941</v>
      </c>
      <c r="S203" s="81"/>
      <c r="T203" s="81" t="e">
        <f t="shared" ref="T203:T266" si="12">R203/S203</f>
        <v>#DIV/0!</v>
      </c>
      <c r="U203" s="81"/>
      <c r="V203" s="81"/>
      <c r="W203" s="81"/>
    </row>
    <row r="204" spans="1:23" x14ac:dyDescent="0.4">
      <c r="A204" s="85" t="s">
        <v>382</v>
      </c>
      <c r="B204" s="85" t="s">
        <v>79</v>
      </c>
      <c r="C204" s="125" t="s">
        <v>8</v>
      </c>
      <c r="D204" s="129" t="s">
        <v>485</v>
      </c>
      <c r="E204" s="129" t="s">
        <v>484</v>
      </c>
      <c r="F204" s="129" t="s">
        <v>485</v>
      </c>
      <c r="G204" s="129" t="s">
        <v>484</v>
      </c>
      <c r="H204" s="129" t="s">
        <v>484</v>
      </c>
      <c r="I204" s="112">
        <v>4.8</v>
      </c>
      <c r="J204" s="82" t="s">
        <v>81</v>
      </c>
      <c r="K204" s="84">
        <v>30.75</v>
      </c>
      <c r="L204" s="86">
        <v>1410</v>
      </c>
      <c r="M204" s="83">
        <v>0.4</v>
      </c>
      <c r="N204" s="81">
        <v>50</v>
      </c>
      <c r="O204">
        <v>3.97</v>
      </c>
      <c r="P204" s="94">
        <v>4.2664134210000002</v>
      </c>
      <c r="Q204" s="81">
        <f t="shared" si="10"/>
        <v>0.9305239807419966</v>
      </c>
      <c r="R204" s="81">
        <f t="shared" si="11"/>
        <v>164004.85160577687</v>
      </c>
      <c r="S204" s="87"/>
      <c r="T204" s="81" t="e">
        <f t="shared" si="12"/>
        <v>#DIV/0!</v>
      </c>
      <c r="U204" s="87"/>
      <c r="V204" s="87"/>
      <c r="W204" s="87"/>
    </row>
    <row r="205" spans="1:23" x14ac:dyDescent="0.4">
      <c r="A205" s="85" t="s">
        <v>383</v>
      </c>
      <c r="B205" s="76" t="s">
        <v>79</v>
      </c>
      <c r="C205" s="125" t="s">
        <v>8</v>
      </c>
      <c r="D205" s="129" t="s">
        <v>485</v>
      </c>
      <c r="E205" s="129" t="s">
        <v>484</v>
      </c>
      <c r="F205" s="129" t="s">
        <v>485</v>
      </c>
      <c r="G205" s="129" t="s">
        <v>484</v>
      </c>
      <c r="H205" s="129" t="s">
        <v>484</v>
      </c>
      <c r="I205" s="112">
        <v>4.8</v>
      </c>
      <c r="J205" s="82" t="s">
        <v>81</v>
      </c>
      <c r="K205" s="84">
        <v>30.86</v>
      </c>
      <c r="L205" s="86">
        <v>1380</v>
      </c>
      <c r="M205" s="83">
        <v>0.4</v>
      </c>
      <c r="N205" s="81">
        <v>50</v>
      </c>
      <c r="O205">
        <v>3.97</v>
      </c>
      <c r="P205" s="94">
        <v>4.2664134210000002</v>
      </c>
      <c r="Q205" s="81">
        <f t="shared" si="10"/>
        <v>0.9305239807419966</v>
      </c>
      <c r="R205" s="81">
        <f t="shared" si="11"/>
        <v>160515.38667799439</v>
      </c>
      <c r="S205" s="81"/>
      <c r="T205" s="81" t="e">
        <f t="shared" si="12"/>
        <v>#DIV/0!</v>
      </c>
      <c r="U205" s="81" t="e">
        <f>AVERAGE(T203:T205)</f>
        <v>#DIV/0!</v>
      </c>
      <c r="V205" s="81" t="e">
        <f>_xlfn.STDEV.S(T203:T205)</f>
        <v>#DIV/0!</v>
      </c>
      <c r="W205" s="81">
        <f>MAX(K203:K205)-MIN(K203:K205)</f>
        <v>0.10999999999999943</v>
      </c>
    </row>
    <row r="206" spans="1:23" x14ac:dyDescent="0.4">
      <c r="A206" s="85" t="s">
        <v>384</v>
      </c>
      <c r="B206" s="76" t="s">
        <v>80</v>
      </c>
      <c r="C206" s="125" t="s">
        <v>9</v>
      </c>
      <c r="D206" s="129" t="s">
        <v>485</v>
      </c>
      <c r="E206" s="129" t="s">
        <v>484</v>
      </c>
      <c r="F206" s="129" t="s">
        <v>485</v>
      </c>
      <c r="G206" s="129" t="s">
        <v>485</v>
      </c>
      <c r="H206" s="129" t="s">
        <v>484</v>
      </c>
      <c r="I206" s="112">
        <v>4.8</v>
      </c>
      <c r="J206" s="82" t="s">
        <v>81</v>
      </c>
      <c r="K206" s="84">
        <v>29.62</v>
      </c>
      <c r="L206" s="86">
        <v>1740</v>
      </c>
      <c r="M206" s="83">
        <v>0.4</v>
      </c>
      <c r="N206" s="81">
        <v>50</v>
      </c>
      <c r="O206">
        <v>4.59</v>
      </c>
      <c r="P206" s="94">
        <v>4.3930607979999996</v>
      </c>
      <c r="Q206" s="81">
        <f t="shared" si="10"/>
        <v>1.0448296099361201</v>
      </c>
      <c r="R206" s="81">
        <f t="shared" si="11"/>
        <v>227250.44016110612</v>
      </c>
      <c r="S206" s="87"/>
      <c r="T206" s="81" t="e">
        <f t="shared" si="12"/>
        <v>#DIV/0!</v>
      </c>
      <c r="U206" s="81"/>
      <c r="V206" s="87"/>
      <c r="W206" s="87"/>
    </row>
    <row r="207" spans="1:23" x14ac:dyDescent="0.4">
      <c r="A207" s="85" t="s">
        <v>385</v>
      </c>
      <c r="B207" s="85" t="s">
        <v>80</v>
      </c>
      <c r="C207" s="125" t="s">
        <v>9</v>
      </c>
      <c r="D207" s="129" t="s">
        <v>485</v>
      </c>
      <c r="E207" s="129" t="s">
        <v>484</v>
      </c>
      <c r="F207" s="129" t="s">
        <v>485</v>
      </c>
      <c r="G207" s="129" t="s">
        <v>485</v>
      </c>
      <c r="H207" s="129" t="s">
        <v>484</v>
      </c>
      <c r="I207" s="112">
        <v>4.8</v>
      </c>
      <c r="J207" s="82" t="s">
        <v>81</v>
      </c>
      <c r="K207" s="84">
        <v>31.51</v>
      </c>
      <c r="L207" s="86">
        <v>1250</v>
      </c>
      <c r="M207" s="83">
        <v>0.4</v>
      </c>
      <c r="N207" s="81">
        <v>50</v>
      </c>
      <c r="O207">
        <v>4.59</v>
      </c>
      <c r="P207" s="94">
        <v>4.3930607979999996</v>
      </c>
      <c r="Q207" s="81">
        <f t="shared" si="10"/>
        <v>1.0448296099361201</v>
      </c>
      <c r="R207" s="81">
        <f t="shared" si="11"/>
        <v>163254.62655251875</v>
      </c>
      <c r="S207" s="81"/>
      <c r="T207" s="81" t="e">
        <f t="shared" si="12"/>
        <v>#DIV/0!</v>
      </c>
      <c r="U207" s="81"/>
      <c r="V207" s="81"/>
      <c r="W207" s="81"/>
    </row>
    <row r="208" spans="1:23" x14ac:dyDescent="0.4">
      <c r="A208" s="85" t="s">
        <v>386</v>
      </c>
      <c r="B208" s="76" t="s">
        <v>80</v>
      </c>
      <c r="C208" s="125" t="s">
        <v>9</v>
      </c>
      <c r="D208" s="129" t="s">
        <v>485</v>
      </c>
      <c r="E208" s="129" t="s">
        <v>484</v>
      </c>
      <c r="F208" s="129" t="s">
        <v>485</v>
      </c>
      <c r="G208" s="129" t="s">
        <v>485</v>
      </c>
      <c r="H208" s="129" t="s">
        <v>484</v>
      </c>
      <c r="I208" s="112">
        <v>4.8</v>
      </c>
      <c r="J208" s="82" t="s">
        <v>81</v>
      </c>
      <c r="K208" s="84">
        <v>31.64</v>
      </c>
      <c r="L208" s="86">
        <v>1230</v>
      </c>
      <c r="M208" s="83">
        <v>0.4</v>
      </c>
      <c r="N208" s="81">
        <v>50</v>
      </c>
      <c r="O208">
        <v>4.59</v>
      </c>
      <c r="P208" s="94">
        <v>4.3930607979999996</v>
      </c>
      <c r="Q208" s="81">
        <f t="shared" si="10"/>
        <v>1.0448296099361201</v>
      </c>
      <c r="R208" s="81">
        <f t="shared" si="11"/>
        <v>160642.55252767843</v>
      </c>
      <c r="S208" s="87"/>
      <c r="T208" s="81" t="e">
        <f t="shared" si="12"/>
        <v>#DIV/0!</v>
      </c>
      <c r="U208" s="81" t="e">
        <f>AVERAGE(T206:T208)</f>
        <v>#DIV/0!</v>
      </c>
      <c r="V208" s="81" t="e">
        <f>_xlfn.STDEV.S(T206:T208)</f>
        <v>#DIV/0!</v>
      </c>
      <c r="W208" s="81">
        <f>MAX(K206:K208)-MIN(K206:K208)</f>
        <v>2.0199999999999996</v>
      </c>
    </row>
    <row r="209" spans="1:23" x14ac:dyDescent="0.4">
      <c r="A209" s="85" t="s">
        <v>387</v>
      </c>
      <c r="B209" s="76" t="s">
        <v>174</v>
      </c>
      <c r="C209" s="127"/>
      <c r="D209" s="131"/>
      <c r="E209" s="131"/>
      <c r="F209" s="131"/>
      <c r="G209" s="131"/>
      <c r="H209" s="131"/>
      <c r="I209" s="112"/>
      <c r="J209" s="82"/>
      <c r="K209" s="84"/>
      <c r="L209" s="84"/>
      <c r="M209" s="83"/>
      <c r="N209" s="81"/>
      <c r="P209" s="94"/>
      <c r="Q209" s="81" t="e">
        <f t="shared" si="10"/>
        <v>#DIV/0!</v>
      </c>
      <c r="R209" s="81" t="e">
        <f t="shared" si="11"/>
        <v>#DIV/0!</v>
      </c>
      <c r="S209" s="81"/>
      <c r="T209" s="81" t="e">
        <f t="shared" si="12"/>
        <v>#DIV/0!</v>
      </c>
      <c r="U209" s="81"/>
      <c r="V209" s="81"/>
      <c r="W209" s="81"/>
    </row>
    <row r="210" spans="1:23" x14ac:dyDescent="0.4">
      <c r="A210" s="85" t="s">
        <v>388</v>
      </c>
      <c r="B210" s="76" t="s">
        <v>174</v>
      </c>
      <c r="C210" s="127"/>
      <c r="D210" s="131"/>
      <c r="E210" s="131"/>
      <c r="F210" s="131"/>
      <c r="G210" s="131"/>
      <c r="H210" s="131"/>
      <c r="I210" s="112"/>
      <c r="J210" s="82"/>
      <c r="K210" s="84"/>
      <c r="L210" s="84"/>
      <c r="M210" s="83"/>
      <c r="N210" s="87"/>
      <c r="P210" s="94"/>
      <c r="Q210" s="81" t="e">
        <f t="shared" si="10"/>
        <v>#DIV/0!</v>
      </c>
      <c r="R210" s="81" t="e">
        <f t="shared" si="11"/>
        <v>#DIV/0!</v>
      </c>
      <c r="S210" s="87"/>
      <c r="T210" s="81" t="e">
        <f t="shared" si="12"/>
        <v>#DIV/0!</v>
      </c>
      <c r="U210" s="81"/>
      <c r="V210" s="87"/>
      <c r="W210" s="87"/>
    </row>
    <row r="211" spans="1:23" x14ac:dyDescent="0.4">
      <c r="A211" s="85" t="s">
        <v>389</v>
      </c>
      <c r="B211" s="76" t="s">
        <v>174</v>
      </c>
      <c r="C211" s="127"/>
      <c r="D211" s="131"/>
      <c r="E211" s="131"/>
      <c r="F211" s="131"/>
      <c r="G211" s="131"/>
      <c r="H211" s="131"/>
      <c r="I211" s="112"/>
      <c r="J211" s="82"/>
      <c r="K211" s="84"/>
      <c r="L211" s="84"/>
      <c r="M211" s="83"/>
      <c r="N211" s="81"/>
      <c r="P211" s="94"/>
      <c r="Q211" s="81" t="e">
        <f t="shared" si="10"/>
        <v>#DIV/0!</v>
      </c>
      <c r="R211" s="81" t="e">
        <f t="shared" si="11"/>
        <v>#DIV/0!</v>
      </c>
      <c r="S211" s="81"/>
      <c r="T211" s="81" t="e">
        <f t="shared" si="12"/>
        <v>#DIV/0!</v>
      </c>
      <c r="U211" s="81" t="e">
        <f>AVERAGE(T209:T211)</f>
        <v>#DIV/0!</v>
      </c>
      <c r="V211" s="81" t="e">
        <f>_xlfn.STDEV.S(T209:T211)</f>
        <v>#DIV/0!</v>
      </c>
      <c r="W211" s="81">
        <f>MAX(K209:K211)-MIN(K209:K211)</f>
        <v>0</v>
      </c>
    </row>
    <row r="212" spans="1:23" x14ac:dyDescent="0.4">
      <c r="A212" s="85" t="s">
        <v>390</v>
      </c>
      <c r="B212" s="85" t="s">
        <v>147</v>
      </c>
      <c r="C212" s="127" t="s">
        <v>175</v>
      </c>
      <c r="D212" s="131"/>
      <c r="E212" s="131"/>
      <c r="F212" s="131"/>
      <c r="G212" s="131"/>
      <c r="H212" s="131"/>
      <c r="I212" s="112"/>
      <c r="J212" s="82"/>
      <c r="K212" s="84">
        <v>10.91</v>
      </c>
      <c r="L212" s="86">
        <v>9880000</v>
      </c>
      <c r="M212" s="83"/>
      <c r="N212" s="87"/>
      <c r="P212" s="94"/>
      <c r="Q212" s="81" t="e">
        <f t="shared" si="10"/>
        <v>#DIV/0!</v>
      </c>
      <c r="R212" s="81" t="e">
        <f t="shared" si="11"/>
        <v>#DIV/0!</v>
      </c>
      <c r="S212" s="87"/>
      <c r="T212" s="81" t="e">
        <f t="shared" si="12"/>
        <v>#DIV/0!</v>
      </c>
      <c r="U212" s="81"/>
      <c r="V212" s="87"/>
      <c r="W212" s="87"/>
    </row>
    <row r="213" spans="1:23" x14ac:dyDescent="0.4">
      <c r="A213" s="85" t="s">
        <v>391</v>
      </c>
      <c r="B213" s="90" t="s">
        <v>147</v>
      </c>
      <c r="C213" s="127" t="s">
        <v>175</v>
      </c>
      <c r="D213" s="131"/>
      <c r="E213" s="131"/>
      <c r="F213" s="131"/>
      <c r="G213" s="131"/>
      <c r="H213" s="131"/>
      <c r="I213" s="112"/>
      <c r="J213" s="82"/>
      <c r="K213" s="84">
        <v>10.83</v>
      </c>
      <c r="L213" s="86">
        <v>10400000</v>
      </c>
      <c r="M213" s="83"/>
      <c r="N213" s="87"/>
      <c r="P213" s="94"/>
      <c r="Q213" s="81" t="e">
        <f t="shared" si="10"/>
        <v>#DIV/0!</v>
      </c>
      <c r="R213" s="81" t="e">
        <f t="shared" si="11"/>
        <v>#DIV/0!</v>
      </c>
      <c r="S213" s="91"/>
      <c r="T213" s="81" t="e">
        <f t="shared" si="12"/>
        <v>#DIV/0!</v>
      </c>
      <c r="U213" s="81"/>
      <c r="V213" s="91"/>
      <c r="W213" s="91"/>
    </row>
    <row r="214" spans="1:23" x14ac:dyDescent="0.4">
      <c r="A214" s="85" t="s">
        <v>392</v>
      </c>
      <c r="B214" s="92" t="s">
        <v>147</v>
      </c>
      <c r="C214" s="127" t="s">
        <v>175</v>
      </c>
      <c r="D214" s="131"/>
      <c r="E214" s="131"/>
      <c r="F214" s="131"/>
      <c r="G214" s="131"/>
      <c r="H214" s="131"/>
      <c r="I214" s="112"/>
      <c r="J214" s="82"/>
      <c r="K214" s="84">
        <v>10.89</v>
      </c>
      <c r="L214" s="86">
        <v>10000000</v>
      </c>
      <c r="M214" s="83"/>
      <c r="N214" s="87"/>
      <c r="P214" s="94"/>
      <c r="Q214" s="81" t="e">
        <f t="shared" si="10"/>
        <v>#DIV/0!</v>
      </c>
      <c r="R214" s="81" t="e">
        <f t="shared" si="11"/>
        <v>#DIV/0!</v>
      </c>
      <c r="S214" s="84"/>
      <c r="T214" s="81" t="e">
        <f t="shared" si="12"/>
        <v>#DIV/0!</v>
      </c>
      <c r="U214" s="81" t="e">
        <f>AVERAGE(T212:T214)</f>
        <v>#DIV/0!</v>
      </c>
      <c r="V214" s="81" t="e">
        <f>_xlfn.STDEV.S(T212:T214)</f>
        <v>#DIV/0!</v>
      </c>
      <c r="W214" s="81">
        <f>MAX(K212:K214)-MIN(K212:K214)</f>
        <v>8.0000000000000071E-2</v>
      </c>
    </row>
    <row r="215" spans="1:23" x14ac:dyDescent="0.4">
      <c r="A215" s="85" t="s">
        <v>393</v>
      </c>
      <c r="B215" s="92" t="s">
        <v>90</v>
      </c>
      <c r="C215" s="125" t="s">
        <v>8</v>
      </c>
      <c r="D215" s="129" t="s">
        <v>485</v>
      </c>
      <c r="E215" s="129" t="s">
        <v>484</v>
      </c>
      <c r="F215" s="129" t="s">
        <v>485</v>
      </c>
      <c r="G215" s="129" t="s">
        <v>484</v>
      </c>
      <c r="H215" s="129" t="s">
        <v>484</v>
      </c>
      <c r="I215" s="112">
        <v>5.8</v>
      </c>
      <c r="J215" s="82" t="s">
        <v>81</v>
      </c>
      <c r="K215" s="84">
        <v>31.25</v>
      </c>
      <c r="L215" s="86">
        <v>1300</v>
      </c>
      <c r="M215" s="83">
        <v>0.4</v>
      </c>
      <c r="N215" s="87">
        <v>50</v>
      </c>
      <c r="O215">
        <v>28.41</v>
      </c>
      <c r="P215" s="94">
        <v>7.8492788070000001</v>
      </c>
      <c r="Q215" s="81">
        <f t="shared" si="10"/>
        <v>3.6194408045060031</v>
      </c>
      <c r="R215" s="81">
        <f t="shared" si="11"/>
        <v>588159.13073222549</v>
      </c>
      <c r="S215" s="84"/>
      <c r="T215" s="81" t="e">
        <f t="shared" si="12"/>
        <v>#DIV/0!</v>
      </c>
      <c r="U215" s="81"/>
      <c r="V215" s="84"/>
      <c r="W215" s="84"/>
    </row>
    <row r="216" spans="1:23" x14ac:dyDescent="0.4">
      <c r="A216" s="85" t="s">
        <v>394</v>
      </c>
      <c r="B216" s="92" t="s">
        <v>90</v>
      </c>
      <c r="C216" s="125" t="s">
        <v>8</v>
      </c>
      <c r="D216" s="129" t="s">
        <v>485</v>
      </c>
      <c r="E216" s="129" t="s">
        <v>484</v>
      </c>
      <c r="F216" s="129" t="s">
        <v>485</v>
      </c>
      <c r="G216" s="129" t="s">
        <v>484</v>
      </c>
      <c r="H216" s="129" t="s">
        <v>484</v>
      </c>
      <c r="I216" s="112">
        <v>5.8</v>
      </c>
      <c r="J216" s="82" t="s">
        <v>81</v>
      </c>
      <c r="K216" s="84">
        <v>31.11</v>
      </c>
      <c r="L216" s="86">
        <v>1330</v>
      </c>
      <c r="M216" s="83">
        <v>0.4</v>
      </c>
      <c r="N216" s="87">
        <v>50</v>
      </c>
      <c r="O216">
        <v>28.41</v>
      </c>
      <c r="P216" s="94">
        <v>7.8492788070000001</v>
      </c>
      <c r="Q216" s="81">
        <f t="shared" si="10"/>
        <v>3.6194408045060031</v>
      </c>
      <c r="R216" s="81">
        <f t="shared" si="11"/>
        <v>601732.03374912299</v>
      </c>
      <c r="S216" s="84"/>
      <c r="T216" s="81" t="e">
        <f t="shared" si="12"/>
        <v>#DIV/0!</v>
      </c>
      <c r="U216" s="81"/>
      <c r="V216" s="84"/>
      <c r="W216" s="84"/>
    </row>
    <row r="217" spans="1:23" x14ac:dyDescent="0.4">
      <c r="A217" s="85" t="s">
        <v>395</v>
      </c>
      <c r="B217" s="92" t="s">
        <v>90</v>
      </c>
      <c r="C217" s="125" t="s">
        <v>8</v>
      </c>
      <c r="D217" s="129" t="s">
        <v>485</v>
      </c>
      <c r="E217" s="129" t="s">
        <v>484</v>
      </c>
      <c r="F217" s="129" t="s">
        <v>485</v>
      </c>
      <c r="G217" s="129" t="s">
        <v>484</v>
      </c>
      <c r="H217" s="129" t="s">
        <v>484</v>
      </c>
      <c r="I217" s="112">
        <v>5.8</v>
      </c>
      <c r="J217" s="82" t="s">
        <v>81</v>
      </c>
      <c r="K217" s="84">
        <v>31.48</v>
      </c>
      <c r="L217" s="86">
        <v>1250</v>
      </c>
      <c r="M217" s="83">
        <v>0.4</v>
      </c>
      <c r="N217" s="87">
        <v>50</v>
      </c>
      <c r="O217">
        <v>28.41</v>
      </c>
      <c r="P217" s="94">
        <v>7.8492788070000001</v>
      </c>
      <c r="Q217" s="81">
        <f t="shared" si="10"/>
        <v>3.6194408045060031</v>
      </c>
      <c r="R217" s="81">
        <f t="shared" si="11"/>
        <v>565537.62570406287</v>
      </c>
      <c r="S217" s="84"/>
      <c r="T217" s="81" t="e">
        <f t="shared" si="12"/>
        <v>#DIV/0!</v>
      </c>
      <c r="U217" s="81" t="e">
        <f>AVERAGE(T215:T217)</f>
        <v>#DIV/0!</v>
      </c>
      <c r="V217" s="81" t="e">
        <f>_xlfn.STDEV.S(T215:T217)</f>
        <v>#DIV/0!</v>
      </c>
      <c r="W217" s="81">
        <f>MAX(K215:K217)-MIN(K215:K217)</f>
        <v>0.37000000000000099</v>
      </c>
    </row>
    <row r="218" spans="1:23" x14ac:dyDescent="0.4">
      <c r="A218" s="85" t="s">
        <v>396</v>
      </c>
      <c r="B218" s="92" t="s">
        <v>91</v>
      </c>
      <c r="C218" s="125" t="s">
        <v>9</v>
      </c>
      <c r="D218" s="129" t="s">
        <v>485</v>
      </c>
      <c r="E218" s="129" t="s">
        <v>484</v>
      </c>
      <c r="F218" s="129" t="s">
        <v>485</v>
      </c>
      <c r="G218" s="129" t="s">
        <v>485</v>
      </c>
      <c r="H218" s="129" t="s">
        <v>484</v>
      </c>
      <c r="I218" s="112">
        <v>5.8</v>
      </c>
      <c r="J218" s="82" t="s">
        <v>81</v>
      </c>
      <c r="K218" s="84">
        <v>32.29</v>
      </c>
      <c r="L218" s="86">
        <v>1120</v>
      </c>
      <c r="M218" s="83">
        <v>0.4</v>
      </c>
      <c r="N218" s="87">
        <v>50</v>
      </c>
      <c r="O218">
        <v>38.799999999999997</v>
      </c>
      <c r="P218" s="94">
        <v>6.9105928140000001</v>
      </c>
      <c r="Q218" s="81">
        <f t="shared" si="10"/>
        <v>5.6145689732139958</v>
      </c>
      <c r="R218" s="81">
        <f t="shared" si="11"/>
        <v>786039.65624995937</v>
      </c>
      <c r="S218" s="84"/>
      <c r="T218" s="81" t="e">
        <f t="shared" si="12"/>
        <v>#DIV/0!</v>
      </c>
      <c r="U218" s="81"/>
      <c r="V218" s="84"/>
      <c r="W218" s="84"/>
    </row>
    <row r="219" spans="1:23" x14ac:dyDescent="0.4">
      <c r="A219" s="85" t="s">
        <v>397</v>
      </c>
      <c r="B219" s="92" t="s">
        <v>91</v>
      </c>
      <c r="C219" s="125" t="s">
        <v>9</v>
      </c>
      <c r="D219" s="129" t="s">
        <v>485</v>
      </c>
      <c r="E219" s="129" t="s">
        <v>484</v>
      </c>
      <c r="F219" s="129" t="s">
        <v>485</v>
      </c>
      <c r="G219" s="129" t="s">
        <v>485</v>
      </c>
      <c r="H219" s="129" t="s">
        <v>484</v>
      </c>
      <c r="I219" s="112">
        <v>5.8</v>
      </c>
      <c r="J219" s="82" t="s">
        <v>81</v>
      </c>
      <c r="K219" s="84">
        <v>32.64</v>
      </c>
      <c r="L219" s="86">
        <v>1080</v>
      </c>
      <c r="M219" s="83">
        <v>0.4</v>
      </c>
      <c r="N219" s="87">
        <v>50</v>
      </c>
      <c r="O219">
        <v>38.799999999999997</v>
      </c>
      <c r="P219" s="94">
        <v>6.9105928140000001</v>
      </c>
      <c r="Q219" s="81">
        <f t="shared" si="10"/>
        <v>5.6145689732139958</v>
      </c>
      <c r="R219" s="81">
        <f t="shared" si="11"/>
        <v>757966.81138388941</v>
      </c>
      <c r="S219" s="84"/>
      <c r="T219" s="81" t="e">
        <f t="shared" si="12"/>
        <v>#DIV/0!</v>
      </c>
      <c r="U219" s="81"/>
      <c r="V219" s="84"/>
      <c r="W219" s="84"/>
    </row>
    <row r="220" spans="1:23" x14ac:dyDescent="0.4">
      <c r="A220" s="85" t="s">
        <v>398</v>
      </c>
      <c r="B220" s="92" t="s">
        <v>91</v>
      </c>
      <c r="C220" s="125" t="s">
        <v>9</v>
      </c>
      <c r="D220" s="129" t="s">
        <v>485</v>
      </c>
      <c r="E220" s="129" t="s">
        <v>484</v>
      </c>
      <c r="F220" s="129" t="s">
        <v>485</v>
      </c>
      <c r="G220" s="129" t="s">
        <v>485</v>
      </c>
      <c r="H220" s="129" t="s">
        <v>484</v>
      </c>
      <c r="I220" s="112">
        <v>5.8</v>
      </c>
      <c r="J220" s="82" t="s">
        <v>81</v>
      </c>
      <c r="K220" s="84">
        <v>32.31</v>
      </c>
      <c r="L220" s="86">
        <v>1120</v>
      </c>
      <c r="M220" s="83">
        <v>0.4</v>
      </c>
      <c r="N220" s="87">
        <v>50</v>
      </c>
      <c r="O220">
        <v>38.799999999999997</v>
      </c>
      <c r="P220" s="94">
        <v>6.9105928140000001</v>
      </c>
      <c r="Q220" s="81">
        <f t="shared" si="10"/>
        <v>5.6145689732139958</v>
      </c>
      <c r="R220" s="81">
        <f t="shared" si="11"/>
        <v>786039.65624995937</v>
      </c>
      <c r="S220" s="84"/>
      <c r="T220" s="81" t="e">
        <f t="shared" si="12"/>
        <v>#DIV/0!</v>
      </c>
      <c r="U220" s="81" t="e">
        <f>AVERAGE(T218:T220)</f>
        <v>#DIV/0!</v>
      </c>
      <c r="V220" s="81" t="e">
        <f>_xlfn.STDEV.S(T218:T220)</f>
        <v>#DIV/0!</v>
      </c>
      <c r="W220" s="81">
        <f>MAX(K218:K220)-MIN(K218:K220)</f>
        <v>0.35000000000000142</v>
      </c>
    </row>
    <row r="221" spans="1:23" x14ac:dyDescent="0.4">
      <c r="A221" s="85" t="s">
        <v>399</v>
      </c>
      <c r="B221" s="76" t="s">
        <v>174</v>
      </c>
      <c r="C221" s="127"/>
      <c r="D221" s="131"/>
      <c r="E221" s="131"/>
      <c r="F221" s="131"/>
      <c r="G221" s="131"/>
      <c r="H221" s="131"/>
      <c r="I221" s="112"/>
      <c r="J221" s="82"/>
      <c r="K221" s="84"/>
      <c r="L221" s="84"/>
      <c r="M221" s="83"/>
      <c r="N221" s="84"/>
      <c r="P221" s="94"/>
      <c r="Q221" s="81" t="e">
        <f t="shared" si="10"/>
        <v>#DIV/0!</v>
      </c>
      <c r="R221" s="81" t="e">
        <f t="shared" si="11"/>
        <v>#DIV/0!</v>
      </c>
      <c r="S221" s="84"/>
      <c r="T221" s="81" t="e">
        <f t="shared" si="12"/>
        <v>#DIV/0!</v>
      </c>
      <c r="U221" s="81"/>
      <c r="V221" s="84"/>
      <c r="W221" s="84"/>
    </row>
    <row r="222" spans="1:23" x14ac:dyDescent="0.4">
      <c r="A222" s="85" t="s">
        <v>400</v>
      </c>
      <c r="B222" s="76" t="s">
        <v>174</v>
      </c>
      <c r="C222" s="127"/>
      <c r="D222" s="131"/>
      <c r="E222" s="131"/>
      <c r="F222" s="131"/>
      <c r="G222" s="131"/>
      <c r="H222" s="131"/>
      <c r="I222" s="112"/>
      <c r="J222" s="82"/>
      <c r="K222" s="84"/>
      <c r="L222" s="84"/>
      <c r="M222" s="83"/>
      <c r="N222" s="84"/>
      <c r="P222" s="94"/>
      <c r="Q222" s="81" t="e">
        <f t="shared" si="10"/>
        <v>#DIV/0!</v>
      </c>
      <c r="R222" s="81" t="e">
        <f t="shared" si="11"/>
        <v>#DIV/0!</v>
      </c>
      <c r="S222" s="84"/>
      <c r="T222" s="81" t="e">
        <f t="shared" si="12"/>
        <v>#DIV/0!</v>
      </c>
      <c r="U222" s="81"/>
      <c r="V222" s="84"/>
      <c r="W222" s="84"/>
    </row>
    <row r="223" spans="1:23" x14ac:dyDescent="0.4">
      <c r="A223" s="85" t="s">
        <v>401</v>
      </c>
      <c r="B223" s="76" t="s">
        <v>174</v>
      </c>
      <c r="C223" s="127"/>
      <c r="D223" s="131"/>
      <c r="E223" s="131"/>
      <c r="F223" s="131"/>
      <c r="G223" s="131"/>
      <c r="H223" s="131"/>
      <c r="I223" s="112"/>
      <c r="J223" s="82"/>
      <c r="K223" s="84"/>
      <c r="L223" s="84"/>
      <c r="M223" s="83"/>
      <c r="N223" s="84"/>
      <c r="P223" s="94"/>
      <c r="Q223" s="81" t="e">
        <f t="shared" si="10"/>
        <v>#DIV/0!</v>
      </c>
      <c r="R223" s="81" t="e">
        <f t="shared" si="11"/>
        <v>#DIV/0!</v>
      </c>
      <c r="S223" s="84"/>
      <c r="T223" s="81" t="e">
        <f t="shared" si="12"/>
        <v>#DIV/0!</v>
      </c>
      <c r="U223" s="81" t="e">
        <f>AVERAGE(T221:T223)</f>
        <v>#DIV/0!</v>
      </c>
      <c r="V223" s="81" t="e">
        <f>_xlfn.STDEV.S(T221:T223)</f>
        <v>#DIV/0!</v>
      </c>
      <c r="W223" s="81">
        <f>MAX(K221:K223)-MIN(K221:K223)</f>
        <v>0</v>
      </c>
    </row>
    <row r="224" spans="1:23" x14ac:dyDescent="0.4">
      <c r="A224" s="85" t="s">
        <v>402</v>
      </c>
      <c r="B224" s="92" t="s">
        <v>148</v>
      </c>
      <c r="C224" s="127" t="s">
        <v>176</v>
      </c>
      <c r="D224" s="131"/>
      <c r="E224" s="131"/>
      <c r="F224" s="131"/>
      <c r="G224" s="131"/>
      <c r="H224" s="131"/>
      <c r="I224" s="112"/>
      <c r="J224" s="82"/>
      <c r="K224" s="84">
        <v>14.51</v>
      </c>
      <c r="L224" s="86">
        <v>994000</v>
      </c>
      <c r="M224" s="83"/>
      <c r="N224" s="87"/>
      <c r="P224" s="94"/>
      <c r="Q224" s="81" t="e">
        <f t="shared" si="10"/>
        <v>#DIV/0!</v>
      </c>
      <c r="R224" s="81" t="e">
        <f t="shared" si="11"/>
        <v>#DIV/0!</v>
      </c>
      <c r="S224" s="84"/>
      <c r="T224" s="81" t="e">
        <f t="shared" si="12"/>
        <v>#DIV/0!</v>
      </c>
      <c r="U224" s="81"/>
      <c r="V224" s="84"/>
      <c r="W224" s="84"/>
    </row>
    <row r="225" spans="1:23" x14ac:dyDescent="0.4">
      <c r="A225" s="85" t="s">
        <v>403</v>
      </c>
      <c r="B225" s="92" t="s">
        <v>148</v>
      </c>
      <c r="C225" s="127" t="s">
        <v>176</v>
      </c>
      <c r="D225" s="131"/>
      <c r="E225" s="131"/>
      <c r="F225" s="131"/>
      <c r="G225" s="131"/>
      <c r="H225" s="131"/>
      <c r="I225" s="112"/>
      <c r="J225" s="82"/>
      <c r="K225" s="84">
        <v>14.5</v>
      </c>
      <c r="L225" s="86">
        <v>1000000</v>
      </c>
      <c r="M225" s="83"/>
      <c r="N225" s="87"/>
      <c r="P225" s="94"/>
      <c r="Q225" s="81" t="e">
        <f t="shared" si="10"/>
        <v>#DIV/0!</v>
      </c>
      <c r="R225" s="81" t="e">
        <f t="shared" si="11"/>
        <v>#DIV/0!</v>
      </c>
      <c r="S225" s="84"/>
      <c r="T225" s="81" t="e">
        <f t="shared" si="12"/>
        <v>#DIV/0!</v>
      </c>
      <c r="U225" s="81"/>
      <c r="V225" s="84"/>
      <c r="W225" s="84"/>
    </row>
    <row r="226" spans="1:23" x14ac:dyDescent="0.4">
      <c r="A226" s="85" t="s">
        <v>404</v>
      </c>
      <c r="B226" s="92" t="s">
        <v>148</v>
      </c>
      <c r="C226" s="127" t="s">
        <v>176</v>
      </c>
      <c r="D226" s="131"/>
      <c r="E226" s="131"/>
      <c r="F226" s="131"/>
      <c r="G226" s="131"/>
      <c r="H226" s="131"/>
      <c r="I226" s="112"/>
      <c r="J226" s="82"/>
      <c r="K226" s="84">
        <v>14.31</v>
      </c>
      <c r="L226" s="86">
        <v>1130000</v>
      </c>
      <c r="M226" s="83"/>
      <c r="N226" s="87"/>
      <c r="P226" s="94"/>
      <c r="Q226" s="81" t="e">
        <f t="shared" si="10"/>
        <v>#DIV/0!</v>
      </c>
      <c r="R226" s="81" t="e">
        <f t="shared" si="11"/>
        <v>#DIV/0!</v>
      </c>
      <c r="S226" s="84"/>
      <c r="T226" s="81" t="e">
        <f t="shared" si="12"/>
        <v>#DIV/0!</v>
      </c>
      <c r="U226" s="81" t="e">
        <f>AVERAGE(T224:T226)</f>
        <v>#DIV/0!</v>
      </c>
      <c r="V226" s="81" t="e">
        <f>_xlfn.STDEV.S(T224:T226)</f>
        <v>#DIV/0!</v>
      </c>
      <c r="W226" s="81">
        <f>MAX(K224:K226)-MIN(K224:K226)</f>
        <v>0.19999999999999929</v>
      </c>
    </row>
    <row r="227" spans="1:23" x14ac:dyDescent="0.4">
      <c r="A227" s="85" t="s">
        <v>405</v>
      </c>
      <c r="B227" s="92" t="s">
        <v>100</v>
      </c>
      <c r="C227" s="125" t="s">
        <v>8</v>
      </c>
      <c r="D227" s="129" t="s">
        <v>485</v>
      </c>
      <c r="E227" s="129" t="s">
        <v>484</v>
      </c>
      <c r="F227" s="129" t="s">
        <v>485</v>
      </c>
      <c r="G227" s="129" t="s">
        <v>484</v>
      </c>
      <c r="H227" s="129" t="s">
        <v>484</v>
      </c>
      <c r="I227" s="112">
        <v>4.8</v>
      </c>
      <c r="J227" s="77" t="s">
        <v>132</v>
      </c>
      <c r="K227" s="84">
        <v>30.63</v>
      </c>
      <c r="L227" s="86">
        <v>1440</v>
      </c>
      <c r="M227" s="83">
        <v>0.4</v>
      </c>
      <c r="N227" s="87">
        <v>50</v>
      </c>
      <c r="O227">
        <v>0.66</v>
      </c>
      <c r="P227" s="94">
        <v>-0.136152194</v>
      </c>
      <c r="Q227" s="81">
        <f t="shared" si="10"/>
        <v>-4.8475164491289799</v>
      </c>
      <c r="R227" s="81">
        <f t="shared" si="11"/>
        <v>-872552.9608432164</v>
      </c>
      <c r="S227" s="84"/>
      <c r="T227" s="81" t="e">
        <f t="shared" si="12"/>
        <v>#DIV/0!</v>
      </c>
      <c r="U227" s="81"/>
      <c r="V227" s="84"/>
      <c r="W227" s="84"/>
    </row>
    <row r="228" spans="1:23" x14ac:dyDescent="0.4">
      <c r="A228" s="85" t="s">
        <v>406</v>
      </c>
      <c r="B228" s="92" t="s">
        <v>100</v>
      </c>
      <c r="C228" s="125" t="s">
        <v>8</v>
      </c>
      <c r="D228" s="129" t="s">
        <v>485</v>
      </c>
      <c r="E228" s="129" t="s">
        <v>484</v>
      </c>
      <c r="F228" s="129" t="s">
        <v>485</v>
      </c>
      <c r="G228" s="129" t="s">
        <v>484</v>
      </c>
      <c r="H228" s="129" t="s">
        <v>484</v>
      </c>
      <c r="I228" s="112">
        <v>4.8</v>
      </c>
      <c r="J228" s="77" t="s">
        <v>132</v>
      </c>
      <c r="K228" s="84">
        <v>30.76</v>
      </c>
      <c r="L228" s="86">
        <v>1410</v>
      </c>
      <c r="M228" s="83">
        <v>0.4</v>
      </c>
      <c r="N228" s="87">
        <v>50</v>
      </c>
      <c r="O228">
        <v>0.66</v>
      </c>
      <c r="P228" s="94">
        <v>-0.136152194</v>
      </c>
      <c r="Q228" s="81">
        <f t="shared" si="10"/>
        <v>-4.8475164491289799</v>
      </c>
      <c r="R228" s="81">
        <f t="shared" si="11"/>
        <v>-854374.77415898268</v>
      </c>
      <c r="S228" s="84"/>
      <c r="T228" s="81" t="e">
        <f t="shared" si="12"/>
        <v>#DIV/0!</v>
      </c>
      <c r="U228" s="81"/>
      <c r="V228" s="84"/>
      <c r="W228" s="84"/>
    </row>
    <row r="229" spans="1:23" x14ac:dyDescent="0.4">
      <c r="A229" s="85" t="s">
        <v>407</v>
      </c>
      <c r="B229" s="92" t="s">
        <v>100</v>
      </c>
      <c r="C229" s="125" t="s">
        <v>8</v>
      </c>
      <c r="D229" s="129" t="s">
        <v>485</v>
      </c>
      <c r="E229" s="129" t="s">
        <v>484</v>
      </c>
      <c r="F229" s="129" t="s">
        <v>485</v>
      </c>
      <c r="G229" s="129" t="s">
        <v>484</v>
      </c>
      <c r="H229" s="129" t="s">
        <v>484</v>
      </c>
      <c r="I229" s="112">
        <v>4.8</v>
      </c>
      <c r="J229" s="77" t="s">
        <v>132</v>
      </c>
      <c r="K229" s="84">
        <v>30.48</v>
      </c>
      <c r="L229" s="86">
        <v>1480</v>
      </c>
      <c r="M229" s="83">
        <v>0.4</v>
      </c>
      <c r="N229" s="87">
        <v>50</v>
      </c>
      <c r="O229">
        <v>0.66</v>
      </c>
      <c r="P229" s="94">
        <v>-0.136152194</v>
      </c>
      <c r="Q229" s="81">
        <f t="shared" si="10"/>
        <v>-4.8475164491289799</v>
      </c>
      <c r="R229" s="81">
        <f t="shared" si="11"/>
        <v>-896790.54308886128</v>
      </c>
      <c r="S229" s="84"/>
      <c r="T229" s="81" t="e">
        <f t="shared" si="12"/>
        <v>#DIV/0!</v>
      </c>
      <c r="U229" s="81" t="e">
        <f>AVERAGE(T227:T229)</f>
        <v>#DIV/0!</v>
      </c>
      <c r="V229" s="81" t="e">
        <f>_xlfn.STDEV.S(T227:T229)</f>
        <v>#DIV/0!</v>
      </c>
      <c r="W229" s="81">
        <f>MAX(K227:K229)-MIN(K227:K229)</f>
        <v>0.28000000000000114</v>
      </c>
    </row>
    <row r="230" spans="1:23" x14ac:dyDescent="0.4">
      <c r="A230" s="85" t="s">
        <v>408</v>
      </c>
      <c r="B230" s="92" t="s">
        <v>101</v>
      </c>
      <c r="C230" s="125" t="s">
        <v>9</v>
      </c>
      <c r="D230" s="129" t="s">
        <v>485</v>
      </c>
      <c r="E230" s="129" t="s">
        <v>484</v>
      </c>
      <c r="F230" s="129" t="s">
        <v>485</v>
      </c>
      <c r="G230" s="129" t="s">
        <v>485</v>
      </c>
      <c r="H230" s="129" t="s">
        <v>484</v>
      </c>
      <c r="I230" s="112">
        <v>4.8</v>
      </c>
      <c r="J230" s="77" t="s">
        <v>132</v>
      </c>
      <c r="K230" s="84">
        <v>30.22</v>
      </c>
      <c r="L230" s="86">
        <v>1550</v>
      </c>
      <c r="M230" s="83">
        <v>0.4</v>
      </c>
      <c r="N230" s="87">
        <v>50</v>
      </c>
      <c r="O230">
        <v>0.61</v>
      </c>
      <c r="P230" s="94">
        <v>-1.7535663E-2</v>
      </c>
      <c r="Q230" s="81">
        <f t="shared" si="10"/>
        <v>-34.786252450221014</v>
      </c>
      <c r="R230" s="81">
        <f t="shared" si="11"/>
        <v>-6739836.4122303212</v>
      </c>
      <c r="S230" s="84"/>
      <c r="T230" s="81" t="e">
        <f t="shared" si="12"/>
        <v>#DIV/0!</v>
      </c>
      <c r="U230" s="81"/>
      <c r="V230" s="84"/>
      <c r="W230" s="84"/>
    </row>
    <row r="231" spans="1:23" x14ac:dyDescent="0.4">
      <c r="A231" s="85" t="s">
        <v>409</v>
      </c>
      <c r="B231" s="92" t="s">
        <v>101</v>
      </c>
      <c r="C231" s="125" t="s">
        <v>9</v>
      </c>
      <c r="D231" s="129" t="s">
        <v>485</v>
      </c>
      <c r="E231" s="129" t="s">
        <v>484</v>
      </c>
      <c r="F231" s="129" t="s">
        <v>485</v>
      </c>
      <c r="G231" s="129" t="s">
        <v>485</v>
      </c>
      <c r="H231" s="129" t="s">
        <v>484</v>
      </c>
      <c r="I231" s="112">
        <v>4.8</v>
      </c>
      <c r="J231" s="77" t="s">
        <v>132</v>
      </c>
      <c r="K231" s="84">
        <v>30.41</v>
      </c>
      <c r="L231" s="86">
        <v>1490</v>
      </c>
      <c r="M231" s="83">
        <v>0.4</v>
      </c>
      <c r="N231" s="87">
        <v>50</v>
      </c>
      <c r="O231">
        <v>0.61</v>
      </c>
      <c r="P231" s="94">
        <v>-1.7535663E-2</v>
      </c>
      <c r="Q231" s="81">
        <f t="shared" si="10"/>
        <v>-34.786252450221014</v>
      </c>
      <c r="R231" s="81">
        <f t="shared" si="11"/>
        <v>-6478939.5188536635</v>
      </c>
      <c r="S231" s="84"/>
      <c r="T231" s="81" t="e">
        <f t="shared" si="12"/>
        <v>#DIV/0!</v>
      </c>
      <c r="U231" s="81"/>
      <c r="V231" s="84"/>
      <c r="W231" s="84"/>
    </row>
    <row r="232" spans="1:23" x14ac:dyDescent="0.4">
      <c r="A232" s="85" t="s">
        <v>410</v>
      </c>
      <c r="B232" s="92" t="s">
        <v>101</v>
      </c>
      <c r="C232" s="125" t="s">
        <v>9</v>
      </c>
      <c r="D232" s="129" t="s">
        <v>485</v>
      </c>
      <c r="E232" s="129" t="s">
        <v>484</v>
      </c>
      <c r="F232" s="129" t="s">
        <v>485</v>
      </c>
      <c r="G232" s="129" t="s">
        <v>485</v>
      </c>
      <c r="H232" s="129" t="s">
        <v>484</v>
      </c>
      <c r="I232" s="112">
        <v>4.8</v>
      </c>
      <c r="J232" s="77" t="s">
        <v>132</v>
      </c>
      <c r="K232" s="84">
        <v>29.97</v>
      </c>
      <c r="L232" s="86">
        <v>1620</v>
      </c>
      <c r="M232" s="83">
        <v>0.4</v>
      </c>
      <c r="N232" s="87">
        <v>50</v>
      </c>
      <c r="O232">
        <v>0.61</v>
      </c>
      <c r="P232" s="94">
        <v>-1.7535663E-2</v>
      </c>
      <c r="Q232" s="81">
        <f t="shared" si="10"/>
        <v>-34.786252450221014</v>
      </c>
      <c r="R232" s="81">
        <f t="shared" si="11"/>
        <v>-7044216.1211697543</v>
      </c>
      <c r="S232" s="84"/>
      <c r="T232" s="81" t="e">
        <f t="shared" si="12"/>
        <v>#DIV/0!</v>
      </c>
      <c r="U232" s="81" t="e">
        <f>AVERAGE(T230:T232)</f>
        <v>#DIV/0!</v>
      </c>
      <c r="V232" s="81" t="e">
        <f>_xlfn.STDEV.S(T230:T232)</f>
        <v>#DIV/0!</v>
      </c>
      <c r="W232" s="81">
        <f>MAX(K230:K232)-MIN(K230:K232)</f>
        <v>0.44000000000000128</v>
      </c>
    </row>
    <row r="233" spans="1:23" x14ac:dyDescent="0.4">
      <c r="A233" s="85" t="s">
        <v>411</v>
      </c>
      <c r="B233" s="76" t="s">
        <v>174</v>
      </c>
      <c r="C233" s="127"/>
      <c r="D233" s="131"/>
      <c r="E233" s="131"/>
      <c r="F233" s="131"/>
      <c r="G233" s="131"/>
      <c r="H233" s="131"/>
      <c r="I233" s="112"/>
      <c r="J233" s="82"/>
      <c r="K233" s="84"/>
      <c r="L233" s="84"/>
      <c r="M233" s="83"/>
      <c r="N233" s="84"/>
      <c r="P233" s="94"/>
      <c r="Q233" s="81" t="e">
        <f t="shared" si="10"/>
        <v>#DIV/0!</v>
      </c>
      <c r="R233" s="81" t="e">
        <f t="shared" si="11"/>
        <v>#DIV/0!</v>
      </c>
      <c r="S233" s="84"/>
      <c r="T233" s="81" t="e">
        <f t="shared" si="12"/>
        <v>#DIV/0!</v>
      </c>
      <c r="U233" s="81"/>
      <c r="V233" s="84"/>
      <c r="W233" s="84"/>
    </row>
    <row r="234" spans="1:23" x14ac:dyDescent="0.4">
      <c r="A234" s="85" t="s">
        <v>412</v>
      </c>
      <c r="B234" s="76" t="s">
        <v>174</v>
      </c>
      <c r="C234" s="127"/>
      <c r="D234" s="131"/>
      <c r="E234" s="131"/>
      <c r="F234" s="131"/>
      <c r="G234" s="131"/>
      <c r="H234" s="131"/>
      <c r="I234" s="112"/>
      <c r="J234" s="82"/>
      <c r="K234" s="84"/>
      <c r="L234" s="84"/>
      <c r="M234" s="83"/>
      <c r="N234" s="84"/>
      <c r="P234" s="94"/>
      <c r="Q234" s="81" t="e">
        <f t="shared" si="10"/>
        <v>#DIV/0!</v>
      </c>
      <c r="R234" s="81" t="e">
        <f t="shared" si="11"/>
        <v>#DIV/0!</v>
      </c>
      <c r="S234" s="84"/>
      <c r="T234" s="81" t="e">
        <f t="shared" si="12"/>
        <v>#DIV/0!</v>
      </c>
      <c r="U234" s="81"/>
      <c r="V234" s="84"/>
      <c r="W234" s="84"/>
    </row>
    <row r="235" spans="1:23" x14ac:dyDescent="0.4">
      <c r="A235" s="85" t="s">
        <v>413</v>
      </c>
      <c r="B235" s="76" t="s">
        <v>174</v>
      </c>
      <c r="C235" s="127"/>
      <c r="D235" s="131"/>
      <c r="E235" s="131"/>
      <c r="F235" s="131"/>
      <c r="G235" s="131"/>
      <c r="H235" s="131"/>
      <c r="I235" s="112"/>
      <c r="J235" s="82"/>
      <c r="K235" s="84"/>
      <c r="L235" s="84"/>
      <c r="M235" s="83"/>
      <c r="N235" s="84"/>
      <c r="P235" s="94"/>
      <c r="Q235" s="81" t="e">
        <f t="shared" si="10"/>
        <v>#DIV/0!</v>
      </c>
      <c r="R235" s="81" t="e">
        <f t="shared" si="11"/>
        <v>#DIV/0!</v>
      </c>
      <c r="S235" s="84"/>
      <c r="T235" s="81" t="e">
        <f t="shared" si="12"/>
        <v>#DIV/0!</v>
      </c>
      <c r="U235" s="81" t="e">
        <f>AVERAGE(T233:T235)</f>
        <v>#DIV/0!</v>
      </c>
      <c r="V235" s="81" t="e">
        <f>_xlfn.STDEV.S(T233:T235)</f>
        <v>#DIV/0!</v>
      </c>
      <c r="W235" s="81">
        <f>MAX(K233:K235)-MIN(K233:K235)</f>
        <v>0</v>
      </c>
    </row>
    <row r="236" spans="1:23" x14ac:dyDescent="0.4">
      <c r="A236" s="85" t="s">
        <v>414</v>
      </c>
      <c r="B236" s="92" t="s">
        <v>146</v>
      </c>
      <c r="C236" s="127" t="s">
        <v>177</v>
      </c>
      <c r="D236" s="131"/>
      <c r="E236" s="131"/>
      <c r="F236" s="131"/>
      <c r="G236" s="131"/>
      <c r="H236" s="131"/>
      <c r="I236" s="112"/>
      <c r="J236" s="82"/>
      <c r="K236" s="84">
        <v>18.7</v>
      </c>
      <c r="L236" s="86">
        <v>88300</v>
      </c>
      <c r="M236" s="83"/>
      <c r="N236" s="87"/>
      <c r="P236" s="94"/>
      <c r="Q236" s="81" t="e">
        <f t="shared" si="10"/>
        <v>#DIV/0!</v>
      </c>
      <c r="R236" s="81" t="e">
        <f t="shared" si="11"/>
        <v>#DIV/0!</v>
      </c>
      <c r="S236" s="84"/>
      <c r="T236" s="81" t="e">
        <f t="shared" si="12"/>
        <v>#DIV/0!</v>
      </c>
      <c r="U236" s="81"/>
      <c r="V236" s="84"/>
      <c r="W236" s="84"/>
    </row>
    <row r="237" spans="1:23" x14ac:dyDescent="0.4">
      <c r="A237" s="85" t="s">
        <v>415</v>
      </c>
      <c r="B237" s="92" t="s">
        <v>146</v>
      </c>
      <c r="C237" s="127" t="s">
        <v>177</v>
      </c>
      <c r="D237" s="131"/>
      <c r="E237" s="131"/>
      <c r="F237" s="131"/>
      <c r="G237" s="131"/>
      <c r="H237" s="131"/>
      <c r="I237" s="112"/>
      <c r="J237" s="82"/>
      <c r="K237" s="84">
        <v>18.75</v>
      </c>
      <c r="L237" s="86">
        <v>86000</v>
      </c>
      <c r="M237" s="83"/>
      <c r="N237" s="87"/>
      <c r="P237" s="94"/>
      <c r="Q237" s="81" t="e">
        <f t="shared" si="10"/>
        <v>#DIV/0!</v>
      </c>
      <c r="R237" s="81" t="e">
        <f t="shared" si="11"/>
        <v>#DIV/0!</v>
      </c>
      <c r="S237" s="84"/>
      <c r="T237" s="81" t="e">
        <f t="shared" si="12"/>
        <v>#DIV/0!</v>
      </c>
      <c r="U237" s="81"/>
      <c r="V237" s="84"/>
      <c r="W237" s="84"/>
    </row>
    <row r="238" spans="1:23" x14ac:dyDescent="0.4">
      <c r="A238" s="85" t="s">
        <v>416</v>
      </c>
      <c r="B238" s="92" t="s">
        <v>146</v>
      </c>
      <c r="C238" s="127" t="s">
        <v>177</v>
      </c>
      <c r="D238" s="131"/>
      <c r="E238" s="131"/>
      <c r="F238" s="131"/>
      <c r="G238" s="131"/>
      <c r="H238" s="131"/>
      <c r="I238" s="112"/>
      <c r="J238" s="82"/>
      <c r="K238" s="84">
        <v>18.62</v>
      </c>
      <c r="L238" s="86">
        <v>92100</v>
      </c>
      <c r="M238" s="83"/>
      <c r="N238" s="87"/>
      <c r="P238" s="94"/>
      <c r="Q238" s="81" t="e">
        <f t="shared" si="10"/>
        <v>#DIV/0!</v>
      </c>
      <c r="R238" s="81" t="e">
        <f t="shared" si="11"/>
        <v>#DIV/0!</v>
      </c>
      <c r="S238" s="84"/>
      <c r="T238" s="81" t="e">
        <f t="shared" si="12"/>
        <v>#DIV/0!</v>
      </c>
      <c r="U238" s="81" t="e">
        <f>AVERAGE(T236:T238)</f>
        <v>#DIV/0!</v>
      </c>
      <c r="V238" s="81" t="e">
        <f>_xlfn.STDEV.S(T236:T238)</f>
        <v>#DIV/0!</v>
      </c>
      <c r="W238" s="81">
        <f>MAX(K236:K238)-MIN(K236:K238)</f>
        <v>0.12999999999999901</v>
      </c>
    </row>
    <row r="239" spans="1:23" x14ac:dyDescent="0.4">
      <c r="A239" s="85" t="s">
        <v>417</v>
      </c>
      <c r="B239" s="92" t="s">
        <v>110</v>
      </c>
      <c r="C239" s="125" t="s">
        <v>8</v>
      </c>
      <c r="D239" s="129" t="s">
        <v>485</v>
      </c>
      <c r="E239" s="129" t="s">
        <v>484</v>
      </c>
      <c r="F239" s="129" t="s">
        <v>485</v>
      </c>
      <c r="G239" s="129" t="s">
        <v>484</v>
      </c>
      <c r="H239" s="129" t="s">
        <v>484</v>
      </c>
      <c r="I239" s="112">
        <v>5.8</v>
      </c>
      <c r="J239" s="77" t="s">
        <v>132</v>
      </c>
      <c r="K239" s="84">
        <v>31.81</v>
      </c>
      <c r="L239" s="86">
        <v>1200</v>
      </c>
      <c r="M239" s="83">
        <v>0.4</v>
      </c>
      <c r="N239" s="87">
        <v>50</v>
      </c>
      <c r="O239">
        <v>7.24</v>
      </c>
      <c r="P239" s="94">
        <v>3.9626258700000001</v>
      </c>
      <c r="Q239" s="81">
        <f t="shared" si="10"/>
        <v>1.8270713000720404</v>
      </c>
      <c r="R239" s="81">
        <f t="shared" si="11"/>
        <v>274060.69501080603</v>
      </c>
      <c r="S239" s="84"/>
      <c r="T239" s="81" t="e">
        <f t="shared" si="12"/>
        <v>#DIV/0!</v>
      </c>
      <c r="U239" s="81"/>
      <c r="V239" s="84"/>
      <c r="W239" s="84"/>
    </row>
    <row r="240" spans="1:23" x14ac:dyDescent="0.4">
      <c r="A240" s="85" t="s">
        <v>418</v>
      </c>
      <c r="B240" s="92" t="s">
        <v>110</v>
      </c>
      <c r="C240" s="125" t="s">
        <v>8</v>
      </c>
      <c r="D240" s="129" t="s">
        <v>485</v>
      </c>
      <c r="E240" s="129" t="s">
        <v>484</v>
      </c>
      <c r="F240" s="129" t="s">
        <v>485</v>
      </c>
      <c r="G240" s="129" t="s">
        <v>484</v>
      </c>
      <c r="H240" s="129" t="s">
        <v>484</v>
      </c>
      <c r="I240" s="112">
        <v>5.8</v>
      </c>
      <c r="J240" s="77" t="s">
        <v>132</v>
      </c>
      <c r="K240" s="84">
        <v>32.81</v>
      </c>
      <c r="L240" s="86">
        <v>1060</v>
      </c>
      <c r="M240" s="83">
        <v>0.4</v>
      </c>
      <c r="N240" s="87">
        <v>50</v>
      </c>
      <c r="O240">
        <v>7.24</v>
      </c>
      <c r="P240" s="94">
        <v>3.9626258700000001</v>
      </c>
      <c r="Q240" s="81">
        <f t="shared" si="10"/>
        <v>1.8270713000720404</v>
      </c>
      <c r="R240" s="81">
        <f t="shared" si="11"/>
        <v>242086.94725954533</v>
      </c>
      <c r="S240" s="84"/>
      <c r="T240" s="81" t="e">
        <f t="shared" si="12"/>
        <v>#DIV/0!</v>
      </c>
      <c r="U240" s="81"/>
      <c r="V240" s="84"/>
      <c r="W240" s="84"/>
    </row>
    <row r="241" spans="1:23" x14ac:dyDescent="0.4">
      <c r="A241" s="85" t="s">
        <v>419</v>
      </c>
      <c r="B241" s="92" t="s">
        <v>110</v>
      </c>
      <c r="C241" s="125" t="s">
        <v>8</v>
      </c>
      <c r="D241" s="129" t="s">
        <v>485</v>
      </c>
      <c r="E241" s="129" t="s">
        <v>484</v>
      </c>
      <c r="F241" s="129" t="s">
        <v>485</v>
      </c>
      <c r="G241" s="129" t="s">
        <v>484</v>
      </c>
      <c r="H241" s="129" t="s">
        <v>484</v>
      </c>
      <c r="I241" s="112">
        <v>5.8</v>
      </c>
      <c r="J241" s="77" t="s">
        <v>132</v>
      </c>
      <c r="K241" s="84">
        <v>32.979999999999997</v>
      </c>
      <c r="L241" s="86">
        <v>1040</v>
      </c>
      <c r="M241" s="83">
        <v>0.4</v>
      </c>
      <c r="N241" s="87">
        <v>50</v>
      </c>
      <c r="O241">
        <v>7.24</v>
      </c>
      <c r="P241" s="94">
        <v>3.9626258700000001</v>
      </c>
      <c r="Q241" s="81">
        <f t="shared" si="10"/>
        <v>1.8270713000720404</v>
      </c>
      <c r="R241" s="81">
        <f t="shared" si="11"/>
        <v>237519.26900936526</v>
      </c>
      <c r="S241" s="84"/>
      <c r="T241" s="81" t="e">
        <f t="shared" si="12"/>
        <v>#DIV/0!</v>
      </c>
      <c r="U241" s="81" t="e">
        <f>AVERAGE(T239:T241)</f>
        <v>#DIV/0!</v>
      </c>
      <c r="V241" s="81" t="e">
        <f>_xlfn.STDEV.S(T239:T241)</f>
        <v>#DIV/0!</v>
      </c>
      <c r="W241" s="81">
        <f>MAX(K239:K241)-MIN(K239:K241)</f>
        <v>1.1699999999999982</v>
      </c>
    </row>
    <row r="242" spans="1:23" x14ac:dyDescent="0.4">
      <c r="A242" s="85" t="s">
        <v>420</v>
      </c>
      <c r="B242" s="92" t="s">
        <v>111</v>
      </c>
      <c r="C242" s="125" t="s">
        <v>9</v>
      </c>
      <c r="D242" s="129" t="s">
        <v>485</v>
      </c>
      <c r="E242" s="129" t="s">
        <v>484</v>
      </c>
      <c r="F242" s="129" t="s">
        <v>485</v>
      </c>
      <c r="G242" s="129" t="s">
        <v>485</v>
      </c>
      <c r="H242" s="129" t="s">
        <v>484</v>
      </c>
      <c r="I242" s="112">
        <v>5.8</v>
      </c>
      <c r="J242" s="77" t="s">
        <v>132</v>
      </c>
      <c r="K242" s="84">
        <v>35</v>
      </c>
      <c r="L242" s="86">
        <v>888</v>
      </c>
      <c r="M242" s="83">
        <v>0.4</v>
      </c>
      <c r="N242" s="87">
        <v>50</v>
      </c>
      <c r="O242">
        <v>6.09</v>
      </c>
      <c r="P242" s="94">
        <v>3.51862158</v>
      </c>
      <c r="Q242" s="81">
        <f t="shared" si="10"/>
        <v>1.7307914083787321</v>
      </c>
      <c r="R242" s="81">
        <f t="shared" si="11"/>
        <v>192117.84633003926</v>
      </c>
      <c r="S242" s="84"/>
      <c r="T242" s="81" t="e">
        <f t="shared" si="12"/>
        <v>#DIV/0!</v>
      </c>
      <c r="U242" s="81"/>
      <c r="V242" s="84"/>
      <c r="W242" s="84"/>
    </row>
    <row r="243" spans="1:23" x14ac:dyDescent="0.4">
      <c r="A243" s="85" t="s">
        <v>421</v>
      </c>
      <c r="B243" s="92" t="s">
        <v>111</v>
      </c>
      <c r="C243" s="125" t="s">
        <v>9</v>
      </c>
      <c r="D243" s="129" t="s">
        <v>485</v>
      </c>
      <c r="E243" s="129" t="s">
        <v>484</v>
      </c>
      <c r="F243" s="129" t="s">
        <v>485</v>
      </c>
      <c r="G243" s="129" t="s">
        <v>485</v>
      </c>
      <c r="H243" s="129" t="s">
        <v>484</v>
      </c>
      <c r="I243" s="112">
        <v>5.8</v>
      </c>
      <c r="J243" s="77" t="s">
        <v>132</v>
      </c>
      <c r="K243" s="84">
        <v>35</v>
      </c>
      <c r="L243" s="86">
        <v>888</v>
      </c>
      <c r="M243" s="83">
        <v>0.4</v>
      </c>
      <c r="N243" s="87">
        <v>50</v>
      </c>
      <c r="O243">
        <v>6.09</v>
      </c>
      <c r="P243" s="94">
        <v>3.51862158</v>
      </c>
      <c r="Q243" s="81">
        <f t="shared" si="10"/>
        <v>1.7307914083787321</v>
      </c>
      <c r="R243" s="81">
        <f t="shared" si="11"/>
        <v>192117.84633003926</v>
      </c>
      <c r="S243" s="84"/>
      <c r="T243" s="81" t="e">
        <f t="shared" si="12"/>
        <v>#DIV/0!</v>
      </c>
      <c r="U243" s="81"/>
      <c r="V243" s="84"/>
      <c r="W243" s="84"/>
    </row>
    <row r="244" spans="1:23" x14ac:dyDescent="0.4">
      <c r="A244" s="85" t="s">
        <v>422</v>
      </c>
      <c r="B244" s="92" t="s">
        <v>111</v>
      </c>
      <c r="C244" s="125" t="s">
        <v>9</v>
      </c>
      <c r="D244" s="129" t="s">
        <v>485</v>
      </c>
      <c r="E244" s="129" t="s">
        <v>484</v>
      </c>
      <c r="F244" s="129" t="s">
        <v>485</v>
      </c>
      <c r="G244" s="129" t="s">
        <v>485</v>
      </c>
      <c r="H244" s="129" t="s">
        <v>484</v>
      </c>
      <c r="I244" s="112">
        <v>5.8</v>
      </c>
      <c r="J244" s="77" t="s">
        <v>132</v>
      </c>
      <c r="K244" s="84">
        <v>33.86</v>
      </c>
      <c r="L244" s="86">
        <v>956</v>
      </c>
      <c r="M244" s="83">
        <v>0.4</v>
      </c>
      <c r="N244" s="87">
        <v>50</v>
      </c>
      <c r="O244">
        <v>6.09</v>
      </c>
      <c r="P244" s="94">
        <v>3.51862158</v>
      </c>
      <c r="Q244" s="81">
        <f t="shared" si="10"/>
        <v>1.7307914083787321</v>
      </c>
      <c r="R244" s="81">
        <f t="shared" si="11"/>
        <v>206829.5733012585</v>
      </c>
      <c r="S244" s="84"/>
      <c r="T244" s="81" t="e">
        <f t="shared" si="12"/>
        <v>#DIV/0!</v>
      </c>
      <c r="U244" s="81" t="e">
        <f>AVERAGE(T242:T244)</f>
        <v>#DIV/0!</v>
      </c>
      <c r="V244" s="81" t="e">
        <f>_xlfn.STDEV.S(T242:T244)</f>
        <v>#DIV/0!</v>
      </c>
      <c r="W244" s="81">
        <f>MAX(K242:K244)-MIN(K242:K244)</f>
        <v>1.1400000000000006</v>
      </c>
    </row>
    <row r="245" spans="1:23" x14ac:dyDescent="0.4">
      <c r="A245" s="85" t="s">
        <v>423</v>
      </c>
      <c r="B245" s="76" t="s">
        <v>174</v>
      </c>
      <c r="C245" s="127"/>
      <c r="D245" s="131"/>
      <c r="E245" s="131"/>
      <c r="F245" s="131"/>
      <c r="G245" s="131"/>
      <c r="H245" s="131"/>
      <c r="I245" s="112"/>
      <c r="J245" s="82"/>
      <c r="K245" s="84"/>
      <c r="L245" s="84"/>
      <c r="M245" s="83"/>
      <c r="N245" s="84"/>
      <c r="P245" s="94"/>
      <c r="Q245" s="81" t="e">
        <f t="shared" si="10"/>
        <v>#DIV/0!</v>
      </c>
      <c r="R245" s="81" t="e">
        <f t="shared" si="11"/>
        <v>#DIV/0!</v>
      </c>
      <c r="S245" s="84"/>
      <c r="T245" s="81" t="e">
        <f t="shared" si="12"/>
        <v>#DIV/0!</v>
      </c>
      <c r="U245" s="81"/>
      <c r="V245" s="84"/>
      <c r="W245" s="84"/>
    </row>
    <row r="246" spans="1:23" x14ac:dyDescent="0.4">
      <c r="A246" s="85" t="s">
        <v>424</v>
      </c>
      <c r="B246" s="76" t="s">
        <v>174</v>
      </c>
      <c r="C246" s="127"/>
      <c r="D246" s="131"/>
      <c r="E246" s="131"/>
      <c r="F246" s="131"/>
      <c r="G246" s="131"/>
      <c r="H246" s="131"/>
      <c r="I246" s="112"/>
      <c r="J246" s="82"/>
      <c r="K246" s="84"/>
      <c r="L246" s="84"/>
      <c r="M246" s="83"/>
      <c r="N246" s="84"/>
      <c r="P246" s="94"/>
      <c r="Q246" s="81" t="e">
        <f t="shared" si="10"/>
        <v>#DIV/0!</v>
      </c>
      <c r="R246" s="81" t="e">
        <f t="shared" si="11"/>
        <v>#DIV/0!</v>
      </c>
      <c r="S246" s="84"/>
      <c r="T246" s="81" t="e">
        <f t="shared" si="12"/>
        <v>#DIV/0!</v>
      </c>
      <c r="U246" s="81"/>
      <c r="V246" s="84"/>
      <c r="W246" s="84"/>
    </row>
    <row r="247" spans="1:23" x14ac:dyDescent="0.4">
      <c r="A247" s="85" t="s">
        <v>425</v>
      </c>
      <c r="B247" s="76" t="s">
        <v>174</v>
      </c>
      <c r="C247" s="127"/>
      <c r="D247" s="131"/>
      <c r="E247" s="131"/>
      <c r="F247" s="131"/>
      <c r="G247" s="131"/>
      <c r="H247" s="131"/>
      <c r="I247" s="112"/>
      <c r="J247" s="82"/>
      <c r="K247" s="84"/>
      <c r="L247" s="84"/>
      <c r="M247" s="83"/>
      <c r="N247" s="84"/>
      <c r="P247" s="94"/>
      <c r="Q247" s="81" t="e">
        <f t="shared" si="10"/>
        <v>#DIV/0!</v>
      </c>
      <c r="R247" s="81" t="e">
        <f t="shared" si="11"/>
        <v>#DIV/0!</v>
      </c>
      <c r="S247" s="84"/>
      <c r="T247" s="81" t="e">
        <f t="shared" si="12"/>
        <v>#DIV/0!</v>
      </c>
      <c r="U247" s="81" t="e">
        <f>AVERAGE(T245:T247)</f>
        <v>#DIV/0!</v>
      </c>
      <c r="V247" s="81" t="e">
        <f>_xlfn.STDEV.S(T245:T247)</f>
        <v>#DIV/0!</v>
      </c>
      <c r="W247" s="81">
        <f>MAX(K245:K247)-MIN(K245:K247)</f>
        <v>0</v>
      </c>
    </row>
    <row r="248" spans="1:23" x14ac:dyDescent="0.4">
      <c r="A248" s="85" t="s">
        <v>426</v>
      </c>
      <c r="B248" s="92" t="s">
        <v>149</v>
      </c>
      <c r="C248" s="127" t="s">
        <v>178</v>
      </c>
      <c r="D248" s="131"/>
      <c r="E248" s="131"/>
      <c r="F248" s="131"/>
      <c r="G248" s="131"/>
      <c r="H248" s="131"/>
      <c r="I248" s="112"/>
      <c r="J248" s="82"/>
      <c r="K248" s="84">
        <v>23.2</v>
      </c>
      <c r="L248" s="86">
        <v>11500</v>
      </c>
      <c r="M248" s="83"/>
      <c r="N248" s="87"/>
      <c r="P248" s="94"/>
      <c r="Q248" s="81" t="e">
        <f t="shared" si="10"/>
        <v>#DIV/0!</v>
      </c>
      <c r="R248" s="81" t="e">
        <f t="shared" si="11"/>
        <v>#DIV/0!</v>
      </c>
      <c r="S248" s="84"/>
      <c r="T248" s="81" t="e">
        <f t="shared" si="12"/>
        <v>#DIV/0!</v>
      </c>
      <c r="U248" s="81"/>
      <c r="V248" s="84"/>
      <c r="W248" s="84"/>
    </row>
    <row r="249" spans="1:23" x14ac:dyDescent="0.4">
      <c r="A249" s="85" t="s">
        <v>427</v>
      </c>
      <c r="B249" s="92" t="s">
        <v>149</v>
      </c>
      <c r="C249" s="127" t="s">
        <v>178</v>
      </c>
      <c r="D249" s="131"/>
      <c r="E249" s="131"/>
      <c r="F249" s="131"/>
      <c r="G249" s="131"/>
      <c r="H249" s="131"/>
      <c r="I249" s="112"/>
      <c r="J249" s="82"/>
      <c r="K249" s="84">
        <v>23.51</v>
      </c>
      <c r="L249" s="86">
        <v>10200</v>
      </c>
      <c r="M249" s="83"/>
      <c r="N249" s="87"/>
      <c r="P249" s="94"/>
      <c r="Q249" s="81" t="e">
        <f t="shared" si="10"/>
        <v>#DIV/0!</v>
      </c>
      <c r="R249" s="81" t="e">
        <f t="shared" si="11"/>
        <v>#DIV/0!</v>
      </c>
      <c r="S249" s="84"/>
      <c r="T249" s="81" t="e">
        <f t="shared" si="12"/>
        <v>#DIV/0!</v>
      </c>
      <c r="U249" s="81"/>
      <c r="V249" s="84"/>
      <c r="W249" s="84"/>
    </row>
    <row r="250" spans="1:23" x14ac:dyDescent="0.4">
      <c r="A250" s="85" t="s">
        <v>428</v>
      </c>
      <c r="B250" s="92" t="s">
        <v>149</v>
      </c>
      <c r="C250" s="127" t="s">
        <v>178</v>
      </c>
      <c r="D250" s="131"/>
      <c r="E250" s="131"/>
      <c r="F250" s="131"/>
      <c r="G250" s="131"/>
      <c r="H250" s="131"/>
      <c r="I250" s="112"/>
      <c r="J250" s="82"/>
      <c r="K250" s="84">
        <v>23.51</v>
      </c>
      <c r="L250" s="86">
        <v>10300</v>
      </c>
      <c r="M250" s="83"/>
      <c r="N250" s="87"/>
      <c r="P250" s="94"/>
      <c r="Q250" s="81" t="e">
        <f t="shared" si="10"/>
        <v>#DIV/0!</v>
      </c>
      <c r="R250" s="81" t="e">
        <f t="shared" si="11"/>
        <v>#DIV/0!</v>
      </c>
      <c r="S250" s="84"/>
      <c r="T250" s="81" t="e">
        <f t="shared" si="12"/>
        <v>#DIV/0!</v>
      </c>
      <c r="U250" s="81" t="e">
        <f>AVERAGE(T248:T250)</f>
        <v>#DIV/0!</v>
      </c>
      <c r="V250" s="81" t="e">
        <f>_xlfn.STDEV.S(T248:T250)</f>
        <v>#DIV/0!</v>
      </c>
      <c r="W250" s="81">
        <f>MAX(K248:K250)-MIN(K248:K250)</f>
        <v>0.31000000000000227</v>
      </c>
    </row>
    <row r="251" spans="1:23" x14ac:dyDescent="0.4">
      <c r="A251" s="85" t="s">
        <v>429</v>
      </c>
      <c r="B251" s="92" t="s">
        <v>120</v>
      </c>
      <c r="C251" s="125" t="s">
        <v>8</v>
      </c>
      <c r="D251" s="129" t="s">
        <v>485</v>
      </c>
      <c r="E251" s="129" t="s">
        <v>484</v>
      </c>
      <c r="F251" s="129" t="s">
        <v>485</v>
      </c>
      <c r="G251" s="129" t="s">
        <v>484</v>
      </c>
      <c r="H251" s="129" t="s">
        <v>484</v>
      </c>
      <c r="I251" s="112">
        <v>4.8</v>
      </c>
      <c r="J251" s="77" t="s">
        <v>133</v>
      </c>
      <c r="K251" s="84">
        <v>31.57</v>
      </c>
      <c r="L251" s="86">
        <v>1240</v>
      </c>
      <c r="M251" s="83">
        <v>0.4</v>
      </c>
      <c r="N251" s="87">
        <v>50</v>
      </c>
      <c r="O251">
        <v>3.41</v>
      </c>
      <c r="P251" s="94">
        <v>3.3580046440000002</v>
      </c>
      <c r="Q251" s="81">
        <f t="shared" si="10"/>
        <v>1.0154840036010384</v>
      </c>
      <c r="R251" s="81">
        <f t="shared" si="11"/>
        <v>157400.02055816096</v>
      </c>
      <c r="S251" s="84"/>
      <c r="T251" s="81" t="e">
        <f t="shared" si="12"/>
        <v>#DIV/0!</v>
      </c>
      <c r="U251" s="81"/>
      <c r="V251" s="84"/>
      <c r="W251" s="84"/>
    </row>
    <row r="252" spans="1:23" x14ac:dyDescent="0.4">
      <c r="A252" s="85" t="s">
        <v>430</v>
      </c>
      <c r="B252" s="92" t="s">
        <v>120</v>
      </c>
      <c r="C252" s="125" t="s">
        <v>8</v>
      </c>
      <c r="D252" s="129" t="s">
        <v>485</v>
      </c>
      <c r="E252" s="129" t="s">
        <v>484</v>
      </c>
      <c r="F252" s="129" t="s">
        <v>485</v>
      </c>
      <c r="G252" s="129" t="s">
        <v>484</v>
      </c>
      <c r="H252" s="129" t="s">
        <v>484</v>
      </c>
      <c r="I252" s="112">
        <v>4.8</v>
      </c>
      <c r="J252" s="77" t="s">
        <v>133</v>
      </c>
      <c r="K252" s="84">
        <v>31.64</v>
      </c>
      <c r="L252" s="86">
        <v>1220</v>
      </c>
      <c r="M252" s="83">
        <v>0.4</v>
      </c>
      <c r="N252" s="87">
        <v>50</v>
      </c>
      <c r="O252">
        <v>3.41</v>
      </c>
      <c r="P252" s="94">
        <v>3.3580046440000002</v>
      </c>
      <c r="Q252" s="81">
        <f t="shared" si="10"/>
        <v>1.0154840036010384</v>
      </c>
      <c r="R252" s="81">
        <f t="shared" si="11"/>
        <v>154861.31054915834</v>
      </c>
      <c r="S252" s="84"/>
      <c r="T252" s="81" t="e">
        <f t="shared" si="12"/>
        <v>#DIV/0!</v>
      </c>
      <c r="U252" s="81"/>
      <c r="V252" s="84"/>
      <c r="W252" s="84"/>
    </row>
    <row r="253" spans="1:23" x14ac:dyDescent="0.4">
      <c r="A253" s="85" t="s">
        <v>431</v>
      </c>
      <c r="B253" s="92" t="s">
        <v>120</v>
      </c>
      <c r="C253" s="125" t="s">
        <v>8</v>
      </c>
      <c r="D253" s="129" t="s">
        <v>485</v>
      </c>
      <c r="E253" s="129" t="s">
        <v>484</v>
      </c>
      <c r="F253" s="129" t="s">
        <v>485</v>
      </c>
      <c r="G253" s="129" t="s">
        <v>484</v>
      </c>
      <c r="H253" s="129" t="s">
        <v>484</v>
      </c>
      <c r="I253" s="112">
        <v>4.8</v>
      </c>
      <c r="J253" s="77" t="s">
        <v>133</v>
      </c>
      <c r="K253" s="84">
        <v>31.97</v>
      </c>
      <c r="L253" s="86">
        <v>1170</v>
      </c>
      <c r="M253" s="83">
        <v>0.4</v>
      </c>
      <c r="N253" s="87">
        <v>50</v>
      </c>
      <c r="O253">
        <v>3.41</v>
      </c>
      <c r="P253" s="94">
        <v>3.3580046440000002</v>
      </c>
      <c r="Q253" s="81">
        <f t="shared" si="10"/>
        <v>1.0154840036010384</v>
      </c>
      <c r="R253" s="81">
        <f t="shared" si="11"/>
        <v>148514.53552665186</v>
      </c>
      <c r="S253" s="84"/>
      <c r="T253" s="81" t="e">
        <f t="shared" si="12"/>
        <v>#DIV/0!</v>
      </c>
      <c r="U253" s="81" t="e">
        <f>AVERAGE(T251:T253)</f>
        <v>#DIV/0!</v>
      </c>
      <c r="V253" s="81" t="e">
        <f>_xlfn.STDEV.S(T251:T253)</f>
        <v>#DIV/0!</v>
      </c>
      <c r="W253" s="81">
        <f>MAX(K251:K253)-MIN(K251:K253)</f>
        <v>0.39999999999999858</v>
      </c>
    </row>
    <row r="254" spans="1:23" x14ac:dyDescent="0.4">
      <c r="A254" s="85" t="s">
        <v>432</v>
      </c>
      <c r="B254" s="92" t="s">
        <v>121</v>
      </c>
      <c r="C254" s="125" t="s">
        <v>9</v>
      </c>
      <c r="D254" s="129" t="s">
        <v>485</v>
      </c>
      <c r="E254" s="129" t="s">
        <v>484</v>
      </c>
      <c r="F254" s="129" t="s">
        <v>485</v>
      </c>
      <c r="G254" s="129" t="s">
        <v>485</v>
      </c>
      <c r="H254" s="129" t="s">
        <v>484</v>
      </c>
      <c r="I254" s="112">
        <v>4.8</v>
      </c>
      <c r="J254" s="77" t="s">
        <v>133</v>
      </c>
      <c r="K254" s="84">
        <v>32.46</v>
      </c>
      <c r="L254" s="86">
        <v>1100</v>
      </c>
      <c r="M254" s="83">
        <v>0.4</v>
      </c>
      <c r="N254" s="87">
        <v>50</v>
      </c>
      <c r="O254">
        <v>5.14</v>
      </c>
      <c r="P254" s="94">
        <v>4.0757038860000003</v>
      </c>
      <c r="Q254" s="81">
        <f t="shared" si="10"/>
        <v>1.2611318544646595</v>
      </c>
      <c r="R254" s="81">
        <f t="shared" si="11"/>
        <v>173405.62998889067</v>
      </c>
      <c r="S254" s="84"/>
      <c r="T254" s="81" t="e">
        <f t="shared" si="12"/>
        <v>#DIV/0!</v>
      </c>
      <c r="U254" s="81"/>
      <c r="V254" s="84"/>
      <c r="W254" s="84"/>
    </row>
    <row r="255" spans="1:23" x14ac:dyDescent="0.4">
      <c r="A255" s="85" t="s">
        <v>433</v>
      </c>
      <c r="B255" s="92" t="s">
        <v>121</v>
      </c>
      <c r="C255" s="125" t="s">
        <v>9</v>
      </c>
      <c r="D255" s="129" t="s">
        <v>485</v>
      </c>
      <c r="E255" s="129" t="s">
        <v>484</v>
      </c>
      <c r="F255" s="129" t="s">
        <v>485</v>
      </c>
      <c r="G255" s="129" t="s">
        <v>485</v>
      </c>
      <c r="H255" s="129" t="s">
        <v>484</v>
      </c>
      <c r="I255" s="112">
        <v>4.8</v>
      </c>
      <c r="J255" s="77" t="s">
        <v>133</v>
      </c>
      <c r="K255" s="84">
        <v>32.049999999999997</v>
      </c>
      <c r="L255" s="86">
        <v>1160</v>
      </c>
      <c r="M255" s="83">
        <v>0.4</v>
      </c>
      <c r="N255" s="87">
        <v>50</v>
      </c>
      <c r="O255">
        <v>5.14</v>
      </c>
      <c r="P255" s="94">
        <v>4.0757038860000003</v>
      </c>
      <c r="Q255" s="81">
        <f t="shared" si="10"/>
        <v>1.2611318544646595</v>
      </c>
      <c r="R255" s="81">
        <f t="shared" si="11"/>
        <v>182864.11889737562</v>
      </c>
      <c r="S255" s="84"/>
      <c r="T255" s="81" t="e">
        <f t="shared" si="12"/>
        <v>#DIV/0!</v>
      </c>
      <c r="U255" s="81"/>
      <c r="V255" s="84"/>
      <c r="W255" s="84"/>
    </row>
    <row r="256" spans="1:23" x14ac:dyDescent="0.4">
      <c r="A256" s="85" t="s">
        <v>434</v>
      </c>
      <c r="B256" s="92" t="s">
        <v>121</v>
      </c>
      <c r="C256" s="125" t="s">
        <v>9</v>
      </c>
      <c r="D256" s="129" t="s">
        <v>485</v>
      </c>
      <c r="E256" s="129" t="s">
        <v>484</v>
      </c>
      <c r="F256" s="129" t="s">
        <v>485</v>
      </c>
      <c r="G256" s="129" t="s">
        <v>485</v>
      </c>
      <c r="H256" s="129" t="s">
        <v>484</v>
      </c>
      <c r="I256" s="112">
        <v>4.8</v>
      </c>
      <c r="J256" s="77" t="s">
        <v>133</v>
      </c>
      <c r="K256" s="84">
        <v>32.270000000000003</v>
      </c>
      <c r="L256" s="86">
        <v>1130</v>
      </c>
      <c r="M256" s="83">
        <v>0.4</v>
      </c>
      <c r="N256" s="87">
        <v>50</v>
      </c>
      <c r="O256">
        <v>5.14</v>
      </c>
      <c r="P256" s="94">
        <v>4.0757038860000003</v>
      </c>
      <c r="Q256" s="81">
        <f t="shared" si="10"/>
        <v>1.2611318544646595</v>
      </c>
      <c r="R256" s="81">
        <f t="shared" si="11"/>
        <v>178134.87444313316</v>
      </c>
      <c r="S256" s="84"/>
      <c r="T256" s="81" t="e">
        <f t="shared" si="12"/>
        <v>#DIV/0!</v>
      </c>
      <c r="U256" s="81" t="e">
        <f>AVERAGE(T254:T256)</f>
        <v>#DIV/0!</v>
      </c>
      <c r="V256" s="81" t="e">
        <f>_xlfn.STDEV.S(T254:T256)</f>
        <v>#DIV/0!</v>
      </c>
      <c r="W256" s="81">
        <f>MAX(K254:K256)-MIN(K254:K256)</f>
        <v>0.41000000000000369</v>
      </c>
    </row>
    <row r="257" spans="1:23" x14ac:dyDescent="0.4">
      <c r="A257" s="85" t="s">
        <v>435</v>
      </c>
      <c r="B257" s="76" t="s">
        <v>174</v>
      </c>
      <c r="C257" s="127"/>
      <c r="D257" s="131"/>
      <c r="E257" s="131"/>
      <c r="F257" s="131"/>
      <c r="G257" s="131"/>
      <c r="H257" s="131"/>
      <c r="I257" s="112"/>
      <c r="J257" s="82"/>
      <c r="K257" s="84"/>
      <c r="L257" s="84"/>
      <c r="M257" s="83"/>
      <c r="N257" s="84"/>
      <c r="P257" s="94"/>
      <c r="Q257" s="81" t="e">
        <f t="shared" si="10"/>
        <v>#DIV/0!</v>
      </c>
      <c r="R257" s="81" t="e">
        <f t="shared" si="11"/>
        <v>#DIV/0!</v>
      </c>
      <c r="S257" s="84"/>
      <c r="T257" s="81" t="e">
        <f t="shared" si="12"/>
        <v>#DIV/0!</v>
      </c>
      <c r="U257" s="81"/>
      <c r="V257" s="84"/>
      <c r="W257" s="84"/>
    </row>
    <row r="258" spans="1:23" x14ac:dyDescent="0.4">
      <c r="A258" s="85" t="s">
        <v>436</v>
      </c>
      <c r="B258" s="76" t="s">
        <v>174</v>
      </c>
      <c r="C258" s="127"/>
      <c r="D258" s="131"/>
      <c r="E258" s="131"/>
      <c r="F258" s="131"/>
      <c r="G258" s="131"/>
      <c r="H258" s="131"/>
      <c r="I258" s="112"/>
      <c r="J258" s="82"/>
      <c r="K258" s="84"/>
      <c r="L258" s="84"/>
      <c r="M258" s="83"/>
      <c r="N258" s="84"/>
      <c r="P258" s="94"/>
      <c r="Q258" s="81" t="e">
        <f t="shared" si="10"/>
        <v>#DIV/0!</v>
      </c>
      <c r="R258" s="81" t="e">
        <f t="shared" si="11"/>
        <v>#DIV/0!</v>
      </c>
      <c r="S258" s="84"/>
      <c r="T258" s="81" t="e">
        <f t="shared" si="12"/>
        <v>#DIV/0!</v>
      </c>
      <c r="U258" s="81"/>
      <c r="V258" s="84"/>
      <c r="W258" s="84"/>
    </row>
    <row r="259" spans="1:23" x14ac:dyDescent="0.4">
      <c r="A259" s="85" t="s">
        <v>437</v>
      </c>
      <c r="B259" s="76" t="s">
        <v>174</v>
      </c>
      <c r="C259" s="127"/>
      <c r="D259" s="131"/>
      <c r="E259" s="131"/>
      <c r="F259" s="131"/>
      <c r="G259" s="131"/>
      <c r="H259" s="131"/>
      <c r="I259" s="112"/>
      <c r="J259" s="82"/>
      <c r="K259" s="84"/>
      <c r="L259" s="84"/>
      <c r="M259" s="83"/>
      <c r="N259" s="84"/>
      <c r="P259" s="94"/>
      <c r="Q259" s="81" t="e">
        <f t="shared" si="10"/>
        <v>#DIV/0!</v>
      </c>
      <c r="R259" s="81" t="e">
        <f t="shared" si="11"/>
        <v>#DIV/0!</v>
      </c>
      <c r="S259" s="84"/>
      <c r="T259" s="81" t="e">
        <f t="shared" si="12"/>
        <v>#DIV/0!</v>
      </c>
      <c r="U259" s="81" t="e">
        <f>AVERAGE(T257:T259)</f>
        <v>#DIV/0!</v>
      </c>
      <c r="V259" s="81" t="e">
        <f>_xlfn.STDEV.S(T257:T259)</f>
        <v>#DIV/0!</v>
      </c>
      <c r="W259" s="81">
        <f>MAX(K257:K259)-MIN(K257:K259)</f>
        <v>0</v>
      </c>
    </row>
    <row r="260" spans="1:23" x14ac:dyDescent="0.4">
      <c r="A260" s="85" t="s">
        <v>438</v>
      </c>
      <c r="B260" s="92" t="s">
        <v>150</v>
      </c>
      <c r="C260" s="127" t="s">
        <v>179</v>
      </c>
      <c r="D260" s="131"/>
      <c r="E260" s="131"/>
      <c r="F260" s="131"/>
      <c r="G260" s="131"/>
      <c r="H260" s="131"/>
      <c r="I260" s="112"/>
      <c r="J260" s="82"/>
      <c r="K260" s="84">
        <v>28.75</v>
      </c>
      <c r="L260" s="86">
        <v>2100</v>
      </c>
      <c r="M260" s="83"/>
      <c r="N260" s="87"/>
      <c r="P260" s="94"/>
      <c r="Q260" s="81" t="e">
        <f t="shared" si="10"/>
        <v>#DIV/0!</v>
      </c>
      <c r="R260" s="81" t="e">
        <f t="shared" si="11"/>
        <v>#DIV/0!</v>
      </c>
      <c r="S260" s="84"/>
      <c r="T260" s="81" t="e">
        <f t="shared" si="12"/>
        <v>#DIV/0!</v>
      </c>
      <c r="U260" s="81"/>
      <c r="V260" s="84"/>
      <c r="W260" s="84"/>
    </row>
    <row r="261" spans="1:23" x14ac:dyDescent="0.4">
      <c r="A261" s="85" t="s">
        <v>439</v>
      </c>
      <c r="B261" s="92" t="s">
        <v>150</v>
      </c>
      <c r="C261" s="127" t="s">
        <v>179</v>
      </c>
      <c r="D261" s="131"/>
      <c r="E261" s="131"/>
      <c r="F261" s="131"/>
      <c r="G261" s="131"/>
      <c r="H261" s="131"/>
      <c r="I261" s="112"/>
      <c r="J261" s="82"/>
      <c r="K261" s="84">
        <v>28.62</v>
      </c>
      <c r="L261" s="86">
        <v>2160</v>
      </c>
      <c r="M261" s="83"/>
      <c r="N261" s="87"/>
      <c r="P261" s="94"/>
      <c r="Q261" s="81" t="e">
        <f t="shared" si="10"/>
        <v>#DIV/0!</v>
      </c>
      <c r="R261" s="81" t="e">
        <f t="shared" si="11"/>
        <v>#DIV/0!</v>
      </c>
      <c r="S261" s="84"/>
      <c r="T261" s="81" t="e">
        <f t="shared" si="12"/>
        <v>#DIV/0!</v>
      </c>
      <c r="U261" s="81"/>
      <c r="V261" s="84"/>
      <c r="W261" s="84"/>
    </row>
    <row r="262" spans="1:23" x14ac:dyDescent="0.4">
      <c r="A262" s="85" t="s">
        <v>440</v>
      </c>
      <c r="B262" s="92" t="s">
        <v>150</v>
      </c>
      <c r="C262" s="127" t="s">
        <v>179</v>
      </c>
      <c r="D262" s="131"/>
      <c r="E262" s="131"/>
      <c r="F262" s="131"/>
      <c r="G262" s="131"/>
      <c r="H262" s="131"/>
      <c r="I262" s="112"/>
      <c r="J262" s="82"/>
      <c r="K262" s="84">
        <v>28.79</v>
      </c>
      <c r="L262" s="86">
        <v>2080</v>
      </c>
      <c r="M262" s="83"/>
      <c r="N262" s="87"/>
      <c r="P262" s="94"/>
      <c r="Q262" s="81" t="e">
        <f t="shared" si="10"/>
        <v>#DIV/0!</v>
      </c>
      <c r="R262" s="81" t="e">
        <f t="shared" si="11"/>
        <v>#DIV/0!</v>
      </c>
      <c r="S262" s="84"/>
      <c r="T262" s="81" t="e">
        <f t="shared" si="12"/>
        <v>#DIV/0!</v>
      </c>
      <c r="U262" s="81" t="e">
        <f>AVERAGE(T260:T262)</f>
        <v>#DIV/0!</v>
      </c>
      <c r="V262" s="81" t="e">
        <f>_xlfn.STDEV.S(T260:T262)</f>
        <v>#DIV/0!</v>
      </c>
      <c r="W262" s="81">
        <f>MAX(K260:K262)-MIN(K260:K262)</f>
        <v>0.16999999999999815</v>
      </c>
    </row>
    <row r="263" spans="1:23" x14ac:dyDescent="0.4">
      <c r="A263" s="85" t="s">
        <v>441</v>
      </c>
      <c r="B263" s="92" t="s">
        <v>130</v>
      </c>
      <c r="C263" s="125" t="s">
        <v>8</v>
      </c>
      <c r="D263" s="129" t="s">
        <v>485</v>
      </c>
      <c r="E263" s="129" t="s">
        <v>484</v>
      </c>
      <c r="F263" s="129" t="s">
        <v>485</v>
      </c>
      <c r="G263" s="129" t="s">
        <v>484</v>
      </c>
      <c r="H263" s="129" t="s">
        <v>484</v>
      </c>
      <c r="I263" s="112">
        <v>5.8</v>
      </c>
      <c r="J263" s="77" t="s">
        <v>133</v>
      </c>
      <c r="K263" s="84">
        <v>29.43</v>
      </c>
      <c r="L263" s="86">
        <v>1810</v>
      </c>
      <c r="M263" s="83">
        <v>0.4</v>
      </c>
      <c r="N263" s="87">
        <v>50</v>
      </c>
      <c r="O263">
        <v>143.59</v>
      </c>
      <c r="P263" s="94">
        <v>6.6052360180000003</v>
      </c>
      <c r="Q263" s="81">
        <f t="shared" si="10"/>
        <v>21.738814420665868</v>
      </c>
      <c r="R263" s="81">
        <f t="shared" si="11"/>
        <v>4918406.7626756523</v>
      </c>
      <c r="S263" s="84"/>
      <c r="T263" s="81" t="e">
        <f t="shared" si="12"/>
        <v>#DIV/0!</v>
      </c>
      <c r="U263" s="81"/>
      <c r="V263" s="84"/>
      <c r="W263" s="84"/>
    </row>
    <row r="264" spans="1:23" x14ac:dyDescent="0.4">
      <c r="A264" s="85" t="s">
        <v>442</v>
      </c>
      <c r="B264" s="92" t="s">
        <v>130</v>
      </c>
      <c r="C264" s="125" t="s">
        <v>8</v>
      </c>
      <c r="D264" s="129" t="s">
        <v>485</v>
      </c>
      <c r="E264" s="129" t="s">
        <v>484</v>
      </c>
      <c r="F264" s="129" t="s">
        <v>485</v>
      </c>
      <c r="G264" s="129" t="s">
        <v>484</v>
      </c>
      <c r="H264" s="129" t="s">
        <v>484</v>
      </c>
      <c r="I264" s="112">
        <v>5.8</v>
      </c>
      <c r="J264" s="77" t="s">
        <v>133</v>
      </c>
      <c r="K264" s="84">
        <v>30.65</v>
      </c>
      <c r="L264" s="86">
        <v>1430</v>
      </c>
      <c r="M264" s="83">
        <v>0.4</v>
      </c>
      <c r="N264" s="87">
        <v>50</v>
      </c>
      <c r="O264">
        <v>143.59</v>
      </c>
      <c r="P264" s="94">
        <v>6.6052360180000003</v>
      </c>
      <c r="Q264" s="81">
        <f t="shared" si="10"/>
        <v>21.738814420665868</v>
      </c>
      <c r="R264" s="81">
        <f t="shared" si="11"/>
        <v>3885813.077694024</v>
      </c>
      <c r="S264" s="84"/>
      <c r="T264" s="81" t="e">
        <f t="shared" si="12"/>
        <v>#DIV/0!</v>
      </c>
      <c r="U264" s="81"/>
      <c r="V264" s="84"/>
      <c r="W264" s="84"/>
    </row>
    <row r="265" spans="1:23" x14ac:dyDescent="0.4">
      <c r="A265" s="85" t="s">
        <v>443</v>
      </c>
      <c r="B265" s="92" t="s">
        <v>130</v>
      </c>
      <c r="C265" s="125" t="s">
        <v>8</v>
      </c>
      <c r="D265" s="129" t="s">
        <v>485</v>
      </c>
      <c r="E265" s="129" t="s">
        <v>484</v>
      </c>
      <c r="F265" s="129" t="s">
        <v>485</v>
      </c>
      <c r="G265" s="129" t="s">
        <v>484</v>
      </c>
      <c r="H265" s="129" t="s">
        <v>484</v>
      </c>
      <c r="I265" s="112">
        <v>5.8</v>
      </c>
      <c r="J265" s="77" t="s">
        <v>133</v>
      </c>
      <c r="K265" s="84">
        <v>27.7</v>
      </c>
      <c r="L265" s="86">
        <v>2710</v>
      </c>
      <c r="M265" s="83">
        <v>0.4</v>
      </c>
      <c r="N265" s="87">
        <v>50</v>
      </c>
      <c r="O265">
        <v>143.59</v>
      </c>
      <c r="P265" s="94">
        <v>6.6052360180000003</v>
      </c>
      <c r="Q265" s="81">
        <f t="shared" si="10"/>
        <v>21.738814420665868</v>
      </c>
      <c r="R265" s="81">
        <f t="shared" si="11"/>
        <v>7364023.3850005623</v>
      </c>
      <c r="S265" s="84"/>
      <c r="T265" s="81" t="e">
        <f t="shared" si="12"/>
        <v>#DIV/0!</v>
      </c>
      <c r="U265" s="81" t="e">
        <f>AVERAGE(T263:T265)</f>
        <v>#DIV/0!</v>
      </c>
      <c r="V265" s="81" t="e">
        <f>_xlfn.STDEV.S(T263:T265)</f>
        <v>#DIV/0!</v>
      </c>
      <c r="W265" s="81">
        <f>MAX(K263:K265)-MIN(K263:K265)</f>
        <v>2.9499999999999993</v>
      </c>
    </row>
    <row r="266" spans="1:23" x14ac:dyDescent="0.4">
      <c r="A266" s="85" t="s">
        <v>444</v>
      </c>
      <c r="B266" s="92" t="s">
        <v>131</v>
      </c>
      <c r="C266" s="125" t="s">
        <v>9</v>
      </c>
      <c r="D266" s="129" t="s">
        <v>485</v>
      </c>
      <c r="E266" s="129" t="s">
        <v>484</v>
      </c>
      <c r="F266" s="129" t="s">
        <v>485</v>
      </c>
      <c r="G266" s="129" t="s">
        <v>485</v>
      </c>
      <c r="H266" s="129" t="s">
        <v>484</v>
      </c>
      <c r="I266" s="112">
        <v>5.8</v>
      </c>
      <c r="J266" s="77" t="s">
        <v>133</v>
      </c>
      <c r="K266" s="84">
        <v>30.74</v>
      </c>
      <c r="L266" s="86">
        <v>1410</v>
      </c>
      <c r="M266" s="83">
        <v>0.4</v>
      </c>
      <c r="N266" s="87">
        <v>50</v>
      </c>
      <c r="O266">
        <v>145.94999999999999</v>
      </c>
      <c r="P266" s="94">
        <v>7.5074601200000002</v>
      </c>
      <c r="Q266" s="81">
        <f t="shared" si="10"/>
        <v>19.440662709774074</v>
      </c>
      <c r="R266" s="81">
        <f t="shared" si="11"/>
        <v>3426416.8025976801</v>
      </c>
      <c r="S266" s="84"/>
      <c r="T266" s="81" t="e">
        <f t="shared" si="12"/>
        <v>#DIV/0!</v>
      </c>
      <c r="U266" s="81"/>
      <c r="V266" s="84"/>
      <c r="W266" s="84"/>
    </row>
    <row r="267" spans="1:23" x14ac:dyDescent="0.4">
      <c r="A267" s="85" t="s">
        <v>445</v>
      </c>
      <c r="B267" s="92" t="s">
        <v>131</v>
      </c>
      <c r="C267" s="125" t="s">
        <v>9</v>
      </c>
      <c r="D267" s="129" t="s">
        <v>485</v>
      </c>
      <c r="E267" s="129" t="s">
        <v>484</v>
      </c>
      <c r="F267" s="129" t="s">
        <v>485</v>
      </c>
      <c r="G267" s="129" t="s">
        <v>485</v>
      </c>
      <c r="H267" s="129" t="s">
        <v>484</v>
      </c>
      <c r="I267" s="112">
        <v>5.8</v>
      </c>
      <c r="J267" s="77" t="s">
        <v>133</v>
      </c>
      <c r="K267" s="84">
        <v>29.42</v>
      </c>
      <c r="L267" s="86">
        <v>1810</v>
      </c>
      <c r="M267" s="83">
        <v>0.4</v>
      </c>
      <c r="N267" s="87">
        <v>50</v>
      </c>
      <c r="O267">
        <v>145.94999999999999</v>
      </c>
      <c r="P267" s="94">
        <v>7.5074601200000002</v>
      </c>
      <c r="Q267" s="81">
        <f t="shared" ref="Q267:Q298" si="13">O267/P267</f>
        <v>19.440662709774074</v>
      </c>
      <c r="R267" s="81">
        <f t="shared" ref="R267:R298" si="14">(L267*N267*Q267)/M267</f>
        <v>4398449.938086384</v>
      </c>
      <c r="S267" s="84"/>
      <c r="T267" s="81" t="e">
        <f t="shared" ref="T267:T298" si="15">R267/S267</f>
        <v>#DIV/0!</v>
      </c>
      <c r="U267" s="81"/>
      <c r="V267" s="84"/>
      <c r="W267" s="84"/>
    </row>
    <row r="268" spans="1:23" x14ac:dyDescent="0.4">
      <c r="A268" s="85" t="s">
        <v>446</v>
      </c>
      <c r="B268" s="92" t="s">
        <v>131</v>
      </c>
      <c r="C268" s="125" t="s">
        <v>9</v>
      </c>
      <c r="D268" s="129" t="s">
        <v>485</v>
      </c>
      <c r="E268" s="129" t="s">
        <v>484</v>
      </c>
      <c r="F268" s="129" t="s">
        <v>485</v>
      </c>
      <c r="G268" s="129" t="s">
        <v>485</v>
      </c>
      <c r="H268" s="129" t="s">
        <v>484</v>
      </c>
      <c r="I268" s="112">
        <v>5.8</v>
      </c>
      <c r="J268" s="77" t="s">
        <v>133</v>
      </c>
      <c r="K268" s="84">
        <v>28.83</v>
      </c>
      <c r="L268" s="86">
        <v>2060</v>
      </c>
      <c r="M268" s="83">
        <v>0.4</v>
      </c>
      <c r="N268" s="87">
        <v>50</v>
      </c>
      <c r="O268">
        <v>145.94999999999999</v>
      </c>
      <c r="P268" s="94">
        <v>7.5074601200000002</v>
      </c>
      <c r="Q268" s="81">
        <f t="shared" si="13"/>
        <v>19.440662709774074</v>
      </c>
      <c r="R268" s="81">
        <f t="shared" si="14"/>
        <v>5005970.6477668239</v>
      </c>
      <c r="S268" s="84"/>
      <c r="T268" s="81" t="e">
        <f t="shared" si="15"/>
        <v>#DIV/0!</v>
      </c>
      <c r="U268" s="81" t="e">
        <f>AVERAGE(T266:T268)</f>
        <v>#DIV/0!</v>
      </c>
      <c r="V268" s="81" t="e">
        <f>_xlfn.STDEV.S(T266:T268)</f>
        <v>#DIV/0!</v>
      </c>
      <c r="W268" s="81">
        <f>MAX(K266:K268)-MIN(K266:K268)</f>
        <v>1.9100000000000001</v>
      </c>
    </row>
    <row r="269" spans="1:23" x14ac:dyDescent="0.4">
      <c r="A269" s="85" t="s">
        <v>447</v>
      </c>
      <c r="B269" s="76" t="s">
        <v>174</v>
      </c>
      <c r="C269" s="127"/>
      <c r="D269" s="131"/>
      <c r="E269" s="131"/>
      <c r="F269" s="131"/>
      <c r="G269" s="131"/>
      <c r="H269" s="131"/>
      <c r="I269" s="112"/>
      <c r="J269" s="82"/>
      <c r="K269" s="84"/>
      <c r="L269" s="84"/>
      <c r="M269" s="83"/>
      <c r="N269" s="84"/>
      <c r="P269" s="94"/>
      <c r="Q269" s="81" t="e">
        <f t="shared" si="13"/>
        <v>#DIV/0!</v>
      </c>
      <c r="R269" s="81" t="e">
        <f t="shared" si="14"/>
        <v>#DIV/0!</v>
      </c>
      <c r="S269" s="84"/>
      <c r="T269" s="81" t="e">
        <f t="shared" si="15"/>
        <v>#DIV/0!</v>
      </c>
      <c r="U269" s="81"/>
      <c r="V269" s="84"/>
      <c r="W269" s="84"/>
    </row>
    <row r="270" spans="1:23" x14ac:dyDescent="0.4">
      <c r="A270" s="85" t="s">
        <v>448</v>
      </c>
      <c r="B270" s="76" t="s">
        <v>174</v>
      </c>
      <c r="C270" s="127"/>
      <c r="D270" s="131"/>
      <c r="E270" s="131"/>
      <c r="F270" s="131"/>
      <c r="G270" s="131"/>
      <c r="H270" s="131"/>
      <c r="I270" s="112"/>
      <c r="J270" s="82"/>
      <c r="K270" s="84"/>
      <c r="L270" s="84"/>
      <c r="M270" s="83"/>
      <c r="N270" s="84"/>
      <c r="P270" s="94"/>
      <c r="Q270" s="81" t="e">
        <f t="shared" si="13"/>
        <v>#DIV/0!</v>
      </c>
      <c r="R270" s="81" t="e">
        <f t="shared" si="14"/>
        <v>#DIV/0!</v>
      </c>
      <c r="S270" s="84"/>
      <c r="T270" s="81" t="e">
        <f t="shared" si="15"/>
        <v>#DIV/0!</v>
      </c>
      <c r="U270" s="81"/>
      <c r="V270" s="84"/>
      <c r="W270" s="84"/>
    </row>
    <row r="271" spans="1:23" x14ac:dyDescent="0.4">
      <c r="A271" s="85" t="s">
        <v>449</v>
      </c>
      <c r="B271" s="76" t="s">
        <v>174</v>
      </c>
      <c r="C271" s="127"/>
      <c r="D271" s="131"/>
      <c r="E271" s="131"/>
      <c r="F271" s="131"/>
      <c r="G271" s="131"/>
      <c r="H271" s="131"/>
      <c r="I271" s="112"/>
      <c r="J271" s="82"/>
      <c r="K271" s="84"/>
      <c r="L271" s="84"/>
      <c r="M271" s="83"/>
      <c r="N271" s="84"/>
      <c r="P271" s="94"/>
      <c r="Q271" s="81" t="e">
        <f t="shared" si="13"/>
        <v>#DIV/0!</v>
      </c>
      <c r="R271" s="81" t="e">
        <f t="shared" si="14"/>
        <v>#DIV/0!</v>
      </c>
      <c r="S271" s="84"/>
      <c r="T271" s="81" t="e">
        <f t="shared" si="15"/>
        <v>#DIV/0!</v>
      </c>
      <c r="U271" s="81" t="e">
        <f>AVERAGE(T269:T271)</f>
        <v>#DIV/0!</v>
      </c>
      <c r="V271" s="81" t="e">
        <f>_xlfn.STDEV.S(T269:T271)</f>
        <v>#DIV/0!</v>
      </c>
      <c r="W271" s="81">
        <f>MAX(K269:K271)-MIN(K269:K271)</f>
        <v>0</v>
      </c>
    </row>
    <row r="272" spans="1:23" x14ac:dyDescent="0.4">
      <c r="A272" s="85" t="s">
        <v>450</v>
      </c>
      <c r="B272" s="92" t="s">
        <v>151</v>
      </c>
      <c r="C272" s="127" t="s">
        <v>180</v>
      </c>
      <c r="D272" s="131"/>
      <c r="E272" s="131"/>
      <c r="F272" s="131"/>
      <c r="G272" s="131"/>
      <c r="H272" s="131"/>
      <c r="I272" s="112"/>
      <c r="J272" s="82"/>
      <c r="K272" s="84">
        <v>31.53</v>
      </c>
      <c r="L272" s="86">
        <v>1250</v>
      </c>
      <c r="M272" s="83"/>
      <c r="N272" s="84"/>
      <c r="P272" s="94"/>
      <c r="Q272" s="81" t="e">
        <f t="shared" si="13"/>
        <v>#DIV/0!</v>
      </c>
      <c r="R272" s="81" t="e">
        <f t="shared" si="14"/>
        <v>#DIV/0!</v>
      </c>
      <c r="S272" s="84"/>
      <c r="T272" s="81" t="e">
        <f t="shared" si="15"/>
        <v>#DIV/0!</v>
      </c>
      <c r="U272" s="81"/>
      <c r="V272" s="84"/>
      <c r="W272" s="84"/>
    </row>
    <row r="273" spans="1:23" x14ac:dyDescent="0.4">
      <c r="A273" s="85" t="s">
        <v>451</v>
      </c>
      <c r="B273" s="92" t="s">
        <v>151</v>
      </c>
      <c r="C273" s="127" t="s">
        <v>180</v>
      </c>
      <c r="D273" s="131"/>
      <c r="E273" s="131"/>
      <c r="F273" s="131"/>
      <c r="G273" s="131"/>
      <c r="H273" s="131"/>
      <c r="I273" s="112"/>
      <c r="J273" s="82"/>
      <c r="K273" s="84">
        <v>31.79</v>
      </c>
      <c r="L273" s="86">
        <v>1200</v>
      </c>
      <c r="M273" s="83"/>
      <c r="N273" s="84"/>
      <c r="P273" s="94"/>
      <c r="Q273" s="81" t="e">
        <f t="shared" si="13"/>
        <v>#DIV/0!</v>
      </c>
      <c r="R273" s="81" t="e">
        <f t="shared" si="14"/>
        <v>#DIV/0!</v>
      </c>
      <c r="S273" s="84"/>
      <c r="T273" s="81" t="e">
        <f t="shared" si="15"/>
        <v>#DIV/0!</v>
      </c>
      <c r="U273" s="81"/>
      <c r="V273" s="84"/>
      <c r="W273" s="84"/>
    </row>
    <row r="274" spans="1:23" x14ac:dyDescent="0.4">
      <c r="A274" s="85" t="s">
        <v>452</v>
      </c>
      <c r="B274" s="92" t="s">
        <v>151</v>
      </c>
      <c r="C274" s="127" t="s">
        <v>180</v>
      </c>
      <c r="D274" s="131"/>
      <c r="E274" s="131"/>
      <c r="F274" s="131"/>
      <c r="G274" s="131"/>
      <c r="H274" s="131"/>
      <c r="I274" s="112"/>
      <c r="J274" s="82"/>
      <c r="K274" s="84">
        <v>31.23</v>
      </c>
      <c r="L274" s="86">
        <v>1300</v>
      </c>
      <c r="M274" s="83"/>
      <c r="N274" s="84"/>
      <c r="P274" s="94"/>
      <c r="Q274" s="81" t="e">
        <f t="shared" si="13"/>
        <v>#DIV/0!</v>
      </c>
      <c r="R274" s="81" t="e">
        <f t="shared" si="14"/>
        <v>#DIV/0!</v>
      </c>
      <c r="S274" s="84"/>
      <c r="T274" s="81" t="e">
        <f t="shared" si="15"/>
        <v>#DIV/0!</v>
      </c>
      <c r="U274" s="81" t="e">
        <f>AVERAGE(T272:T274)</f>
        <v>#DIV/0!</v>
      </c>
      <c r="V274" s="81" t="e">
        <f>_xlfn.STDEV.S(T272:T274)</f>
        <v>#DIV/0!</v>
      </c>
      <c r="W274" s="81">
        <f>MAX(K272:K274)-MIN(K272:K274)</f>
        <v>0.55999999999999872</v>
      </c>
    </row>
    <row r="275" spans="1:23" x14ac:dyDescent="0.4">
      <c r="A275" s="85" t="s">
        <v>453</v>
      </c>
      <c r="B275" s="92" t="s">
        <v>138</v>
      </c>
      <c r="C275" s="127" t="s">
        <v>181</v>
      </c>
      <c r="D275" s="131"/>
      <c r="E275" s="131"/>
      <c r="F275" s="131"/>
      <c r="G275" s="131"/>
      <c r="H275" s="131"/>
      <c r="I275" s="112"/>
      <c r="J275" s="82"/>
      <c r="K275" s="84">
        <v>15.1</v>
      </c>
      <c r="L275" s="86">
        <v>685000</v>
      </c>
      <c r="M275" s="83">
        <v>0.4</v>
      </c>
      <c r="N275" s="87">
        <v>50</v>
      </c>
      <c r="O275">
        <v>32.68</v>
      </c>
      <c r="P275" s="94">
        <v>7.2550884509999998</v>
      </c>
      <c r="Q275" s="81">
        <f t="shared" si="13"/>
        <v>4.5044247524639864</v>
      </c>
      <c r="R275" s="81">
        <f t="shared" si="14"/>
        <v>385691369.42972881</v>
      </c>
      <c r="S275" s="84"/>
      <c r="T275" s="81" t="e">
        <f t="shared" si="15"/>
        <v>#DIV/0!</v>
      </c>
      <c r="U275" s="81"/>
      <c r="V275" s="84"/>
      <c r="W275" s="84"/>
    </row>
    <row r="276" spans="1:23" x14ac:dyDescent="0.4">
      <c r="A276" s="85" t="s">
        <v>454</v>
      </c>
      <c r="B276" s="92" t="s">
        <v>138</v>
      </c>
      <c r="C276" s="127" t="s">
        <v>181</v>
      </c>
      <c r="D276" s="131"/>
      <c r="E276" s="131"/>
      <c r="F276" s="131"/>
      <c r="G276" s="131"/>
      <c r="H276" s="131"/>
      <c r="I276" s="112"/>
      <c r="J276" s="82"/>
      <c r="K276" s="84">
        <v>16.760000000000002</v>
      </c>
      <c r="L276" s="86">
        <v>254000</v>
      </c>
      <c r="M276" s="83">
        <v>0.4</v>
      </c>
      <c r="N276" s="87">
        <v>50</v>
      </c>
      <c r="O276">
        <v>32.68</v>
      </c>
      <c r="P276" s="94">
        <v>7.2550884509999998</v>
      </c>
      <c r="Q276" s="81">
        <f t="shared" si="13"/>
        <v>4.5044247524639864</v>
      </c>
      <c r="R276" s="81">
        <f t="shared" si="14"/>
        <v>143015485.89073157</v>
      </c>
      <c r="S276" s="84"/>
      <c r="T276" s="81" t="e">
        <f t="shared" si="15"/>
        <v>#DIV/0!</v>
      </c>
      <c r="U276" s="81"/>
      <c r="V276" s="84"/>
      <c r="W276" s="84"/>
    </row>
    <row r="277" spans="1:23" x14ac:dyDescent="0.4">
      <c r="A277" s="85" t="s">
        <v>455</v>
      </c>
      <c r="B277" s="92" t="s">
        <v>138</v>
      </c>
      <c r="C277" s="127" t="s">
        <v>181</v>
      </c>
      <c r="D277" s="131"/>
      <c r="E277" s="131"/>
      <c r="F277" s="131"/>
      <c r="G277" s="131"/>
      <c r="H277" s="131"/>
      <c r="I277" s="112"/>
      <c r="J277" s="82"/>
      <c r="K277" s="84">
        <v>14.65</v>
      </c>
      <c r="L277" s="86">
        <v>907000</v>
      </c>
      <c r="M277" s="83">
        <v>0.4</v>
      </c>
      <c r="N277" s="87">
        <v>50</v>
      </c>
      <c r="O277">
        <v>32.68</v>
      </c>
      <c r="P277" s="94">
        <v>7.2550884509999998</v>
      </c>
      <c r="Q277" s="81">
        <f t="shared" si="13"/>
        <v>4.5044247524639864</v>
      </c>
      <c r="R277" s="81">
        <f t="shared" si="14"/>
        <v>510689156.31060439</v>
      </c>
      <c r="S277" s="84"/>
      <c r="T277" s="81" t="e">
        <f t="shared" si="15"/>
        <v>#DIV/0!</v>
      </c>
      <c r="U277" s="81" t="e">
        <f>AVERAGE(T275:T277)</f>
        <v>#DIV/0!</v>
      </c>
      <c r="V277" s="81" t="e">
        <f>_xlfn.STDEV.S(T275:T277)</f>
        <v>#DIV/0!</v>
      </c>
      <c r="W277" s="81">
        <f>MAX(K275:K277)-MIN(K275:K277)</f>
        <v>2.1100000000000012</v>
      </c>
    </row>
    <row r="278" spans="1:23" x14ac:dyDescent="0.4">
      <c r="A278" s="85" t="s">
        <v>456</v>
      </c>
      <c r="B278" s="92" t="s">
        <v>138</v>
      </c>
      <c r="C278" s="127" t="s">
        <v>181</v>
      </c>
      <c r="D278" s="131"/>
      <c r="E278" s="131"/>
      <c r="F278" s="131"/>
      <c r="G278" s="131"/>
      <c r="H278" s="131"/>
      <c r="I278" s="112"/>
      <c r="J278" s="82"/>
      <c r="K278" s="84">
        <v>15.95</v>
      </c>
      <c r="L278" s="86">
        <v>408000</v>
      </c>
      <c r="M278" s="83">
        <v>0.4</v>
      </c>
      <c r="N278" s="87">
        <v>50</v>
      </c>
      <c r="O278">
        <v>36.909999999999997</v>
      </c>
      <c r="P278" s="94">
        <v>6.9136389979999997</v>
      </c>
      <c r="Q278" s="81">
        <f t="shared" si="13"/>
        <v>5.338722489079549</v>
      </c>
      <c r="R278" s="81">
        <f t="shared" si="14"/>
        <v>272274846.943057</v>
      </c>
      <c r="S278" s="84"/>
      <c r="T278" s="81" t="e">
        <f t="shared" si="15"/>
        <v>#DIV/0!</v>
      </c>
      <c r="U278" s="81"/>
      <c r="V278" s="84"/>
      <c r="W278" s="84"/>
    </row>
    <row r="279" spans="1:23" x14ac:dyDescent="0.4">
      <c r="A279" s="85" t="s">
        <v>457</v>
      </c>
      <c r="B279" s="92" t="s">
        <v>138</v>
      </c>
      <c r="C279" s="127" t="s">
        <v>181</v>
      </c>
      <c r="D279" s="131"/>
      <c r="E279" s="131"/>
      <c r="F279" s="131"/>
      <c r="G279" s="131"/>
      <c r="H279" s="131"/>
      <c r="I279" s="112"/>
      <c r="J279" s="82"/>
      <c r="K279" s="84">
        <v>14.92</v>
      </c>
      <c r="L279" s="86">
        <v>764000</v>
      </c>
      <c r="M279" s="83">
        <v>0.4</v>
      </c>
      <c r="N279" s="87">
        <v>50</v>
      </c>
      <c r="O279">
        <v>36.909999999999997</v>
      </c>
      <c r="P279" s="94">
        <v>6.9136389979999997</v>
      </c>
      <c r="Q279" s="81">
        <f t="shared" si="13"/>
        <v>5.338722489079549</v>
      </c>
      <c r="R279" s="81">
        <f t="shared" si="14"/>
        <v>509847997.70709693</v>
      </c>
      <c r="S279" s="84"/>
      <c r="T279" s="81" t="e">
        <f t="shared" si="15"/>
        <v>#DIV/0!</v>
      </c>
      <c r="U279" s="81"/>
      <c r="V279" s="84"/>
      <c r="W279" s="84"/>
    </row>
    <row r="280" spans="1:23" x14ac:dyDescent="0.4">
      <c r="A280" s="85" t="s">
        <v>458</v>
      </c>
      <c r="B280" s="92" t="s">
        <v>138</v>
      </c>
      <c r="C280" s="127" t="s">
        <v>181</v>
      </c>
      <c r="D280" s="131"/>
      <c r="E280" s="131"/>
      <c r="F280" s="131"/>
      <c r="G280" s="131"/>
      <c r="H280" s="131"/>
      <c r="I280" s="112"/>
      <c r="J280" s="82"/>
      <c r="K280" s="84">
        <v>15.07</v>
      </c>
      <c r="L280" s="86">
        <v>698000</v>
      </c>
      <c r="M280" s="83">
        <v>0.4</v>
      </c>
      <c r="N280" s="87">
        <v>50</v>
      </c>
      <c r="O280">
        <v>36.909999999999997</v>
      </c>
      <c r="P280" s="94">
        <v>6.9136389979999997</v>
      </c>
      <c r="Q280" s="81">
        <f t="shared" si="13"/>
        <v>5.338722489079549</v>
      </c>
      <c r="R280" s="81">
        <f t="shared" si="14"/>
        <v>465803537.17219061</v>
      </c>
      <c r="S280" s="84"/>
      <c r="T280" s="81" t="e">
        <f t="shared" si="15"/>
        <v>#DIV/0!</v>
      </c>
      <c r="U280" s="81" t="e">
        <f>AVERAGE(T278:T280)</f>
        <v>#DIV/0!</v>
      </c>
      <c r="V280" s="81" t="e">
        <f>_xlfn.STDEV.S(T278:T280)</f>
        <v>#DIV/0!</v>
      </c>
      <c r="W280" s="81">
        <f>MAX(K278:K280)-MIN(K278:K280)</f>
        <v>1.0299999999999994</v>
      </c>
    </row>
    <row r="281" spans="1:23" x14ac:dyDescent="0.4">
      <c r="A281" s="85" t="s">
        <v>459</v>
      </c>
      <c r="B281" s="92" t="s">
        <v>139</v>
      </c>
      <c r="C281" s="127" t="s">
        <v>183</v>
      </c>
      <c r="D281" s="131"/>
      <c r="E281" s="131"/>
      <c r="F281" s="131"/>
      <c r="G281" s="131"/>
      <c r="H281" s="131"/>
      <c r="I281" s="112"/>
      <c r="J281" s="82"/>
      <c r="K281" s="84">
        <v>15.71</v>
      </c>
      <c r="L281" s="86">
        <v>472000</v>
      </c>
      <c r="M281" s="83">
        <v>0.4</v>
      </c>
      <c r="N281" s="87">
        <v>50</v>
      </c>
      <c r="O281" s="96">
        <v>13.945656868071055</v>
      </c>
      <c r="P281" s="94">
        <v>6.5039735009999999</v>
      </c>
      <c r="Q281" s="81">
        <f t="shared" si="13"/>
        <v>2.1441749210581622</v>
      </c>
      <c r="R281" s="81">
        <f t="shared" si="14"/>
        <v>126506320.34243156</v>
      </c>
      <c r="S281" s="84"/>
      <c r="T281" s="81" t="e">
        <f t="shared" si="15"/>
        <v>#DIV/0!</v>
      </c>
      <c r="U281" s="81"/>
      <c r="V281" s="84"/>
      <c r="W281" s="84"/>
    </row>
    <row r="282" spans="1:23" x14ac:dyDescent="0.4">
      <c r="A282" s="85" t="s">
        <v>460</v>
      </c>
      <c r="B282" s="92" t="s">
        <v>139</v>
      </c>
      <c r="C282" s="127" t="s">
        <v>183</v>
      </c>
      <c r="D282" s="131"/>
      <c r="E282" s="131"/>
      <c r="F282" s="131"/>
      <c r="G282" s="131"/>
      <c r="H282" s="131"/>
      <c r="I282" s="112"/>
      <c r="J282" s="82"/>
      <c r="K282" s="84">
        <v>16.09</v>
      </c>
      <c r="L282" s="86">
        <v>376000</v>
      </c>
      <c r="M282" s="83">
        <v>0.4</v>
      </c>
      <c r="N282" s="87">
        <v>50</v>
      </c>
      <c r="O282" s="96">
        <v>13.945656868071055</v>
      </c>
      <c r="P282" s="94">
        <v>6.5039735009999999</v>
      </c>
      <c r="Q282" s="81">
        <f t="shared" si="13"/>
        <v>2.1441749210581622</v>
      </c>
      <c r="R282" s="81">
        <f t="shared" si="14"/>
        <v>100776221.28973362</v>
      </c>
      <c r="S282" s="84"/>
      <c r="T282" s="81" t="e">
        <f t="shared" si="15"/>
        <v>#DIV/0!</v>
      </c>
      <c r="U282" s="81"/>
      <c r="V282" s="84"/>
      <c r="W282" s="84"/>
    </row>
    <row r="283" spans="1:23" x14ac:dyDescent="0.4">
      <c r="A283" s="85" t="s">
        <v>461</v>
      </c>
      <c r="B283" s="92" t="s">
        <v>139</v>
      </c>
      <c r="C283" s="127" t="s">
        <v>183</v>
      </c>
      <c r="D283" s="131"/>
      <c r="E283" s="131"/>
      <c r="F283" s="131"/>
      <c r="G283" s="131"/>
      <c r="H283" s="131"/>
      <c r="I283" s="112"/>
      <c r="J283" s="82"/>
      <c r="K283" s="84">
        <v>16.23</v>
      </c>
      <c r="L283" s="86">
        <v>345000</v>
      </c>
      <c r="M283" s="83">
        <v>0.4</v>
      </c>
      <c r="N283" s="87">
        <v>50</v>
      </c>
      <c r="O283" s="96">
        <v>13.945656868071055</v>
      </c>
      <c r="P283" s="94">
        <v>6.5039735009999999</v>
      </c>
      <c r="Q283" s="81">
        <f t="shared" si="13"/>
        <v>2.1441749210581622</v>
      </c>
      <c r="R283" s="81">
        <f t="shared" si="14"/>
        <v>92467543.470633253</v>
      </c>
      <c r="S283" s="84"/>
      <c r="T283" s="81" t="e">
        <f t="shared" si="15"/>
        <v>#DIV/0!</v>
      </c>
      <c r="U283" s="81" t="e">
        <f>AVERAGE(T281:T283)</f>
        <v>#DIV/0!</v>
      </c>
      <c r="V283" s="81" t="e">
        <f>_xlfn.STDEV.S(T281:T283)</f>
        <v>#DIV/0!</v>
      </c>
      <c r="W283" s="81">
        <f>MAX(K281:K283)-MIN(K281:K283)</f>
        <v>0.51999999999999957</v>
      </c>
    </row>
    <row r="284" spans="1:23" x14ac:dyDescent="0.4">
      <c r="A284" s="85" t="s">
        <v>462</v>
      </c>
      <c r="B284" s="92" t="s">
        <v>152</v>
      </c>
      <c r="C284" s="127" t="s">
        <v>184</v>
      </c>
      <c r="D284" s="131"/>
      <c r="E284" s="131"/>
      <c r="F284" s="131"/>
      <c r="G284" s="131"/>
      <c r="H284" s="131"/>
      <c r="I284" s="112"/>
      <c r="J284" s="82"/>
      <c r="K284" s="84">
        <v>35</v>
      </c>
      <c r="L284" s="86">
        <v>888</v>
      </c>
      <c r="M284" s="83"/>
      <c r="N284" s="87"/>
      <c r="O284" s="97"/>
      <c r="P284" s="94"/>
      <c r="Q284" s="81" t="e">
        <f t="shared" si="13"/>
        <v>#DIV/0!</v>
      </c>
      <c r="R284" s="81" t="e">
        <f t="shared" si="14"/>
        <v>#DIV/0!</v>
      </c>
      <c r="S284" s="84"/>
      <c r="T284" s="81" t="e">
        <f t="shared" si="15"/>
        <v>#DIV/0!</v>
      </c>
      <c r="U284" s="81"/>
      <c r="V284" s="84"/>
      <c r="W284" s="84"/>
    </row>
    <row r="285" spans="1:23" x14ac:dyDescent="0.4">
      <c r="A285" s="85" t="s">
        <v>463</v>
      </c>
      <c r="B285" s="92" t="s">
        <v>152</v>
      </c>
      <c r="C285" s="127" t="s">
        <v>184</v>
      </c>
      <c r="D285" s="131"/>
      <c r="E285" s="131"/>
      <c r="F285" s="131"/>
      <c r="G285" s="131"/>
      <c r="H285" s="131"/>
      <c r="I285" s="112"/>
      <c r="J285" s="82"/>
      <c r="K285" s="84">
        <v>35</v>
      </c>
      <c r="L285" s="86">
        <v>888</v>
      </c>
      <c r="M285" s="83"/>
      <c r="N285" s="87"/>
      <c r="O285" s="97"/>
      <c r="P285" s="94"/>
      <c r="Q285" s="81" t="e">
        <f t="shared" si="13"/>
        <v>#DIV/0!</v>
      </c>
      <c r="R285" s="81" t="e">
        <f t="shared" si="14"/>
        <v>#DIV/0!</v>
      </c>
      <c r="S285" s="84"/>
      <c r="T285" s="81" t="e">
        <f t="shared" si="15"/>
        <v>#DIV/0!</v>
      </c>
      <c r="U285" s="81"/>
      <c r="V285" s="84"/>
      <c r="W285" s="84"/>
    </row>
    <row r="286" spans="1:23" x14ac:dyDescent="0.4">
      <c r="A286" s="85" t="s">
        <v>464</v>
      </c>
      <c r="B286" s="92" t="s">
        <v>152</v>
      </c>
      <c r="C286" s="127" t="s">
        <v>184</v>
      </c>
      <c r="D286" s="131"/>
      <c r="E286" s="131"/>
      <c r="F286" s="131"/>
      <c r="G286" s="131"/>
      <c r="H286" s="131"/>
      <c r="I286" s="112"/>
      <c r="J286" s="82"/>
      <c r="K286" s="84">
        <v>35</v>
      </c>
      <c r="L286" s="86">
        <v>888</v>
      </c>
      <c r="M286" s="83"/>
      <c r="N286" s="87"/>
      <c r="O286" s="97"/>
      <c r="P286" s="94"/>
      <c r="Q286" s="81" t="e">
        <f t="shared" si="13"/>
        <v>#DIV/0!</v>
      </c>
      <c r="R286" s="81" t="e">
        <f t="shared" si="14"/>
        <v>#DIV/0!</v>
      </c>
      <c r="S286" s="84"/>
      <c r="T286" s="81" t="e">
        <f t="shared" si="15"/>
        <v>#DIV/0!</v>
      </c>
      <c r="U286" s="81" t="e">
        <f>AVERAGE(T284:T286)</f>
        <v>#DIV/0!</v>
      </c>
      <c r="V286" s="81" t="e">
        <f>_xlfn.STDEV.S(T284:T286)</f>
        <v>#DIV/0!</v>
      </c>
      <c r="W286" s="81">
        <f>MAX(K284:K286)-MIN(K284:K286)</f>
        <v>0</v>
      </c>
    </row>
    <row r="287" spans="1:23" x14ac:dyDescent="0.4">
      <c r="A287" s="85" t="s">
        <v>465</v>
      </c>
      <c r="B287" s="92" t="s">
        <v>145</v>
      </c>
      <c r="C287" s="127" t="s">
        <v>185</v>
      </c>
      <c r="D287" s="131"/>
      <c r="E287" s="131"/>
      <c r="F287" s="131"/>
      <c r="G287" s="131"/>
      <c r="H287" s="131"/>
      <c r="I287" s="112"/>
      <c r="J287" s="82"/>
      <c r="K287" s="84">
        <v>33.36</v>
      </c>
      <c r="L287" s="86">
        <v>998</v>
      </c>
      <c r="M287" s="83"/>
      <c r="N287" s="84"/>
      <c r="O287" s="97"/>
      <c r="P287" s="94"/>
      <c r="Q287" s="81" t="e">
        <f t="shared" si="13"/>
        <v>#DIV/0!</v>
      </c>
      <c r="R287" s="81" t="e">
        <f t="shared" si="14"/>
        <v>#DIV/0!</v>
      </c>
      <c r="S287" s="84"/>
      <c r="T287" s="81" t="e">
        <f t="shared" si="15"/>
        <v>#DIV/0!</v>
      </c>
      <c r="U287" s="81"/>
      <c r="V287" s="84"/>
      <c r="W287" s="84"/>
    </row>
    <row r="288" spans="1:23" x14ac:dyDescent="0.4">
      <c r="A288" s="85" t="s">
        <v>466</v>
      </c>
      <c r="B288" s="92" t="s">
        <v>145</v>
      </c>
      <c r="C288" s="127" t="s">
        <v>185</v>
      </c>
      <c r="D288" s="131"/>
      <c r="E288" s="131"/>
      <c r="F288" s="131"/>
      <c r="G288" s="131"/>
      <c r="H288" s="131"/>
      <c r="I288" s="112"/>
      <c r="J288" s="82"/>
      <c r="K288" s="84">
        <v>35</v>
      </c>
      <c r="L288" s="86">
        <v>888</v>
      </c>
      <c r="M288" s="83"/>
      <c r="N288" s="84"/>
      <c r="O288" s="97"/>
      <c r="P288" s="94"/>
      <c r="Q288" s="81" t="e">
        <f t="shared" si="13"/>
        <v>#DIV/0!</v>
      </c>
      <c r="R288" s="81" t="e">
        <f t="shared" si="14"/>
        <v>#DIV/0!</v>
      </c>
      <c r="S288" s="84"/>
      <c r="T288" s="81" t="e">
        <f t="shared" si="15"/>
        <v>#DIV/0!</v>
      </c>
      <c r="U288" s="81"/>
      <c r="V288" s="84"/>
      <c r="W288" s="84"/>
    </row>
    <row r="289" spans="1:23" x14ac:dyDescent="0.4">
      <c r="A289" s="85" t="s">
        <v>467</v>
      </c>
      <c r="B289" s="92" t="s">
        <v>145</v>
      </c>
      <c r="C289" s="127" t="s">
        <v>185</v>
      </c>
      <c r="D289" s="131"/>
      <c r="E289" s="131"/>
      <c r="F289" s="131"/>
      <c r="G289" s="131"/>
      <c r="H289" s="131"/>
      <c r="I289" s="112"/>
      <c r="J289" s="82"/>
      <c r="K289" s="84">
        <v>35</v>
      </c>
      <c r="L289" s="86">
        <v>888</v>
      </c>
      <c r="M289" s="83"/>
      <c r="N289" s="84"/>
      <c r="O289" s="97"/>
      <c r="P289" s="94"/>
      <c r="Q289" s="81" t="e">
        <f t="shared" si="13"/>
        <v>#DIV/0!</v>
      </c>
      <c r="R289" s="81" t="e">
        <f t="shared" si="14"/>
        <v>#DIV/0!</v>
      </c>
      <c r="S289" s="84"/>
      <c r="T289" s="81" t="e">
        <f t="shared" si="15"/>
        <v>#DIV/0!</v>
      </c>
      <c r="U289" s="81" t="e">
        <f>AVERAGE(T287:T289)</f>
        <v>#DIV/0!</v>
      </c>
      <c r="V289" s="81" t="e">
        <f>_xlfn.STDEV.S(T287:T289)</f>
        <v>#DIV/0!</v>
      </c>
      <c r="W289" s="81">
        <f>MAX(K287:K289)-MIN(K287:K289)</f>
        <v>1.6400000000000006</v>
      </c>
    </row>
    <row r="290" spans="1:23" x14ac:dyDescent="0.4">
      <c r="A290" s="85" t="s">
        <v>468</v>
      </c>
      <c r="B290" s="76" t="s">
        <v>174</v>
      </c>
      <c r="C290" s="127"/>
      <c r="D290" s="131"/>
      <c r="E290" s="131"/>
      <c r="F290" s="131"/>
      <c r="G290" s="131"/>
      <c r="H290" s="131"/>
      <c r="I290" s="112"/>
      <c r="J290" s="82"/>
      <c r="K290" s="84"/>
      <c r="L290" s="84"/>
      <c r="M290" s="83"/>
      <c r="N290" s="84"/>
      <c r="O290" s="97"/>
      <c r="P290" s="94"/>
      <c r="Q290" s="81" t="e">
        <f t="shared" si="13"/>
        <v>#DIV/0!</v>
      </c>
      <c r="R290" s="81" t="e">
        <f t="shared" si="14"/>
        <v>#DIV/0!</v>
      </c>
      <c r="S290" s="84"/>
      <c r="T290" s="81" t="e">
        <f t="shared" si="15"/>
        <v>#DIV/0!</v>
      </c>
      <c r="U290" s="81"/>
      <c r="V290" s="84"/>
      <c r="W290" s="84"/>
    </row>
    <row r="291" spans="1:23" x14ac:dyDescent="0.4">
      <c r="A291" s="85" t="s">
        <v>469</v>
      </c>
      <c r="B291" s="76" t="s">
        <v>174</v>
      </c>
      <c r="C291" s="127"/>
      <c r="D291" s="131"/>
      <c r="E291" s="131"/>
      <c r="F291" s="131"/>
      <c r="G291" s="131"/>
      <c r="H291" s="131"/>
      <c r="I291" s="112"/>
      <c r="J291" s="82"/>
      <c r="K291" s="84"/>
      <c r="L291" s="84"/>
      <c r="M291" s="83"/>
      <c r="N291" s="84"/>
      <c r="O291" s="97"/>
      <c r="P291" s="94"/>
      <c r="Q291" s="81" t="e">
        <f t="shared" si="13"/>
        <v>#DIV/0!</v>
      </c>
      <c r="R291" s="81" t="e">
        <f t="shared" si="14"/>
        <v>#DIV/0!</v>
      </c>
      <c r="S291" s="84"/>
      <c r="T291" s="81" t="e">
        <f t="shared" si="15"/>
        <v>#DIV/0!</v>
      </c>
      <c r="U291" s="81"/>
      <c r="V291" s="84"/>
      <c r="W291" s="84"/>
    </row>
    <row r="292" spans="1:23" x14ac:dyDescent="0.4">
      <c r="A292" s="85" t="s">
        <v>470</v>
      </c>
      <c r="B292" s="76" t="s">
        <v>174</v>
      </c>
      <c r="C292" s="127"/>
      <c r="D292" s="131"/>
      <c r="E292" s="131"/>
      <c r="F292" s="131"/>
      <c r="G292" s="131"/>
      <c r="H292" s="131"/>
      <c r="I292" s="112"/>
      <c r="J292" s="82"/>
      <c r="K292" s="84"/>
      <c r="L292" s="84"/>
      <c r="M292" s="83"/>
      <c r="N292" s="84"/>
      <c r="O292" s="97"/>
      <c r="P292" s="94"/>
      <c r="Q292" s="81" t="e">
        <f t="shared" si="13"/>
        <v>#DIV/0!</v>
      </c>
      <c r="R292" s="81" t="e">
        <f t="shared" si="14"/>
        <v>#DIV/0!</v>
      </c>
      <c r="S292" s="84"/>
      <c r="T292" s="81" t="e">
        <f t="shared" si="15"/>
        <v>#DIV/0!</v>
      </c>
      <c r="U292" s="81" t="e">
        <f>AVERAGE(T290:T292)</f>
        <v>#DIV/0!</v>
      </c>
      <c r="V292" s="81" t="e">
        <f>_xlfn.STDEV.S(T290:T292)</f>
        <v>#DIV/0!</v>
      </c>
      <c r="W292" s="81">
        <f>MAX(K290:K292)-MIN(K290:K292)</f>
        <v>0</v>
      </c>
    </row>
    <row r="293" spans="1:23" x14ac:dyDescent="0.4">
      <c r="A293" s="85" t="s">
        <v>471</v>
      </c>
      <c r="B293" s="92" t="s">
        <v>139</v>
      </c>
      <c r="C293" s="128" t="s">
        <v>183</v>
      </c>
      <c r="D293" s="133"/>
      <c r="E293" s="133"/>
      <c r="F293" s="133"/>
      <c r="G293" s="133"/>
      <c r="H293" s="133"/>
      <c r="I293" s="112"/>
      <c r="J293" s="82"/>
      <c r="K293" s="84">
        <v>16.05</v>
      </c>
      <c r="L293" s="86">
        <v>384000</v>
      </c>
      <c r="M293" s="83">
        <v>0.4</v>
      </c>
      <c r="N293" s="87">
        <v>50</v>
      </c>
      <c r="O293" s="96">
        <v>9.770407725758286</v>
      </c>
      <c r="P293" s="94">
        <v>5.7393814980000002</v>
      </c>
      <c r="Q293" s="81">
        <f t="shared" si="13"/>
        <v>1.7023450574182908</v>
      </c>
      <c r="R293" s="81">
        <f t="shared" si="14"/>
        <v>81712562.756077945</v>
      </c>
      <c r="S293" s="84"/>
      <c r="T293" s="81" t="e">
        <f t="shared" si="15"/>
        <v>#DIV/0!</v>
      </c>
      <c r="U293" s="81"/>
      <c r="V293" s="84"/>
      <c r="W293" s="84"/>
    </row>
    <row r="294" spans="1:23" x14ac:dyDescent="0.4">
      <c r="A294" s="85" t="s">
        <v>472</v>
      </c>
      <c r="B294" s="92" t="s">
        <v>139</v>
      </c>
      <c r="C294" s="128" t="s">
        <v>183</v>
      </c>
      <c r="D294" s="133"/>
      <c r="E294" s="133"/>
      <c r="F294" s="133"/>
      <c r="G294" s="133"/>
      <c r="H294" s="133"/>
      <c r="I294" s="112"/>
      <c r="J294" s="82"/>
      <c r="K294" s="84">
        <v>15.95</v>
      </c>
      <c r="L294" s="86">
        <v>408000</v>
      </c>
      <c r="M294" s="83">
        <v>0.4</v>
      </c>
      <c r="N294" s="87">
        <v>50</v>
      </c>
      <c r="O294" s="96">
        <v>9.770407725758286</v>
      </c>
      <c r="P294" s="94">
        <v>5.7393814980000002</v>
      </c>
      <c r="Q294" s="81">
        <f t="shared" si="13"/>
        <v>1.7023450574182908</v>
      </c>
      <c r="R294" s="81">
        <f t="shared" si="14"/>
        <v>86819597.928332835</v>
      </c>
      <c r="S294" s="84"/>
      <c r="T294" s="81" t="e">
        <f t="shared" si="15"/>
        <v>#DIV/0!</v>
      </c>
      <c r="U294" s="81"/>
      <c r="V294" s="84"/>
      <c r="W294" s="84"/>
    </row>
    <row r="295" spans="1:23" x14ac:dyDescent="0.4">
      <c r="A295" s="85" t="s">
        <v>473</v>
      </c>
      <c r="B295" s="92" t="s">
        <v>139</v>
      </c>
      <c r="C295" s="128" t="s">
        <v>183</v>
      </c>
      <c r="D295" s="133"/>
      <c r="E295" s="133"/>
      <c r="F295" s="133"/>
      <c r="G295" s="133"/>
      <c r="H295" s="133"/>
      <c r="I295" s="112"/>
      <c r="J295" s="82"/>
      <c r="K295" s="84">
        <v>16.11</v>
      </c>
      <c r="L295" s="86">
        <v>370000</v>
      </c>
      <c r="M295" s="83">
        <v>0.4</v>
      </c>
      <c r="N295" s="87">
        <v>50</v>
      </c>
      <c r="O295" s="96">
        <v>9.770407725758286</v>
      </c>
      <c r="P295" s="94">
        <v>5.7393814980000002</v>
      </c>
      <c r="Q295" s="81">
        <f t="shared" si="13"/>
        <v>1.7023450574182908</v>
      </c>
      <c r="R295" s="81">
        <f t="shared" si="14"/>
        <v>78733458.905595943</v>
      </c>
      <c r="S295" s="84"/>
      <c r="T295" s="81" t="e">
        <f t="shared" si="15"/>
        <v>#DIV/0!</v>
      </c>
      <c r="U295" s="81" t="e">
        <f>AVERAGE(T293:T295)</f>
        <v>#DIV/0!</v>
      </c>
      <c r="V295" s="81" t="e">
        <f>_xlfn.STDEV.S(T293:T295)</f>
        <v>#DIV/0!</v>
      </c>
      <c r="W295" s="81">
        <f>MAX(K293:K295)-MIN(K293:K295)</f>
        <v>0.16000000000000014</v>
      </c>
    </row>
    <row r="296" spans="1:23" x14ac:dyDescent="0.4">
      <c r="A296" s="85" t="s">
        <v>474</v>
      </c>
      <c r="B296" s="92" t="s">
        <v>153</v>
      </c>
      <c r="C296" s="127" t="s">
        <v>186</v>
      </c>
      <c r="D296" s="131"/>
      <c r="E296" s="131"/>
      <c r="F296" s="131"/>
      <c r="G296" s="131"/>
      <c r="H296" s="131"/>
      <c r="I296" s="112"/>
      <c r="J296" s="82"/>
      <c r="K296" s="84">
        <v>33.659999999999997</v>
      </c>
      <c r="L296" s="86">
        <v>971</v>
      </c>
      <c r="M296" s="83"/>
      <c r="N296" s="84"/>
      <c r="O296" s="97"/>
      <c r="P296" s="94"/>
      <c r="Q296" s="81" t="e">
        <f t="shared" si="13"/>
        <v>#DIV/0!</v>
      </c>
      <c r="R296" s="81" t="e">
        <f t="shared" si="14"/>
        <v>#DIV/0!</v>
      </c>
      <c r="S296" s="84"/>
      <c r="T296" s="81" t="e">
        <f t="shared" si="15"/>
        <v>#DIV/0!</v>
      </c>
      <c r="U296" s="81"/>
      <c r="V296" s="84"/>
      <c r="W296" s="84"/>
    </row>
    <row r="297" spans="1:23" x14ac:dyDescent="0.4">
      <c r="A297" s="85" t="s">
        <v>475</v>
      </c>
      <c r="B297" s="92" t="s">
        <v>153</v>
      </c>
      <c r="C297" s="127" t="s">
        <v>186</v>
      </c>
      <c r="D297" s="131"/>
      <c r="E297" s="131"/>
      <c r="F297" s="131"/>
      <c r="G297" s="131"/>
      <c r="H297" s="131"/>
      <c r="I297" s="112"/>
      <c r="J297" s="82"/>
      <c r="K297" s="84">
        <v>33.61</v>
      </c>
      <c r="L297" s="86">
        <v>976</v>
      </c>
      <c r="M297" s="83"/>
      <c r="N297" s="84"/>
      <c r="O297" s="97"/>
      <c r="P297" s="94"/>
      <c r="Q297" s="81" t="e">
        <f t="shared" si="13"/>
        <v>#DIV/0!</v>
      </c>
      <c r="R297" s="81" t="e">
        <f t="shared" si="14"/>
        <v>#DIV/0!</v>
      </c>
      <c r="S297" s="84"/>
      <c r="T297" s="81" t="e">
        <f t="shared" si="15"/>
        <v>#DIV/0!</v>
      </c>
      <c r="U297" s="81"/>
      <c r="V297" s="84"/>
      <c r="W297" s="84"/>
    </row>
    <row r="298" spans="1:23" x14ac:dyDescent="0.4">
      <c r="A298" s="85" t="s">
        <v>476</v>
      </c>
      <c r="B298" s="92" t="s">
        <v>153</v>
      </c>
      <c r="C298" s="127" t="s">
        <v>186</v>
      </c>
      <c r="D298" s="131"/>
      <c r="E298" s="131"/>
      <c r="F298" s="131"/>
      <c r="G298" s="131"/>
      <c r="H298" s="131"/>
      <c r="I298" s="112"/>
      <c r="J298" s="82"/>
      <c r="K298" s="84">
        <v>35</v>
      </c>
      <c r="L298" s="86">
        <v>888</v>
      </c>
      <c r="M298" s="83"/>
      <c r="N298" s="84"/>
      <c r="O298" s="97"/>
      <c r="P298" s="94"/>
      <c r="Q298" s="81" t="e">
        <f t="shared" si="13"/>
        <v>#DIV/0!</v>
      </c>
      <c r="R298" s="81" t="e">
        <f t="shared" si="14"/>
        <v>#DIV/0!</v>
      </c>
      <c r="S298" s="84"/>
      <c r="T298" s="81" t="e">
        <f t="shared" si="15"/>
        <v>#DIV/0!</v>
      </c>
      <c r="U298" s="81" t="e">
        <f>AVERAGE(T296:T298)</f>
        <v>#DIV/0!</v>
      </c>
      <c r="V298" s="81" t="e">
        <f>_xlfn.STDEV.S(T296:T298)</f>
        <v>#DIV/0!</v>
      </c>
      <c r="W298" s="81">
        <f>MAX(K296:K298)-MIN(K296:K298)</f>
        <v>1.3900000000000006</v>
      </c>
    </row>
  </sheetData>
  <phoneticPr fontId="13" type="noConversion"/>
  <conditionalFormatting sqref="A11:H298">
    <cfRule type="expression" dxfId="106" priority="1" stopIfTrue="1">
      <formula>MOD(ROW(),2)=1</formula>
    </cfRule>
    <cfRule type="expression" dxfId="105" priority="2" stopIfTrue="1">
      <formula>MOD(ROW(),2)=0</formula>
    </cfRule>
  </conditionalFormatting>
  <conditionalFormatting sqref="I11:I298">
    <cfRule type="expression" dxfId="104" priority="4" stopIfTrue="1">
      <formula>MOD(ROW(),2)=1</formula>
    </cfRule>
    <cfRule type="expression" dxfId="103" priority="5" stopIfTrue="1">
      <formula>MOD(ROW(),2)=0</formula>
    </cfRule>
  </conditionalFormatting>
  <conditionalFormatting sqref="I179:I184">
    <cfRule type="expression" dxfId="102" priority="3" stopIfTrue="1">
      <formula>MOD(ROW(),2)=0</formula>
    </cfRule>
  </conditionalFormatting>
  <conditionalFormatting sqref="J107:J184">
    <cfRule type="expression" dxfId="101" priority="11" stopIfTrue="1">
      <formula>MOD(ROW(),2)=0</formula>
    </cfRule>
  </conditionalFormatting>
  <conditionalFormatting sqref="J227:J232">
    <cfRule type="expression" dxfId="100" priority="10" stopIfTrue="1">
      <formula>MOD(ROW(),2)=0</formula>
    </cfRule>
  </conditionalFormatting>
  <conditionalFormatting sqref="J239:J244">
    <cfRule type="expression" dxfId="99" priority="9" stopIfTrue="1">
      <formula>MOD(ROW(),2)=0</formula>
    </cfRule>
  </conditionalFormatting>
  <conditionalFormatting sqref="J251:J256">
    <cfRule type="expression" dxfId="98" priority="8" stopIfTrue="1">
      <formula>MOD(ROW(),2)=0</formula>
    </cfRule>
  </conditionalFormatting>
  <conditionalFormatting sqref="J263:J268">
    <cfRule type="expression" dxfId="97" priority="7" stopIfTrue="1">
      <formula>MOD(ROW(),2)=0</formula>
    </cfRule>
  </conditionalFormatting>
  <conditionalFormatting sqref="J11:W11 J12:P70 J60:J82 J71:O106">
    <cfRule type="expression" dxfId="96" priority="147" stopIfTrue="1">
      <formula>MOD(ROW(),2)=0</formula>
    </cfRule>
  </conditionalFormatting>
  <conditionalFormatting sqref="J11:W298">
    <cfRule type="expression" dxfId="95" priority="55" stopIfTrue="1">
      <formula>MOD(ROW(),2)=1</formula>
    </cfRule>
  </conditionalFormatting>
  <conditionalFormatting sqref="N107:O196">
    <cfRule type="expression" dxfId="94" priority="87" stopIfTrue="1">
      <formula>MOD(ROW(),2)=0</formula>
    </cfRule>
  </conditionalFormatting>
  <conditionalFormatting sqref="O221:O262">
    <cfRule type="expression" dxfId="93" priority="65" stopIfTrue="1">
      <formula>MOD(ROW(),2)=1</formula>
    </cfRule>
    <cfRule type="expression" dxfId="92" priority="66" stopIfTrue="1">
      <formula>MOD(ROW(),2)=0</formula>
    </cfRule>
  </conditionalFormatting>
  <conditionalFormatting sqref="O269:P280">
    <cfRule type="expression" dxfId="91" priority="35" stopIfTrue="1">
      <formula>MOD(ROW(),2)=1</formula>
    </cfRule>
  </conditionalFormatting>
  <conditionalFormatting sqref="P71:P196">
    <cfRule type="expression" dxfId="90" priority="77" stopIfTrue="1">
      <formula>MOD(ROW(),2)=0</formula>
    </cfRule>
  </conditionalFormatting>
  <conditionalFormatting sqref="P215:P220">
    <cfRule type="expression" dxfId="89" priority="59" stopIfTrue="1">
      <formula>MOD(ROW(),2)=1</formula>
    </cfRule>
    <cfRule type="expression" dxfId="88" priority="60" stopIfTrue="1">
      <formula>MOD(ROW(),2)=0</formula>
    </cfRule>
  </conditionalFormatting>
  <conditionalFormatting sqref="P221:P232">
    <cfRule type="expression" dxfId="87" priority="47" stopIfTrue="1">
      <formula>MOD(ROW(),2)=1</formula>
    </cfRule>
    <cfRule type="expression" dxfId="86" priority="48" stopIfTrue="1">
      <formula>MOD(ROW(),2)=0</formula>
    </cfRule>
  </conditionalFormatting>
  <conditionalFormatting sqref="P263:P268">
    <cfRule type="expression" dxfId="85" priority="68" stopIfTrue="1">
      <formula>MOD(ROW(),2)=1</formula>
    </cfRule>
    <cfRule type="expression" dxfId="84" priority="69" stopIfTrue="1">
      <formula>MOD(ROW(),2)=0</formula>
    </cfRule>
  </conditionalFormatting>
  <conditionalFormatting sqref="P269:P274">
    <cfRule type="expression" dxfId="83" priority="43" stopIfTrue="1">
      <formula>MOD(ROW(),2)=1</formula>
    </cfRule>
    <cfRule type="expression" dxfId="82" priority="44" stopIfTrue="1">
      <formula>MOD(ROW(),2)=0</formula>
    </cfRule>
  </conditionalFormatting>
  <conditionalFormatting sqref="P269:P280">
    <cfRule type="expression" dxfId="81" priority="36" stopIfTrue="1">
      <formula>MOD(ROW(),2)=0</formula>
    </cfRule>
  </conditionalFormatting>
  <conditionalFormatting sqref="P275:P280">
    <cfRule type="expression" dxfId="80" priority="72" stopIfTrue="1">
      <formula>MOD(ROW(),2)=1</formula>
    </cfRule>
    <cfRule type="expression" dxfId="79" priority="73" stopIfTrue="1">
      <formula>MOD(ROW(),2)=0</formula>
    </cfRule>
  </conditionalFormatting>
  <conditionalFormatting sqref="P275:P286">
    <cfRule type="expression" dxfId="78" priority="19" stopIfTrue="1">
      <formula>MOD(ROW(),2)=1</formula>
    </cfRule>
    <cfRule type="expression" dxfId="77" priority="20" stopIfTrue="1">
      <formula>MOD(ROW(),2)=0</formula>
    </cfRule>
    <cfRule type="expression" dxfId="76" priority="27" stopIfTrue="1">
      <formula>MOD(ROW(),2)=1</formula>
    </cfRule>
    <cfRule type="expression" dxfId="75" priority="28" stopIfTrue="1">
      <formula>MOD(ROW(),2)=0</formula>
    </cfRule>
  </conditionalFormatting>
  <conditionalFormatting sqref="P293:P295">
    <cfRule type="expression" dxfId="74" priority="15" stopIfTrue="1">
      <formula>MOD(ROW(),2)=1</formula>
    </cfRule>
    <cfRule type="expression" dxfId="73" priority="16" stopIfTrue="1">
      <formula>MOD(ROW(),2)=0</formula>
    </cfRule>
    <cfRule type="expression" dxfId="72" priority="17" stopIfTrue="1">
      <formula>MOD(ROW(),2)=1</formula>
    </cfRule>
    <cfRule type="expression" dxfId="71" priority="18" stopIfTrue="1">
      <formula>MOD(ROW(),2)=0</formula>
    </cfRule>
  </conditionalFormatting>
  <conditionalFormatting sqref="Q12:W298 J107:M298 N197:P214 N215:O220 P215:P283 N221:N289 O263:O283 O284:P289 N290:P298">
    <cfRule type="expression" dxfId="70" priority="56" stopIfTrue="1">
      <formula>MOD(ROW(),2)=0</formula>
    </cfRule>
  </conditionalFormatting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EBB6-E7A8-47AF-817A-2A144909D0D6}">
  <dimension ref="A1:BR298"/>
  <sheetViews>
    <sheetView zoomScale="59" workbookViewId="0">
      <selection activeCell="E6" sqref="E6"/>
    </sheetView>
  </sheetViews>
  <sheetFormatPr defaultRowHeight="16" x14ac:dyDescent="0.4"/>
  <cols>
    <col min="1" max="1" width="20.08984375" bestFit="1" customWidth="1"/>
    <col min="2" max="2" width="13.7265625" customWidth="1"/>
    <col min="3" max="3" width="28.453125" style="100" bestFit="1" customWidth="1"/>
    <col min="4" max="8" width="28.453125" style="100" customWidth="1"/>
    <col min="9" max="9" width="9.90625" style="32" bestFit="1" customWidth="1"/>
    <col min="10" max="10" width="6.36328125" bestFit="1" customWidth="1"/>
    <col min="11" max="11" width="7.81640625" customWidth="1"/>
    <col min="12" max="12" width="29.6328125" bestFit="1" customWidth="1"/>
    <col min="13" max="13" width="39.26953125" bestFit="1" customWidth="1"/>
    <col min="14" max="14" width="22.453125" bestFit="1" customWidth="1"/>
    <col min="15" max="15" width="24.08984375" bestFit="1" customWidth="1"/>
    <col min="16" max="16" width="28" bestFit="1" customWidth="1"/>
    <col min="17" max="17" width="13.7265625" bestFit="1" customWidth="1"/>
    <col min="18" max="18" width="11" customWidth="1"/>
    <col min="19" max="19" width="17.81640625" bestFit="1" customWidth="1"/>
    <col min="20" max="20" width="12" bestFit="1" customWidth="1"/>
    <col min="21" max="21" width="19.6328125" bestFit="1" customWidth="1"/>
    <col min="22" max="22" width="17.54296875" bestFit="1" customWidth="1"/>
    <col min="23" max="23" width="11.6328125" bestFit="1" customWidth="1"/>
    <col min="24" max="24" width="8.7265625" customWidth="1"/>
    <col min="25" max="25" width="19.26953125" bestFit="1" customWidth="1"/>
    <col min="26" max="26" width="13.7265625" customWidth="1"/>
    <col min="27" max="27" width="16.26953125" customWidth="1"/>
    <col min="28" max="28" width="5.6328125" customWidth="1"/>
    <col min="29" max="29" width="7.81640625" customWidth="1"/>
    <col min="30" max="30" width="28.26953125" bestFit="1" customWidth="1"/>
    <col min="31" max="31" width="37.6328125" bestFit="1" customWidth="1"/>
    <col min="32" max="32" width="21.453125" bestFit="1" customWidth="1"/>
    <col min="33" max="33" width="23" bestFit="1" customWidth="1"/>
    <col min="34" max="34" width="26.90625" bestFit="1" customWidth="1"/>
    <col min="35" max="35" width="12.90625" bestFit="1" customWidth="1"/>
    <col min="36" max="36" width="10.7265625" bestFit="1" customWidth="1"/>
    <col min="37" max="37" width="17.1796875" bestFit="1" customWidth="1"/>
    <col min="38" max="38" width="11.54296875" bestFit="1" customWidth="1"/>
    <col min="39" max="39" width="19" bestFit="1" customWidth="1"/>
    <col min="40" max="40" width="16.6328125" bestFit="1" customWidth="1"/>
    <col min="41" max="41" width="11.26953125" bestFit="1" customWidth="1"/>
    <col min="42" max="42" width="8.7265625" customWidth="1"/>
    <col min="43" max="43" width="19.26953125" bestFit="1" customWidth="1"/>
    <col min="44" max="44" width="13.7265625" customWidth="1"/>
    <col min="45" max="45" width="16.26953125" customWidth="1"/>
    <col min="46" max="46" width="5.6328125" customWidth="1"/>
    <col min="47" max="47" width="7.81640625" customWidth="1"/>
    <col min="48" max="48" width="28.26953125" bestFit="1" customWidth="1"/>
    <col min="49" max="49" width="37.6328125" bestFit="1" customWidth="1"/>
    <col min="50" max="50" width="21.453125" bestFit="1" customWidth="1"/>
    <col min="51" max="51" width="23" bestFit="1" customWidth="1"/>
    <col min="52" max="52" width="26.90625" bestFit="1" customWidth="1"/>
    <col min="53" max="53" width="12.90625" bestFit="1" customWidth="1"/>
    <col min="54" max="54" width="10.7265625" bestFit="1" customWidth="1"/>
    <col min="55" max="55" width="17.1796875" bestFit="1" customWidth="1"/>
    <col min="56" max="56" width="11.54296875" bestFit="1" customWidth="1"/>
    <col min="57" max="57" width="19" bestFit="1" customWidth="1"/>
    <col min="58" max="58" width="16.6328125" bestFit="1" customWidth="1"/>
    <col min="59" max="59" width="11.26953125" bestFit="1" customWidth="1"/>
    <col min="60" max="60" width="8.7265625" customWidth="1"/>
  </cols>
  <sheetData>
    <row r="1" spans="1:70" x14ac:dyDescent="0.4">
      <c r="A1" s="74" t="s">
        <v>661</v>
      </c>
      <c r="B1" s="69"/>
      <c r="I1" s="100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70" x14ac:dyDescent="0.4">
      <c r="A2" s="69"/>
      <c r="I2" s="100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spans="1:70" x14ac:dyDescent="0.4">
      <c r="A3" s="69" t="s">
        <v>154</v>
      </c>
      <c r="B3" s="69"/>
      <c r="I3" s="100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4" spans="1:70" x14ac:dyDescent="0.4">
      <c r="A4" s="70"/>
      <c r="B4" s="69" t="s">
        <v>155</v>
      </c>
      <c r="I4" s="100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5" spans="1:70" x14ac:dyDescent="0.4">
      <c r="A5" s="71"/>
      <c r="B5" s="69" t="s">
        <v>156</v>
      </c>
      <c r="I5" s="100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</row>
    <row r="6" spans="1:70" x14ac:dyDescent="0.4">
      <c r="A6" s="72"/>
      <c r="B6" s="69" t="s">
        <v>157</v>
      </c>
      <c r="I6" s="100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</row>
    <row r="7" spans="1:70" x14ac:dyDescent="0.4">
      <c r="A7" s="73"/>
      <c r="B7" s="69" t="s">
        <v>158</v>
      </c>
      <c r="I7" s="100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</row>
    <row r="8" spans="1:70" x14ac:dyDescent="0.4">
      <c r="A8" s="69"/>
      <c r="B8" s="69"/>
      <c r="I8" s="100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</row>
    <row r="9" spans="1:70" x14ac:dyDescent="0.4">
      <c r="A9" s="74"/>
      <c r="B9" s="75"/>
      <c r="C9" s="101"/>
      <c r="D9" s="101"/>
      <c r="E9" s="101"/>
      <c r="F9" s="101"/>
      <c r="G9" s="101"/>
      <c r="H9" s="101"/>
      <c r="I9" s="101"/>
      <c r="J9" s="75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Y9" s="74"/>
      <c r="Z9" s="75"/>
      <c r="AA9" s="75"/>
      <c r="AB9" s="75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Q9" s="74"/>
      <c r="AR9" s="75"/>
      <c r="AS9" s="75"/>
      <c r="AT9" s="75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</row>
    <row r="10" spans="1:70" x14ac:dyDescent="0.4">
      <c r="A10" s="113" t="s">
        <v>159</v>
      </c>
      <c r="B10" s="114" t="s">
        <v>160</v>
      </c>
      <c r="C10" s="121" t="s">
        <v>486</v>
      </c>
      <c r="D10" s="121" t="s">
        <v>481</v>
      </c>
      <c r="E10" s="121" t="s">
        <v>2</v>
      </c>
      <c r="F10" s="121" t="s">
        <v>482</v>
      </c>
      <c r="G10" s="121" t="s">
        <v>1</v>
      </c>
      <c r="H10" s="121" t="s">
        <v>483</v>
      </c>
      <c r="I10" s="116" t="s">
        <v>70</v>
      </c>
      <c r="J10" s="117" t="s">
        <v>66</v>
      </c>
      <c r="K10" s="118" t="s">
        <v>161</v>
      </c>
      <c r="L10" s="118" t="s">
        <v>162</v>
      </c>
      <c r="M10" s="119" t="s">
        <v>163</v>
      </c>
      <c r="N10" s="119" t="s">
        <v>164</v>
      </c>
      <c r="O10" s="119" t="s">
        <v>165</v>
      </c>
      <c r="P10" s="119" t="s">
        <v>166</v>
      </c>
      <c r="Q10" s="119" t="s">
        <v>167</v>
      </c>
      <c r="R10" s="120" t="s">
        <v>168</v>
      </c>
      <c r="S10" s="120" t="s">
        <v>169</v>
      </c>
      <c r="T10" s="120" t="s">
        <v>170</v>
      </c>
      <c r="U10" s="120" t="s">
        <v>171</v>
      </c>
      <c r="V10" s="120" t="s">
        <v>172</v>
      </c>
      <c r="W10" s="120" t="s">
        <v>173</v>
      </c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</row>
    <row r="11" spans="1:70" x14ac:dyDescent="0.4">
      <c r="A11" s="76" t="s">
        <v>189</v>
      </c>
      <c r="B11" s="107" t="s">
        <v>71</v>
      </c>
      <c r="C11" s="129" t="s">
        <v>0</v>
      </c>
      <c r="D11" s="129" t="s">
        <v>484</v>
      </c>
      <c r="E11" s="129" t="s">
        <v>484</v>
      </c>
      <c r="F11" s="129" t="s">
        <v>484</v>
      </c>
      <c r="G11" s="129" t="s">
        <v>484</v>
      </c>
      <c r="H11" s="129" t="s">
        <v>484</v>
      </c>
      <c r="I11" s="111">
        <v>4.8</v>
      </c>
      <c r="J11" s="77" t="s">
        <v>81</v>
      </c>
      <c r="K11" s="78">
        <v>18.84</v>
      </c>
      <c r="L11" s="79">
        <v>30800</v>
      </c>
      <c r="M11" s="80">
        <v>0.4</v>
      </c>
      <c r="N11" s="81">
        <v>50</v>
      </c>
      <c r="O11" s="78">
        <v>3.14</v>
      </c>
      <c r="P11" s="95">
        <v>3.8415170079999998</v>
      </c>
      <c r="Q11" s="81">
        <f t="shared" ref="Q11:Q74" si="0">O11/P11</f>
        <v>0.81738542181667218</v>
      </c>
      <c r="R11" s="81">
        <f t="shared" ref="R11:R74" si="1">(L11*N11*Q11)/M11</f>
        <v>3146933.8739941879</v>
      </c>
      <c r="S11" s="81">
        <v>5</v>
      </c>
      <c r="T11" s="81">
        <f t="shared" ref="T11:T74" si="2">R11/S11</f>
        <v>629386.77479883761</v>
      </c>
      <c r="U11" s="81"/>
      <c r="V11" s="81"/>
      <c r="W11" s="81"/>
      <c r="Y11" s="75"/>
      <c r="Z11" s="75"/>
      <c r="AA11" s="75"/>
      <c r="AB11" s="98"/>
      <c r="AD11" s="88"/>
      <c r="AE11" s="99"/>
      <c r="AF11" s="69"/>
      <c r="AH11" s="15"/>
      <c r="AI11" s="69"/>
      <c r="AJ11" s="69"/>
      <c r="AK11" s="69"/>
      <c r="AL11" s="69"/>
      <c r="AM11" s="69"/>
      <c r="AN11" s="69"/>
      <c r="AO11" s="69"/>
      <c r="AQ11" s="75"/>
      <c r="AR11" s="75"/>
      <c r="AS11" s="75"/>
      <c r="AT11" s="98"/>
      <c r="AV11" s="88"/>
      <c r="AW11" s="99"/>
      <c r="AX11" s="69"/>
      <c r="AZ11" s="15"/>
      <c r="BA11" s="69"/>
      <c r="BB11" s="69"/>
      <c r="BC11" s="69"/>
      <c r="BD11" s="69"/>
      <c r="BE11" s="69"/>
      <c r="BF11" s="69"/>
      <c r="BG11" s="69"/>
    </row>
    <row r="12" spans="1:70" x14ac:dyDescent="0.4">
      <c r="A12" s="85" t="s">
        <v>190</v>
      </c>
      <c r="B12" s="108" t="s">
        <v>71</v>
      </c>
      <c r="C12" s="129" t="s">
        <v>0</v>
      </c>
      <c r="D12" s="129" t="s">
        <v>484</v>
      </c>
      <c r="E12" s="129" t="s">
        <v>484</v>
      </c>
      <c r="F12" s="129" t="s">
        <v>484</v>
      </c>
      <c r="G12" s="129" t="s">
        <v>484</v>
      </c>
      <c r="H12" s="129" t="s">
        <v>484</v>
      </c>
      <c r="I12" s="111">
        <v>4.8</v>
      </c>
      <c r="J12" s="77" t="s">
        <v>81</v>
      </c>
      <c r="K12" s="84">
        <v>18.95</v>
      </c>
      <c r="L12" s="86">
        <v>28600</v>
      </c>
      <c r="M12" s="80">
        <v>0.4</v>
      </c>
      <c r="N12" s="81">
        <v>50</v>
      </c>
      <c r="O12" s="84">
        <v>3.14</v>
      </c>
      <c r="P12" s="94">
        <v>3.8415170079999998</v>
      </c>
      <c r="Q12" s="81">
        <f t="shared" si="0"/>
        <v>0.81738542181667218</v>
      </c>
      <c r="R12" s="81">
        <f t="shared" si="1"/>
        <v>2922152.8829946029</v>
      </c>
      <c r="S12" s="81">
        <v>5</v>
      </c>
      <c r="T12" s="81">
        <f t="shared" si="2"/>
        <v>584430.57659892063</v>
      </c>
      <c r="U12" s="87"/>
      <c r="V12" s="87"/>
      <c r="W12" s="87"/>
      <c r="Y12" s="75"/>
      <c r="Z12" s="75"/>
      <c r="AA12" s="75"/>
      <c r="AB12" s="98"/>
      <c r="AD12" s="88"/>
      <c r="AE12" s="99"/>
      <c r="AF12" s="69"/>
      <c r="AH12" s="15"/>
      <c r="AI12" s="69"/>
      <c r="AJ12" s="69"/>
      <c r="AK12" s="69"/>
      <c r="AL12" s="69"/>
      <c r="AM12" s="69"/>
      <c r="AN12" s="69"/>
      <c r="AO12" s="69"/>
      <c r="AQ12" s="75"/>
      <c r="AR12" s="75"/>
      <c r="AS12" s="75"/>
      <c r="AT12" s="98"/>
      <c r="AV12" s="88"/>
      <c r="AW12" s="99"/>
      <c r="AX12" s="69"/>
      <c r="AZ12" s="15"/>
      <c r="BA12" s="69"/>
      <c r="BB12" s="69"/>
      <c r="BC12" s="69"/>
      <c r="BD12" s="69"/>
      <c r="BE12" s="69"/>
      <c r="BF12" s="69"/>
      <c r="BG12" s="69"/>
    </row>
    <row r="13" spans="1:70" x14ac:dyDescent="0.4">
      <c r="A13" s="85" t="s">
        <v>191</v>
      </c>
      <c r="B13" s="107" t="s">
        <v>71</v>
      </c>
      <c r="C13" s="129" t="s">
        <v>0</v>
      </c>
      <c r="D13" s="129" t="s">
        <v>484</v>
      </c>
      <c r="E13" s="129" t="s">
        <v>484</v>
      </c>
      <c r="F13" s="129" t="s">
        <v>484</v>
      </c>
      <c r="G13" s="129" t="s">
        <v>484</v>
      </c>
      <c r="H13" s="129" t="s">
        <v>484</v>
      </c>
      <c r="I13" s="111">
        <v>4.8</v>
      </c>
      <c r="J13" s="77" t="s">
        <v>81</v>
      </c>
      <c r="K13" s="84">
        <v>18.98</v>
      </c>
      <c r="L13" s="86">
        <v>28100</v>
      </c>
      <c r="M13" s="80">
        <v>0.4</v>
      </c>
      <c r="N13" s="81">
        <v>50</v>
      </c>
      <c r="O13" s="84">
        <v>3.14</v>
      </c>
      <c r="P13" s="94">
        <v>3.8415170079999998</v>
      </c>
      <c r="Q13" s="81">
        <f t="shared" si="0"/>
        <v>0.81738542181667218</v>
      </c>
      <c r="R13" s="81">
        <f t="shared" si="1"/>
        <v>2871066.2941310611</v>
      </c>
      <c r="S13" s="81">
        <v>5</v>
      </c>
      <c r="T13" s="81">
        <f t="shared" si="2"/>
        <v>574213.25882621226</v>
      </c>
      <c r="U13" s="81">
        <f>AVERAGE(T11:T13)</f>
        <v>596010.20340799016</v>
      </c>
      <c r="V13" s="81">
        <f>_xlfn.STDEV.S(T11:T13)</f>
        <v>29352.939102811793</v>
      </c>
      <c r="W13" s="81">
        <f>MAX(K11:K13)-MIN(K11:K13)</f>
        <v>0.14000000000000057</v>
      </c>
      <c r="Y13" s="75"/>
      <c r="Z13" s="75"/>
      <c r="AA13" s="75"/>
      <c r="AB13" s="98"/>
      <c r="AD13" s="88"/>
      <c r="AE13" s="99"/>
      <c r="AF13" s="69"/>
      <c r="AH13" s="15"/>
      <c r="AI13" s="69"/>
      <c r="AJ13" s="69"/>
      <c r="AK13" s="69"/>
      <c r="AL13" s="69"/>
      <c r="AM13" s="69"/>
      <c r="AN13" s="69"/>
      <c r="AO13" s="69"/>
      <c r="AQ13" s="75"/>
      <c r="AR13" s="75"/>
      <c r="AS13" s="75"/>
      <c r="AT13" s="98"/>
      <c r="AV13" s="88"/>
      <c r="AW13" s="99"/>
      <c r="AX13" s="69"/>
      <c r="AZ13" s="15"/>
      <c r="BA13" s="69"/>
      <c r="BB13" s="69"/>
      <c r="BC13" s="69"/>
      <c r="BD13" s="69"/>
      <c r="BE13" s="69"/>
      <c r="BF13" s="69"/>
      <c r="BG13" s="69"/>
      <c r="BR13" s="88"/>
    </row>
    <row r="14" spans="1:70" x14ac:dyDescent="0.4">
      <c r="A14" s="85" t="s">
        <v>192</v>
      </c>
      <c r="B14" s="107" t="s">
        <v>72</v>
      </c>
      <c r="C14" s="129" t="s">
        <v>1</v>
      </c>
      <c r="D14" s="129" t="s">
        <v>484</v>
      </c>
      <c r="E14" s="129" t="s">
        <v>484</v>
      </c>
      <c r="F14" s="129" t="s">
        <v>484</v>
      </c>
      <c r="G14" s="129" t="s">
        <v>485</v>
      </c>
      <c r="H14" s="129" t="s">
        <v>484</v>
      </c>
      <c r="I14" s="111">
        <v>4.8</v>
      </c>
      <c r="J14" s="77" t="s">
        <v>81</v>
      </c>
      <c r="K14" s="84">
        <v>22.2</v>
      </c>
      <c r="L14" s="86">
        <v>3440</v>
      </c>
      <c r="M14" s="80">
        <v>0.4</v>
      </c>
      <c r="N14" s="81">
        <v>50</v>
      </c>
      <c r="O14" s="84">
        <v>1.83</v>
      </c>
      <c r="P14" s="94">
        <v>2.122823479</v>
      </c>
      <c r="Q14" s="81">
        <f t="shared" si="0"/>
        <v>0.86205943080206526</v>
      </c>
      <c r="R14" s="81">
        <f t="shared" si="1"/>
        <v>370685.55524488806</v>
      </c>
      <c r="S14" s="81">
        <v>5</v>
      </c>
      <c r="T14" s="81">
        <f t="shared" si="2"/>
        <v>74137.111048977618</v>
      </c>
      <c r="U14" s="81"/>
      <c r="V14" s="87"/>
      <c r="W14" s="87"/>
      <c r="Y14" s="75"/>
      <c r="Z14" s="75"/>
      <c r="AA14" s="75"/>
      <c r="AB14" s="98"/>
      <c r="AD14" s="88"/>
      <c r="AE14" s="99"/>
      <c r="AF14" s="69"/>
      <c r="AH14" s="15"/>
      <c r="AI14" s="69"/>
      <c r="AJ14" s="69"/>
      <c r="AK14" s="69"/>
      <c r="AL14" s="69"/>
      <c r="AM14" s="69"/>
      <c r="AN14" s="69"/>
      <c r="AO14" s="69"/>
      <c r="AQ14" s="75"/>
      <c r="AR14" s="75"/>
      <c r="AS14" s="75"/>
      <c r="AT14" s="98"/>
      <c r="AV14" s="88"/>
      <c r="AW14" s="99"/>
      <c r="AX14" s="69"/>
      <c r="AZ14" s="15"/>
      <c r="BA14" s="69"/>
      <c r="BB14" s="69"/>
      <c r="BC14" s="69"/>
      <c r="BD14" s="69"/>
      <c r="BE14" s="69"/>
      <c r="BF14" s="69"/>
      <c r="BG14" s="69"/>
      <c r="BR14" s="88"/>
    </row>
    <row r="15" spans="1:70" x14ac:dyDescent="0.4">
      <c r="A15" s="85" t="s">
        <v>193</v>
      </c>
      <c r="B15" s="108" t="s">
        <v>72</v>
      </c>
      <c r="C15" s="129" t="s">
        <v>1</v>
      </c>
      <c r="D15" s="129" t="s">
        <v>484</v>
      </c>
      <c r="E15" s="129" t="s">
        <v>484</v>
      </c>
      <c r="F15" s="129" t="s">
        <v>484</v>
      </c>
      <c r="G15" s="129" t="s">
        <v>485</v>
      </c>
      <c r="H15" s="129" t="s">
        <v>484</v>
      </c>
      <c r="I15" s="111">
        <v>4.8</v>
      </c>
      <c r="J15" s="77" t="s">
        <v>81</v>
      </c>
      <c r="K15" s="84">
        <v>22.29</v>
      </c>
      <c r="L15" s="86">
        <v>3240</v>
      </c>
      <c r="M15" s="80">
        <v>0.4</v>
      </c>
      <c r="N15" s="81">
        <v>50</v>
      </c>
      <c r="O15" s="84">
        <v>1.83</v>
      </c>
      <c r="P15" s="94">
        <v>2.122823479</v>
      </c>
      <c r="Q15" s="81">
        <f t="shared" si="0"/>
        <v>0.86205943080206526</v>
      </c>
      <c r="R15" s="81">
        <f t="shared" si="1"/>
        <v>349134.0694748364</v>
      </c>
      <c r="S15" s="81">
        <v>5</v>
      </c>
      <c r="T15" s="81">
        <f t="shared" si="2"/>
        <v>69826.813894967287</v>
      </c>
      <c r="U15" s="81"/>
      <c r="V15" s="81"/>
      <c r="W15" s="81"/>
      <c r="Y15" s="75"/>
      <c r="Z15" s="75"/>
      <c r="AA15" s="75"/>
      <c r="AB15" s="98"/>
      <c r="AD15" s="88"/>
      <c r="AE15" s="99"/>
      <c r="AF15" s="69"/>
      <c r="AH15" s="15"/>
      <c r="AI15" s="69"/>
      <c r="AJ15" s="69"/>
      <c r="AK15" s="69"/>
      <c r="AL15" s="69"/>
      <c r="AM15" s="69"/>
      <c r="AN15" s="69"/>
      <c r="AO15" s="69"/>
      <c r="AQ15" s="75"/>
      <c r="AR15" s="75"/>
      <c r="AS15" s="75"/>
      <c r="AT15" s="98"/>
      <c r="AV15" s="88"/>
      <c r="AW15" s="99"/>
      <c r="AX15" s="69"/>
      <c r="AZ15" s="15"/>
      <c r="BA15" s="69"/>
      <c r="BB15" s="69"/>
      <c r="BC15" s="69"/>
      <c r="BD15" s="69"/>
      <c r="BE15" s="69"/>
      <c r="BF15" s="69"/>
      <c r="BG15" s="69"/>
      <c r="BR15" s="88"/>
    </row>
    <row r="16" spans="1:70" x14ac:dyDescent="0.4">
      <c r="A16" s="85" t="s">
        <v>194</v>
      </c>
      <c r="B16" s="107" t="s">
        <v>72</v>
      </c>
      <c r="C16" s="129" t="s">
        <v>1</v>
      </c>
      <c r="D16" s="129" t="s">
        <v>484</v>
      </c>
      <c r="E16" s="129" t="s">
        <v>484</v>
      </c>
      <c r="F16" s="129" t="s">
        <v>484</v>
      </c>
      <c r="G16" s="129" t="s">
        <v>485</v>
      </c>
      <c r="H16" s="129" t="s">
        <v>484</v>
      </c>
      <c r="I16" s="111">
        <v>4.8</v>
      </c>
      <c r="J16" s="77" t="s">
        <v>81</v>
      </c>
      <c r="K16" s="84">
        <v>22.25</v>
      </c>
      <c r="L16" s="86">
        <v>3330</v>
      </c>
      <c r="M16" s="80">
        <v>0.4</v>
      </c>
      <c r="N16" s="81">
        <v>50</v>
      </c>
      <c r="O16" s="84">
        <v>1.83</v>
      </c>
      <c r="P16" s="94">
        <v>2.122823479</v>
      </c>
      <c r="Q16" s="81">
        <f t="shared" si="0"/>
        <v>0.86205943080206526</v>
      </c>
      <c r="R16" s="81">
        <f t="shared" si="1"/>
        <v>358832.23807135964</v>
      </c>
      <c r="S16" s="81">
        <v>5</v>
      </c>
      <c r="T16" s="81">
        <f t="shared" si="2"/>
        <v>71766.447614271921</v>
      </c>
      <c r="U16" s="81">
        <f>AVERAGE(T14:T16)</f>
        <v>71910.12418607228</v>
      </c>
      <c r="V16" s="81">
        <f>_xlfn.STDEV.S(T14:T16)</f>
        <v>2158.7375030166631</v>
      </c>
      <c r="W16" s="81">
        <f>MAX(K14:K16)-MIN(K14:K16)</f>
        <v>8.9999999999999858E-2</v>
      </c>
      <c r="Y16" s="75"/>
      <c r="Z16" s="75"/>
      <c r="AA16" s="75"/>
      <c r="AB16" s="98"/>
      <c r="AD16" s="88"/>
      <c r="AE16" s="99"/>
      <c r="AF16" s="69"/>
      <c r="AH16" s="15"/>
      <c r="AI16" s="69"/>
      <c r="AJ16" s="69"/>
      <c r="AK16" s="69"/>
      <c r="AL16" s="69"/>
      <c r="AM16" s="69"/>
      <c r="AN16" s="69"/>
      <c r="AO16" s="69"/>
      <c r="AQ16" s="75"/>
      <c r="AR16" s="75"/>
      <c r="AS16" s="75"/>
      <c r="AT16" s="98"/>
      <c r="AV16" s="88"/>
      <c r="AW16" s="99"/>
      <c r="AX16" s="69"/>
      <c r="AZ16" s="15"/>
      <c r="BA16" s="69"/>
      <c r="BB16" s="69"/>
      <c r="BC16" s="69"/>
      <c r="BD16" s="69"/>
      <c r="BE16" s="69"/>
      <c r="BF16" s="69"/>
      <c r="BG16" s="69"/>
      <c r="BR16" s="88"/>
    </row>
    <row r="17" spans="1:70" x14ac:dyDescent="0.4">
      <c r="A17" s="85" t="s">
        <v>195</v>
      </c>
      <c r="B17" s="107" t="s">
        <v>73</v>
      </c>
      <c r="C17" s="129" t="s">
        <v>2</v>
      </c>
      <c r="D17" s="129" t="s">
        <v>484</v>
      </c>
      <c r="E17" s="129" t="s">
        <v>485</v>
      </c>
      <c r="F17" s="129" t="s">
        <v>484</v>
      </c>
      <c r="G17" s="129" t="s">
        <v>484</v>
      </c>
      <c r="H17" s="129" t="s">
        <v>484</v>
      </c>
      <c r="I17" s="111">
        <v>4.8</v>
      </c>
      <c r="J17" s="77" t="s">
        <v>81</v>
      </c>
      <c r="K17" s="84">
        <v>22.93</v>
      </c>
      <c r="L17" s="86">
        <v>2130</v>
      </c>
      <c r="M17" s="80">
        <v>0.4</v>
      </c>
      <c r="N17" s="81">
        <v>50</v>
      </c>
      <c r="O17" s="84">
        <v>6.65</v>
      </c>
      <c r="P17" s="94">
        <v>5.1668836589999998</v>
      </c>
      <c r="Q17" s="81">
        <f t="shared" si="0"/>
        <v>1.2870427203091008</v>
      </c>
      <c r="R17" s="81">
        <f t="shared" si="1"/>
        <v>342675.12428229809</v>
      </c>
      <c r="S17" s="81">
        <v>5</v>
      </c>
      <c r="T17" s="81">
        <f t="shared" si="2"/>
        <v>68535.024856459611</v>
      </c>
      <c r="U17" s="81"/>
      <c r="V17" s="81"/>
      <c r="W17" s="81"/>
      <c r="Y17" s="75"/>
      <c r="Z17" s="75"/>
      <c r="AA17" s="75"/>
      <c r="AB17" s="98"/>
      <c r="AD17" s="88"/>
      <c r="AE17" s="99"/>
      <c r="AF17" s="69"/>
      <c r="AH17" s="15"/>
      <c r="AI17" s="69"/>
      <c r="AJ17" s="69"/>
      <c r="AK17" s="69"/>
      <c r="AL17" s="69"/>
      <c r="AM17" s="69"/>
      <c r="AN17" s="69"/>
      <c r="AO17" s="69"/>
      <c r="AQ17" s="75"/>
      <c r="AR17" s="75"/>
      <c r="AS17" s="75"/>
      <c r="AT17" s="98"/>
      <c r="AW17" s="99"/>
      <c r="AX17" s="69"/>
      <c r="AZ17" s="15"/>
      <c r="BA17" s="69"/>
      <c r="BB17" s="69"/>
      <c r="BC17" s="69"/>
      <c r="BD17" s="69"/>
      <c r="BE17" s="69"/>
      <c r="BF17" s="69"/>
      <c r="BG17" s="69"/>
      <c r="BR17" s="88"/>
    </row>
    <row r="18" spans="1:70" x14ac:dyDescent="0.4">
      <c r="A18" s="85" t="s">
        <v>196</v>
      </c>
      <c r="B18" s="108" t="s">
        <v>73</v>
      </c>
      <c r="C18" s="129" t="s">
        <v>2</v>
      </c>
      <c r="D18" s="129" t="s">
        <v>484</v>
      </c>
      <c r="E18" s="129" t="s">
        <v>485</v>
      </c>
      <c r="F18" s="129" t="s">
        <v>484</v>
      </c>
      <c r="G18" s="129" t="s">
        <v>484</v>
      </c>
      <c r="H18" s="129" t="s">
        <v>484</v>
      </c>
      <c r="I18" s="111">
        <v>4.8</v>
      </c>
      <c r="J18" s="77" t="s">
        <v>81</v>
      </c>
      <c r="K18" s="84">
        <v>23.02</v>
      </c>
      <c r="L18" s="86">
        <v>2010</v>
      </c>
      <c r="M18" s="80">
        <v>0.4</v>
      </c>
      <c r="N18" s="81">
        <v>50</v>
      </c>
      <c r="O18" s="84">
        <v>6.65</v>
      </c>
      <c r="P18" s="94">
        <v>5.1668836589999998</v>
      </c>
      <c r="Q18" s="81">
        <f t="shared" si="0"/>
        <v>1.2870427203091008</v>
      </c>
      <c r="R18" s="81">
        <f t="shared" si="1"/>
        <v>323369.48347766156</v>
      </c>
      <c r="S18" s="81">
        <v>5</v>
      </c>
      <c r="T18" s="81">
        <f t="shared" si="2"/>
        <v>64673.896695532312</v>
      </c>
      <c r="U18" s="81"/>
      <c r="V18" s="87"/>
      <c r="W18" s="87"/>
      <c r="Y18" s="75"/>
      <c r="Z18" s="75"/>
      <c r="AA18" s="75"/>
      <c r="AB18" s="98"/>
      <c r="AD18" s="88"/>
      <c r="AE18" s="99"/>
      <c r="AF18" s="69"/>
      <c r="AH18" s="15"/>
      <c r="AI18" s="69"/>
      <c r="AJ18" s="69"/>
      <c r="AK18" s="69"/>
      <c r="AL18" s="69"/>
      <c r="AM18" s="69"/>
      <c r="AN18" s="69"/>
      <c r="AO18" s="69"/>
      <c r="AQ18" s="75"/>
      <c r="AR18" s="75"/>
      <c r="AS18" s="75"/>
      <c r="AT18" s="98"/>
      <c r="AW18" s="99"/>
      <c r="AX18" s="69"/>
      <c r="AZ18" s="15"/>
      <c r="BA18" s="69"/>
      <c r="BB18" s="69"/>
      <c r="BC18" s="69"/>
      <c r="BD18" s="69"/>
      <c r="BE18" s="69"/>
      <c r="BF18" s="69"/>
      <c r="BG18" s="69"/>
      <c r="BR18" s="88"/>
    </row>
    <row r="19" spans="1:70" x14ac:dyDescent="0.4">
      <c r="A19" s="85" t="s">
        <v>197</v>
      </c>
      <c r="B19" s="107" t="s">
        <v>73</v>
      </c>
      <c r="C19" s="129" t="s">
        <v>2</v>
      </c>
      <c r="D19" s="129" t="s">
        <v>484</v>
      </c>
      <c r="E19" s="129" t="s">
        <v>485</v>
      </c>
      <c r="F19" s="129" t="s">
        <v>484</v>
      </c>
      <c r="G19" s="129" t="s">
        <v>484</v>
      </c>
      <c r="H19" s="129" t="s">
        <v>484</v>
      </c>
      <c r="I19" s="111">
        <v>4.8</v>
      </c>
      <c r="J19" s="77" t="s">
        <v>81</v>
      </c>
      <c r="K19" s="84">
        <v>22.98</v>
      </c>
      <c r="L19" s="86">
        <v>2070</v>
      </c>
      <c r="M19" s="80">
        <v>0.4</v>
      </c>
      <c r="N19" s="81">
        <v>50</v>
      </c>
      <c r="O19" s="84">
        <v>6.65</v>
      </c>
      <c r="P19" s="94">
        <v>5.1668836589999998</v>
      </c>
      <c r="Q19" s="81">
        <f t="shared" si="0"/>
        <v>1.2870427203091008</v>
      </c>
      <c r="R19" s="81">
        <f t="shared" si="1"/>
        <v>333022.30387997977</v>
      </c>
      <c r="S19" s="81">
        <v>5</v>
      </c>
      <c r="T19" s="81">
        <f t="shared" si="2"/>
        <v>66604.460775995947</v>
      </c>
      <c r="U19" s="81">
        <f>AVERAGE(T17:T19)</f>
        <v>66604.460775995962</v>
      </c>
      <c r="V19" s="81">
        <f>_xlfn.STDEV.S(T17:T19)</f>
        <v>1930.5640804636496</v>
      </c>
      <c r="W19" s="81">
        <f>MAX(K17:K19)-MIN(K17:K19)</f>
        <v>8.9999999999999858E-2</v>
      </c>
      <c r="Y19" s="75"/>
      <c r="Z19" s="75"/>
      <c r="AA19" s="75"/>
      <c r="AB19" s="98"/>
      <c r="AD19" s="88"/>
      <c r="AE19" s="99"/>
      <c r="AF19" s="69"/>
      <c r="AH19" s="15"/>
      <c r="AI19" s="69"/>
      <c r="AJ19" s="69"/>
      <c r="AK19" s="69"/>
      <c r="AL19" s="69"/>
      <c r="AM19" s="69"/>
      <c r="AN19" s="69"/>
      <c r="AO19" s="69"/>
      <c r="AQ19" s="75"/>
      <c r="AR19" s="75"/>
      <c r="AS19" s="75"/>
      <c r="AT19" s="98"/>
      <c r="AW19" s="99"/>
      <c r="AX19" s="69"/>
      <c r="AZ19" s="15"/>
      <c r="BA19" s="69"/>
      <c r="BB19" s="69"/>
      <c r="BC19" s="69"/>
      <c r="BD19" s="69"/>
      <c r="BE19" s="69"/>
      <c r="BF19" s="69"/>
      <c r="BG19" s="69"/>
    </row>
    <row r="20" spans="1:70" x14ac:dyDescent="0.4">
      <c r="A20" s="85" t="s">
        <v>198</v>
      </c>
      <c r="B20" s="108" t="s">
        <v>74</v>
      </c>
      <c r="C20" s="129" t="s">
        <v>3</v>
      </c>
      <c r="D20" s="129" t="s">
        <v>484</v>
      </c>
      <c r="E20" s="129" t="s">
        <v>485</v>
      </c>
      <c r="F20" s="129" t="s">
        <v>484</v>
      </c>
      <c r="G20" s="129" t="s">
        <v>485</v>
      </c>
      <c r="H20" s="129" t="s">
        <v>484</v>
      </c>
      <c r="I20" s="111">
        <v>4.8</v>
      </c>
      <c r="J20" s="77" t="s">
        <v>81</v>
      </c>
      <c r="K20" s="84">
        <v>16.77</v>
      </c>
      <c r="L20" s="86">
        <v>119000</v>
      </c>
      <c r="M20" s="80">
        <v>0.4</v>
      </c>
      <c r="N20" s="81">
        <v>50</v>
      </c>
      <c r="O20" s="84">
        <v>2.6</v>
      </c>
      <c r="P20" s="94">
        <v>2.9581238569999999</v>
      </c>
      <c r="Q20" s="81">
        <f t="shared" si="0"/>
        <v>0.87893547589207666</v>
      </c>
      <c r="R20" s="81">
        <f t="shared" si="1"/>
        <v>13074165.203894639</v>
      </c>
      <c r="S20" s="81">
        <v>5</v>
      </c>
      <c r="T20" s="81">
        <f t="shared" si="2"/>
        <v>2614833.040778928</v>
      </c>
      <c r="U20" s="81"/>
      <c r="V20" s="87"/>
      <c r="W20" s="87"/>
      <c r="Y20" s="75"/>
      <c r="Z20" s="75"/>
      <c r="AA20" s="75"/>
      <c r="AB20" s="98"/>
      <c r="AD20" s="88"/>
      <c r="AE20" s="99"/>
      <c r="AF20" s="69"/>
      <c r="AH20" s="15"/>
      <c r="AI20" s="69"/>
      <c r="AJ20" s="69"/>
      <c r="AK20" s="69"/>
      <c r="AL20" s="69"/>
      <c r="AM20" s="69"/>
      <c r="AN20" s="69"/>
      <c r="AO20" s="69"/>
      <c r="AQ20" s="75"/>
      <c r="AR20" s="75"/>
      <c r="AS20" s="75"/>
      <c r="AT20" s="98"/>
      <c r="AV20" s="88"/>
      <c r="AW20" s="99"/>
      <c r="AX20" s="69"/>
      <c r="AZ20" s="15"/>
      <c r="BA20" s="69"/>
      <c r="BB20" s="69"/>
      <c r="BC20" s="69"/>
      <c r="BD20" s="69"/>
      <c r="BE20" s="69"/>
      <c r="BF20" s="69"/>
      <c r="BG20" s="69"/>
      <c r="BL20" s="89"/>
    </row>
    <row r="21" spans="1:70" x14ac:dyDescent="0.4">
      <c r="A21" s="85" t="s">
        <v>199</v>
      </c>
      <c r="B21" s="110" t="s">
        <v>74</v>
      </c>
      <c r="C21" s="129" t="s">
        <v>3</v>
      </c>
      <c r="D21" s="129" t="s">
        <v>484</v>
      </c>
      <c r="E21" s="129" t="s">
        <v>485</v>
      </c>
      <c r="F21" s="129" t="s">
        <v>484</v>
      </c>
      <c r="G21" s="129" t="s">
        <v>485</v>
      </c>
      <c r="H21" s="129" t="s">
        <v>484</v>
      </c>
      <c r="I21" s="111">
        <v>4.8</v>
      </c>
      <c r="J21" s="77" t="s">
        <v>81</v>
      </c>
      <c r="K21" s="84">
        <v>17.100000000000001</v>
      </c>
      <c r="L21" s="86">
        <v>95600</v>
      </c>
      <c r="M21" s="80">
        <v>0.4</v>
      </c>
      <c r="N21" s="81">
        <v>50</v>
      </c>
      <c r="O21" s="84">
        <v>2.6</v>
      </c>
      <c r="P21" s="94">
        <v>2.9581238569999999</v>
      </c>
      <c r="Q21" s="81">
        <f t="shared" si="0"/>
        <v>0.87893547589207666</v>
      </c>
      <c r="R21" s="81">
        <f t="shared" si="1"/>
        <v>10503278.936910314</v>
      </c>
      <c r="S21" s="81">
        <v>5</v>
      </c>
      <c r="T21" s="81">
        <f t="shared" si="2"/>
        <v>2100655.787382063</v>
      </c>
      <c r="U21" s="81"/>
      <c r="V21" s="91"/>
      <c r="W21" s="91"/>
      <c r="Y21" s="75"/>
      <c r="Z21" s="75"/>
      <c r="AA21" s="75"/>
      <c r="AB21" s="98"/>
      <c r="AD21" s="88"/>
      <c r="AE21" s="99"/>
      <c r="AF21" s="69"/>
      <c r="AH21" s="15"/>
      <c r="AI21" s="69"/>
      <c r="AJ21" s="69"/>
      <c r="AK21" s="69"/>
      <c r="AL21" s="69"/>
      <c r="AM21" s="69"/>
      <c r="AN21" s="69"/>
      <c r="AO21" s="69"/>
      <c r="AQ21" s="75"/>
      <c r="AR21" s="75"/>
      <c r="AS21" s="75"/>
      <c r="AT21" s="98"/>
      <c r="AV21" s="88"/>
      <c r="AW21" s="99"/>
      <c r="AX21" s="69"/>
      <c r="AZ21" s="15"/>
      <c r="BA21" s="69"/>
      <c r="BB21" s="69"/>
      <c r="BC21" s="69"/>
      <c r="BD21" s="69"/>
      <c r="BE21" s="69"/>
      <c r="BF21" s="69"/>
      <c r="BG21" s="69"/>
      <c r="BL21" s="89"/>
    </row>
    <row r="22" spans="1:70" x14ac:dyDescent="0.4">
      <c r="A22" s="85" t="s">
        <v>200</v>
      </c>
      <c r="B22" s="109" t="s">
        <v>74</v>
      </c>
      <c r="C22" s="129" t="s">
        <v>3</v>
      </c>
      <c r="D22" s="129" t="s">
        <v>484</v>
      </c>
      <c r="E22" s="129" t="s">
        <v>485</v>
      </c>
      <c r="F22" s="129" t="s">
        <v>484</v>
      </c>
      <c r="G22" s="129" t="s">
        <v>485</v>
      </c>
      <c r="H22" s="129" t="s">
        <v>484</v>
      </c>
      <c r="I22" s="111">
        <v>4.8</v>
      </c>
      <c r="J22" s="77" t="s">
        <v>81</v>
      </c>
      <c r="K22" s="84">
        <v>17.28</v>
      </c>
      <c r="L22" s="86">
        <v>84900</v>
      </c>
      <c r="M22" s="80">
        <v>0.4</v>
      </c>
      <c r="N22" s="81">
        <v>50</v>
      </c>
      <c r="O22" s="84">
        <v>2.6</v>
      </c>
      <c r="P22" s="94">
        <v>2.9581238569999999</v>
      </c>
      <c r="Q22" s="81">
        <f t="shared" si="0"/>
        <v>0.87893547589207666</v>
      </c>
      <c r="R22" s="81">
        <f t="shared" si="1"/>
        <v>9327702.7379046623</v>
      </c>
      <c r="S22" s="81">
        <v>5</v>
      </c>
      <c r="T22" s="81">
        <f t="shared" si="2"/>
        <v>1865540.5475809325</v>
      </c>
      <c r="U22" s="81">
        <f>AVERAGE(T20:T22)</f>
        <v>2193676.4585806411</v>
      </c>
      <c r="V22" s="81">
        <f>_xlfn.STDEV.S(T20:T22)</f>
        <v>383209.39973256597</v>
      </c>
      <c r="W22" s="81">
        <f>MAX(K20:K22)-MIN(K20:K22)</f>
        <v>0.51000000000000156</v>
      </c>
      <c r="Y22" s="75"/>
      <c r="Z22" s="2"/>
      <c r="AA22" s="75"/>
      <c r="AB22" s="98"/>
      <c r="AD22" s="88"/>
      <c r="AE22" s="99"/>
      <c r="AF22" s="69"/>
      <c r="AH22" s="15"/>
      <c r="AI22" s="69"/>
      <c r="AJ22" s="69"/>
      <c r="AL22" s="69"/>
      <c r="AM22" s="69"/>
      <c r="AN22" s="69"/>
      <c r="AO22" s="69"/>
      <c r="AQ22" s="75"/>
      <c r="AR22" s="2"/>
      <c r="AS22" s="75"/>
      <c r="AT22" s="98"/>
      <c r="AV22" s="88"/>
      <c r="AW22" s="99"/>
      <c r="AX22" s="69"/>
      <c r="AZ22" s="15"/>
      <c r="BA22" s="69"/>
      <c r="BB22" s="69"/>
      <c r="BD22" s="69"/>
      <c r="BE22" s="69"/>
      <c r="BF22" s="69"/>
      <c r="BG22" s="69"/>
      <c r="BL22" s="89"/>
      <c r="BR22" s="88"/>
    </row>
    <row r="23" spans="1:70" x14ac:dyDescent="0.4">
      <c r="A23" s="85" t="s">
        <v>201</v>
      </c>
      <c r="B23" s="109" t="s">
        <v>82</v>
      </c>
      <c r="C23" s="129" t="s">
        <v>0</v>
      </c>
      <c r="D23" s="129" t="s">
        <v>484</v>
      </c>
      <c r="E23" s="129" t="s">
        <v>484</v>
      </c>
      <c r="F23" s="129" t="s">
        <v>484</v>
      </c>
      <c r="G23" s="129" t="s">
        <v>484</v>
      </c>
      <c r="H23" s="129" t="s">
        <v>484</v>
      </c>
      <c r="I23" s="111">
        <v>5.8</v>
      </c>
      <c r="J23" s="77" t="s">
        <v>81</v>
      </c>
      <c r="K23" s="84">
        <v>13.48</v>
      </c>
      <c r="L23" s="86">
        <v>1010000</v>
      </c>
      <c r="M23" s="80">
        <v>0.4</v>
      </c>
      <c r="N23" s="81">
        <v>50</v>
      </c>
      <c r="O23" s="84">
        <v>25.81</v>
      </c>
      <c r="P23" s="94">
        <v>7.9015254659999998</v>
      </c>
      <c r="Q23" s="81">
        <f t="shared" si="0"/>
        <v>3.2664578645047171</v>
      </c>
      <c r="R23" s="81">
        <f t="shared" si="1"/>
        <v>412390305.39372057</v>
      </c>
      <c r="S23" s="81">
        <v>5</v>
      </c>
      <c r="T23" s="81">
        <f t="shared" si="2"/>
        <v>82478061.078744113</v>
      </c>
      <c r="U23" s="81"/>
      <c r="V23" s="84"/>
      <c r="W23" s="84"/>
      <c r="Y23" s="75"/>
      <c r="Z23" s="2"/>
      <c r="AA23" s="75"/>
      <c r="AB23" s="98"/>
      <c r="AD23" s="88"/>
      <c r="AE23" s="99"/>
      <c r="AF23" s="69"/>
      <c r="AH23" s="15"/>
      <c r="AI23" s="69"/>
      <c r="AJ23" s="69"/>
      <c r="AL23" s="69"/>
      <c r="AM23" s="69"/>
      <c r="AQ23" s="75"/>
      <c r="AR23" s="2"/>
      <c r="AS23" s="75"/>
      <c r="AT23" s="98"/>
      <c r="AV23" s="88"/>
      <c r="AW23" s="99"/>
      <c r="AX23" s="69"/>
      <c r="AZ23" s="15"/>
      <c r="BA23" s="69"/>
      <c r="BB23" s="69"/>
      <c r="BD23" s="69"/>
      <c r="BE23" s="69"/>
      <c r="BR23" s="88"/>
    </row>
    <row r="24" spans="1:70" x14ac:dyDescent="0.4">
      <c r="A24" s="85" t="s">
        <v>202</v>
      </c>
      <c r="B24" s="109" t="s">
        <v>82</v>
      </c>
      <c r="C24" s="129" t="s">
        <v>0</v>
      </c>
      <c r="D24" s="129" t="s">
        <v>484</v>
      </c>
      <c r="E24" s="129" t="s">
        <v>484</v>
      </c>
      <c r="F24" s="129" t="s">
        <v>484</v>
      </c>
      <c r="G24" s="129" t="s">
        <v>484</v>
      </c>
      <c r="H24" s="129" t="s">
        <v>484</v>
      </c>
      <c r="I24" s="111">
        <v>5.8</v>
      </c>
      <c r="J24" s="77" t="s">
        <v>81</v>
      </c>
      <c r="K24" s="84">
        <v>13.65</v>
      </c>
      <c r="L24" s="86">
        <v>909000</v>
      </c>
      <c r="M24" s="80">
        <v>0.4</v>
      </c>
      <c r="N24" s="81">
        <v>50</v>
      </c>
      <c r="O24" s="84">
        <v>25.81</v>
      </c>
      <c r="P24" s="94">
        <v>7.9015254659999998</v>
      </c>
      <c r="Q24" s="81">
        <f t="shared" si="0"/>
        <v>3.2664578645047171</v>
      </c>
      <c r="R24" s="81">
        <f t="shared" si="1"/>
        <v>371151274.85434842</v>
      </c>
      <c r="S24" s="81">
        <v>5</v>
      </c>
      <c r="T24" s="81">
        <f t="shared" si="2"/>
        <v>74230254.97086969</v>
      </c>
      <c r="U24" s="81"/>
      <c r="V24" s="84"/>
      <c r="W24" s="84"/>
      <c r="Y24" s="75"/>
      <c r="Z24" s="2"/>
      <c r="AA24" s="75"/>
      <c r="AB24" s="98"/>
      <c r="AD24" s="88"/>
      <c r="AE24" s="99"/>
      <c r="AF24" s="69"/>
      <c r="AH24" s="15"/>
      <c r="AI24" s="69"/>
      <c r="AJ24" s="69"/>
      <c r="AL24" s="69"/>
      <c r="AM24" s="69"/>
      <c r="AQ24" s="75"/>
      <c r="AR24" s="2"/>
      <c r="AS24" s="75"/>
      <c r="AT24" s="98"/>
      <c r="AV24" s="88"/>
      <c r="AW24" s="99"/>
      <c r="AX24" s="69"/>
      <c r="AZ24" s="15"/>
      <c r="BA24" s="69"/>
      <c r="BB24" s="69"/>
      <c r="BD24" s="69"/>
      <c r="BE24" s="69"/>
      <c r="BR24" s="88"/>
    </row>
    <row r="25" spans="1:70" x14ac:dyDescent="0.4">
      <c r="A25" s="85" t="s">
        <v>203</v>
      </c>
      <c r="B25" s="109" t="s">
        <v>82</v>
      </c>
      <c r="C25" s="129" t="s">
        <v>0</v>
      </c>
      <c r="D25" s="129" t="s">
        <v>484</v>
      </c>
      <c r="E25" s="129" t="s">
        <v>484</v>
      </c>
      <c r="F25" s="129" t="s">
        <v>484</v>
      </c>
      <c r="G25" s="129" t="s">
        <v>484</v>
      </c>
      <c r="H25" s="129" t="s">
        <v>484</v>
      </c>
      <c r="I25" s="111">
        <v>5.8</v>
      </c>
      <c r="J25" s="77" t="s">
        <v>81</v>
      </c>
      <c r="K25" s="84">
        <v>13.66</v>
      </c>
      <c r="L25" s="86">
        <v>899000</v>
      </c>
      <c r="M25" s="80">
        <v>0.4</v>
      </c>
      <c r="N25" s="81">
        <v>50</v>
      </c>
      <c r="O25" s="84">
        <v>25.81</v>
      </c>
      <c r="P25" s="94">
        <v>7.9015254659999998</v>
      </c>
      <c r="Q25" s="81">
        <f t="shared" si="0"/>
        <v>3.2664578645047171</v>
      </c>
      <c r="R25" s="81">
        <f t="shared" si="1"/>
        <v>367068202.52371758</v>
      </c>
      <c r="S25" s="81">
        <v>5</v>
      </c>
      <c r="T25" s="81">
        <f t="shared" si="2"/>
        <v>73413640.504743516</v>
      </c>
      <c r="U25" s="81">
        <f>AVERAGE(T23:T25)</f>
        <v>76707318.85145244</v>
      </c>
      <c r="V25" s="81">
        <f>_xlfn.STDEV.S(T23:T25)</f>
        <v>5014261.0808529984</v>
      </c>
      <c r="W25" s="81">
        <f>MAX(K23:K25)-MIN(K23:K25)</f>
        <v>0.17999999999999972</v>
      </c>
      <c r="Y25" s="75"/>
      <c r="Z25" s="2"/>
      <c r="AA25" s="75"/>
      <c r="AB25" s="98"/>
      <c r="AD25" s="88"/>
      <c r="AE25" s="99"/>
      <c r="AF25" s="69"/>
      <c r="AH25" s="15"/>
      <c r="AI25" s="69"/>
      <c r="AJ25" s="69"/>
      <c r="AL25" s="69"/>
      <c r="AM25" s="69"/>
      <c r="AN25" s="69"/>
      <c r="AO25" s="69"/>
      <c r="AQ25" s="75"/>
      <c r="AR25" s="2"/>
      <c r="AS25" s="75"/>
      <c r="AT25" s="98"/>
      <c r="AV25" s="88"/>
      <c r="AW25" s="99"/>
      <c r="AX25" s="69"/>
      <c r="AZ25" s="15"/>
      <c r="BA25" s="69"/>
      <c r="BB25" s="69"/>
      <c r="BD25" s="69"/>
      <c r="BE25" s="69"/>
      <c r="BF25" s="69"/>
      <c r="BG25" s="69"/>
      <c r="BR25" s="88"/>
    </row>
    <row r="26" spans="1:70" x14ac:dyDescent="0.4">
      <c r="A26" s="85" t="s">
        <v>204</v>
      </c>
      <c r="B26" s="109" t="s">
        <v>83</v>
      </c>
      <c r="C26" s="129" t="s">
        <v>1</v>
      </c>
      <c r="D26" s="129" t="s">
        <v>484</v>
      </c>
      <c r="E26" s="129" t="s">
        <v>484</v>
      </c>
      <c r="F26" s="129" t="s">
        <v>484</v>
      </c>
      <c r="G26" s="129" t="s">
        <v>485</v>
      </c>
      <c r="H26" s="129" t="s">
        <v>484</v>
      </c>
      <c r="I26" s="111">
        <v>5.8</v>
      </c>
      <c r="J26" s="77" t="s">
        <v>81</v>
      </c>
      <c r="K26" s="84">
        <v>11.22</v>
      </c>
      <c r="L26" s="86">
        <v>4430000</v>
      </c>
      <c r="M26" s="80">
        <v>0.4</v>
      </c>
      <c r="N26" s="81">
        <v>50</v>
      </c>
      <c r="O26" s="84">
        <v>38.130000000000003</v>
      </c>
      <c r="P26" s="94">
        <v>5.3672855950000002</v>
      </c>
      <c r="Q26" s="81">
        <f t="shared" si="0"/>
        <v>7.1041496348770314</v>
      </c>
      <c r="R26" s="81">
        <f t="shared" si="1"/>
        <v>3933922860.3131561</v>
      </c>
      <c r="S26" s="81">
        <v>5</v>
      </c>
      <c r="T26" s="81">
        <f t="shared" si="2"/>
        <v>786784572.06263125</v>
      </c>
      <c r="U26" s="81"/>
      <c r="V26" s="84"/>
      <c r="W26" s="84"/>
      <c r="Y26" s="75"/>
      <c r="Z26" s="2"/>
      <c r="AA26" s="75"/>
      <c r="AB26" s="98"/>
      <c r="AD26" s="88"/>
      <c r="AE26" s="99"/>
      <c r="AF26" s="69"/>
      <c r="AH26" s="15"/>
      <c r="AI26" s="69"/>
      <c r="AJ26" s="69"/>
      <c r="AL26" s="69"/>
      <c r="AM26" s="69"/>
      <c r="AQ26" s="75"/>
      <c r="AR26" s="2"/>
      <c r="AS26" s="75"/>
      <c r="AT26" s="98"/>
      <c r="AV26" s="88"/>
      <c r="AW26" s="99"/>
      <c r="AX26" s="69"/>
      <c r="AZ26" s="15"/>
      <c r="BA26" s="69"/>
      <c r="BB26" s="69"/>
      <c r="BD26" s="69"/>
      <c r="BE26" s="69"/>
      <c r="BR26" s="88"/>
    </row>
    <row r="27" spans="1:70" x14ac:dyDescent="0.4">
      <c r="A27" s="85" t="s">
        <v>205</v>
      </c>
      <c r="B27" s="109" t="s">
        <v>83</v>
      </c>
      <c r="C27" s="129" t="s">
        <v>1</v>
      </c>
      <c r="D27" s="129" t="s">
        <v>484</v>
      </c>
      <c r="E27" s="129" t="s">
        <v>484</v>
      </c>
      <c r="F27" s="129" t="s">
        <v>484</v>
      </c>
      <c r="G27" s="129" t="s">
        <v>485</v>
      </c>
      <c r="H27" s="129" t="s">
        <v>484</v>
      </c>
      <c r="I27" s="111">
        <v>5.8</v>
      </c>
      <c r="J27" s="77" t="s">
        <v>81</v>
      </c>
      <c r="K27" s="84">
        <v>11.32</v>
      </c>
      <c r="L27" s="86">
        <v>4160000</v>
      </c>
      <c r="M27" s="80">
        <v>0.4</v>
      </c>
      <c r="N27" s="81">
        <v>50</v>
      </c>
      <c r="O27" s="84">
        <v>38.130000000000003</v>
      </c>
      <c r="P27" s="94">
        <v>5.3672855950000002</v>
      </c>
      <c r="Q27" s="81">
        <f t="shared" si="0"/>
        <v>7.1041496348770314</v>
      </c>
      <c r="R27" s="81">
        <f t="shared" si="1"/>
        <v>3694157810.1360564</v>
      </c>
      <c r="S27" s="81">
        <v>5</v>
      </c>
      <c r="T27" s="81">
        <f t="shared" si="2"/>
        <v>738831562.02721131</v>
      </c>
      <c r="U27" s="81"/>
      <c r="V27" s="84"/>
      <c r="W27" s="84"/>
      <c r="Y27" s="75"/>
      <c r="Z27" s="2"/>
      <c r="AA27" s="75"/>
      <c r="AB27" s="98"/>
      <c r="AD27" s="88"/>
      <c r="AE27" s="99"/>
      <c r="AF27" s="69"/>
      <c r="AH27" s="15"/>
      <c r="AI27" s="69"/>
      <c r="AJ27" s="69"/>
      <c r="AL27" s="69"/>
      <c r="AM27" s="69"/>
      <c r="AQ27" s="75"/>
      <c r="AR27" s="2"/>
      <c r="AS27" s="75"/>
      <c r="AT27" s="98"/>
      <c r="AV27" s="88"/>
      <c r="AW27" s="99"/>
      <c r="AX27" s="69"/>
      <c r="AZ27" s="15"/>
      <c r="BA27" s="69"/>
      <c r="BB27" s="69"/>
      <c r="BD27" s="69"/>
      <c r="BE27" s="69"/>
      <c r="BR27" s="88"/>
    </row>
    <row r="28" spans="1:70" x14ac:dyDescent="0.4">
      <c r="A28" s="85" t="s">
        <v>206</v>
      </c>
      <c r="B28" s="109" t="s">
        <v>83</v>
      </c>
      <c r="C28" s="129" t="s">
        <v>1</v>
      </c>
      <c r="D28" s="129" t="s">
        <v>484</v>
      </c>
      <c r="E28" s="129" t="s">
        <v>484</v>
      </c>
      <c r="F28" s="129" t="s">
        <v>484</v>
      </c>
      <c r="G28" s="129" t="s">
        <v>485</v>
      </c>
      <c r="H28" s="129" t="s">
        <v>484</v>
      </c>
      <c r="I28" s="111">
        <v>5.8</v>
      </c>
      <c r="J28" s="77" t="s">
        <v>81</v>
      </c>
      <c r="K28" s="84">
        <v>11.3</v>
      </c>
      <c r="L28" s="86">
        <v>4190000</v>
      </c>
      <c r="M28" s="80">
        <v>0.4</v>
      </c>
      <c r="N28" s="81">
        <v>50</v>
      </c>
      <c r="O28" s="84">
        <v>38.130000000000003</v>
      </c>
      <c r="P28" s="94">
        <v>5.3672855950000002</v>
      </c>
      <c r="Q28" s="81">
        <f t="shared" si="0"/>
        <v>7.1041496348770314</v>
      </c>
      <c r="R28" s="81">
        <f t="shared" si="1"/>
        <v>3720798371.2668452</v>
      </c>
      <c r="S28" s="81">
        <v>5</v>
      </c>
      <c r="T28" s="81">
        <f t="shared" si="2"/>
        <v>744159674.25336909</v>
      </c>
      <c r="U28" s="81">
        <f>AVERAGE(T26:T28)</f>
        <v>756591936.11440384</v>
      </c>
      <c r="V28" s="81">
        <f>_xlfn.STDEV.S(T26:T28)</f>
        <v>26282953.488911334</v>
      </c>
      <c r="W28" s="81">
        <f>MAX(K26:K28)-MIN(K26:K28)</f>
        <v>9.9999999999999645E-2</v>
      </c>
      <c r="Y28" s="75"/>
      <c r="Z28" s="2"/>
      <c r="AA28" s="75"/>
      <c r="AB28" s="98"/>
      <c r="AD28" s="88"/>
      <c r="AE28" s="99"/>
      <c r="AF28" s="69"/>
      <c r="AH28" s="15"/>
      <c r="AI28" s="69"/>
      <c r="AJ28" s="69"/>
      <c r="AL28" s="69"/>
      <c r="AM28" s="69"/>
      <c r="AN28" s="69"/>
      <c r="AO28" s="69"/>
      <c r="AQ28" s="75"/>
      <c r="AR28" s="2"/>
      <c r="AS28" s="75"/>
      <c r="AT28" s="98"/>
      <c r="AV28" s="88"/>
      <c r="AW28" s="99"/>
      <c r="AX28" s="69"/>
      <c r="AZ28" s="15"/>
      <c r="BA28" s="69"/>
      <c r="BB28" s="69"/>
      <c r="BD28" s="69"/>
      <c r="BE28" s="69"/>
      <c r="BF28" s="69"/>
      <c r="BG28" s="69"/>
      <c r="BR28" s="88"/>
    </row>
    <row r="29" spans="1:70" x14ac:dyDescent="0.4">
      <c r="A29" s="85" t="s">
        <v>207</v>
      </c>
      <c r="B29" s="109" t="s">
        <v>84</v>
      </c>
      <c r="C29" s="129" t="s">
        <v>2</v>
      </c>
      <c r="D29" s="129" t="s">
        <v>484</v>
      </c>
      <c r="E29" s="129" t="s">
        <v>485</v>
      </c>
      <c r="F29" s="129" t="s">
        <v>484</v>
      </c>
      <c r="G29" s="129" t="s">
        <v>484</v>
      </c>
      <c r="H29" s="129" t="s">
        <v>484</v>
      </c>
      <c r="I29" s="111">
        <v>5.8</v>
      </c>
      <c r="J29" s="77" t="s">
        <v>81</v>
      </c>
      <c r="K29" s="84">
        <v>10.92</v>
      </c>
      <c r="L29" s="86">
        <v>5400000</v>
      </c>
      <c r="M29" s="80">
        <v>0.4</v>
      </c>
      <c r="N29" s="81">
        <v>50</v>
      </c>
      <c r="O29" s="84">
        <v>50.72</v>
      </c>
      <c r="P29" s="94">
        <v>6.3145562860000002</v>
      </c>
      <c r="Q29" s="81">
        <f t="shared" si="0"/>
        <v>8.0322349984354862</v>
      </c>
      <c r="R29" s="81">
        <f t="shared" si="1"/>
        <v>5421758623.9439535</v>
      </c>
      <c r="S29" s="81">
        <v>5</v>
      </c>
      <c r="T29" s="81">
        <f t="shared" si="2"/>
        <v>1084351724.7887907</v>
      </c>
      <c r="U29" s="81"/>
      <c r="V29" s="84"/>
      <c r="W29" s="84"/>
      <c r="Y29" s="75"/>
      <c r="Z29" s="2"/>
      <c r="AA29" s="75"/>
      <c r="AB29" s="98"/>
      <c r="AD29" s="88"/>
      <c r="AE29" s="99"/>
      <c r="AF29" s="69"/>
      <c r="AH29" s="15"/>
      <c r="AI29" s="69"/>
      <c r="AJ29" s="69"/>
      <c r="AL29" s="69"/>
      <c r="AM29" s="69"/>
      <c r="AQ29" s="75"/>
      <c r="AR29" s="75"/>
      <c r="AS29" s="75"/>
      <c r="AT29" s="98"/>
      <c r="AW29" s="99"/>
      <c r="AZ29" s="15"/>
      <c r="BA29" s="69"/>
      <c r="BB29" s="69"/>
      <c r="BD29" s="69"/>
      <c r="BE29" s="69"/>
      <c r="BR29" s="88"/>
    </row>
    <row r="30" spans="1:70" x14ac:dyDescent="0.4">
      <c r="A30" s="85" t="s">
        <v>208</v>
      </c>
      <c r="B30" s="109" t="s">
        <v>84</v>
      </c>
      <c r="C30" s="129" t="s">
        <v>2</v>
      </c>
      <c r="D30" s="129" t="s">
        <v>484</v>
      </c>
      <c r="E30" s="129" t="s">
        <v>485</v>
      </c>
      <c r="F30" s="129" t="s">
        <v>484</v>
      </c>
      <c r="G30" s="129" t="s">
        <v>484</v>
      </c>
      <c r="H30" s="129" t="s">
        <v>484</v>
      </c>
      <c r="I30" s="111">
        <v>5.8</v>
      </c>
      <c r="J30" s="77" t="s">
        <v>81</v>
      </c>
      <c r="K30" s="84">
        <v>11.04</v>
      </c>
      <c r="L30" s="86">
        <v>4980000</v>
      </c>
      <c r="M30" s="80">
        <v>0.4</v>
      </c>
      <c r="N30" s="81">
        <v>50</v>
      </c>
      <c r="O30" s="84">
        <v>50.72</v>
      </c>
      <c r="P30" s="94">
        <v>6.3145562860000002</v>
      </c>
      <c r="Q30" s="81">
        <f t="shared" si="0"/>
        <v>8.0322349984354862</v>
      </c>
      <c r="R30" s="81">
        <f t="shared" si="1"/>
        <v>5000066286.5260897</v>
      </c>
      <c r="S30" s="81">
        <v>5</v>
      </c>
      <c r="T30" s="81">
        <f t="shared" si="2"/>
        <v>1000013257.305218</v>
      </c>
      <c r="U30" s="81"/>
      <c r="V30" s="84"/>
      <c r="W30" s="84"/>
      <c r="Y30" s="75"/>
      <c r="Z30" s="2"/>
      <c r="AA30" s="75"/>
      <c r="AB30" s="98"/>
      <c r="AD30" s="88"/>
      <c r="AE30" s="99"/>
      <c r="AF30" s="69"/>
      <c r="AH30" s="15"/>
      <c r="AI30" s="69"/>
      <c r="AJ30" s="69"/>
      <c r="AL30" s="69"/>
      <c r="AM30" s="69"/>
      <c r="AQ30" s="75"/>
      <c r="AR30" s="75"/>
      <c r="AS30" s="75"/>
      <c r="AT30" s="98"/>
      <c r="AW30" s="99"/>
      <c r="AZ30" s="15"/>
      <c r="BA30" s="69"/>
      <c r="BB30" s="69"/>
      <c r="BD30" s="69"/>
      <c r="BE30" s="69"/>
      <c r="BR30" s="88"/>
    </row>
    <row r="31" spans="1:70" x14ac:dyDescent="0.4">
      <c r="A31" s="85" t="s">
        <v>209</v>
      </c>
      <c r="B31" s="109" t="s">
        <v>84</v>
      </c>
      <c r="C31" s="129" t="s">
        <v>2</v>
      </c>
      <c r="D31" s="129" t="s">
        <v>484</v>
      </c>
      <c r="E31" s="129" t="s">
        <v>485</v>
      </c>
      <c r="F31" s="129" t="s">
        <v>484</v>
      </c>
      <c r="G31" s="129" t="s">
        <v>484</v>
      </c>
      <c r="H31" s="129" t="s">
        <v>484</v>
      </c>
      <c r="I31" s="111">
        <v>5.8</v>
      </c>
      <c r="J31" s="77" t="s">
        <v>81</v>
      </c>
      <c r="K31" s="84">
        <v>10.89</v>
      </c>
      <c r="L31" s="86">
        <v>5490000</v>
      </c>
      <c r="M31" s="80">
        <v>0.4</v>
      </c>
      <c r="N31" s="81">
        <v>50</v>
      </c>
      <c r="O31" s="84">
        <v>50.72</v>
      </c>
      <c r="P31" s="94">
        <v>6.3145562860000002</v>
      </c>
      <c r="Q31" s="81">
        <f t="shared" si="0"/>
        <v>8.0322349984354862</v>
      </c>
      <c r="R31" s="81">
        <f t="shared" si="1"/>
        <v>5512121267.6763515</v>
      </c>
      <c r="S31" s="81">
        <v>5</v>
      </c>
      <c r="T31" s="81">
        <f t="shared" si="2"/>
        <v>1102424253.5352702</v>
      </c>
      <c r="U31" s="81">
        <f>AVERAGE(T29:T31)</f>
        <v>1062263078.5430931</v>
      </c>
      <c r="V31" s="81">
        <f>_xlfn.STDEV.S(T29:T31)</f>
        <v>54662000.11830546</v>
      </c>
      <c r="W31" s="81">
        <f>MAX(K29:K31)-MIN(K29:K31)</f>
        <v>0.14999999999999858</v>
      </c>
      <c r="Y31" s="75"/>
      <c r="Z31" s="2"/>
      <c r="AA31" s="75"/>
      <c r="AB31" s="98"/>
      <c r="AD31" s="88"/>
      <c r="AE31" s="99"/>
      <c r="AF31" s="69"/>
      <c r="AH31" s="15"/>
      <c r="AI31" s="69"/>
      <c r="AJ31" s="69"/>
      <c r="AL31" s="69"/>
      <c r="AM31" s="69"/>
      <c r="AN31" s="69"/>
      <c r="AO31" s="69"/>
      <c r="AQ31" s="75"/>
      <c r="AR31" s="75"/>
      <c r="AS31" s="75"/>
      <c r="AT31" s="98"/>
      <c r="AW31" s="99"/>
      <c r="AZ31" s="15"/>
      <c r="BA31" s="69"/>
      <c r="BB31" s="69"/>
      <c r="BD31" s="69"/>
      <c r="BE31" s="69"/>
      <c r="BF31" s="69"/>
      <c r="BG31" s="69"/>
    </row>
    <row r="32" spans="1:70" x14ac:dyDescent="0.4">
      <c r="A32" s="85" t="s">
        <v>210</v>
      </c>
      <c r="B32" s="109" t="s">
        <v>85</v>
      </c>
      <c r="C32" s="129" t="s">
        <v>3</v>
      </c>
      <c r="D32" s="129" t="s">
        <v>484</v>
      </c>
      <c r="E32" s="129" t="s">
        <v>485</v>
      </c>
      <c r="F32" s="129" t="s">
        <v>484</v>
      </c>
      <c r="G32" s="129" t="s">
        <v>485</v>
      </c>
      <c r="H32" s="129" t="s">
        <v>484</v>
      </c>
      <c r="I32" s="111">
        <v>5.8</v>
      </c>
      <c r="J32" s="77" t="s">
        <v>81</v>
      </c>
      <c r="K32" s="84">
        <v>10.46</v>
      </c>
      <c r="L32" s="86">
        <v>7280000</v>
      </c>
      <c r="M32" s="80">
        <v>0.4</v>
      </c>
      <c r="N32" s="81">
        <v>50</v>
      </c>
      <c r="O32" s="84">
        <v>69.39</v>
      </c>
      <c r="P32" s="94">
        <v>7.0441633360000004</v>
      </c>
      <c r="Q32" s="81">
        <f t="shared" si="0"/>
        <v>9.8507085497825546</v>
      </c>
      <c r="R32" s="81">
        <f t="shared" si="1"/>
        <v>8964144780.302124</v>
      </c>
      <c r="S32" s="81">
        <v>5</v>
      </c>
      <c r="T32" s="81">
        <f t="shared" si="2"/>
        <v>1792828956.0604248</v>
      </c>
      <c r="U32" s="81"/>
      <c r="V32" s="84"/>
      <c r="W32" s="84"/>
      <c r="Y32" s="75"/>
      <c r="Z32" s="2"/>
      <c r="AA32" s="75"/>
      <c r="AB32" s="98"/>
      <c r="AD32" s="88"/>
      <c r="AE32" s="99"/>
      <c r="AF32" s="69"/>
      <c r="AH32" s="15"/>
      <c r="AI32" s="69"/>
      <c r="AJ32" s="69"/>
      <c r="AL32" s="69"/>
      <c r="AM32" s="69"/>
      <c r="AQ32" s="75"/>
      <c r="AR32" s="2"/>
      <c r="AS32" s="75"/>
      <c r="AT32" s="98"/>
      <c r="AV32" s="88"/>
      <c r="AW32" s="99"/>
      <c r="AX32" s="69"/>
      <c r="AZ32" s="15"/>
      <c r="BA32" s="69"/>
      <c r="BB32" s="69"/>
      <c r="BD32" s="69"/>
      <c r="BE32" s="69"/>
    </row>
    <row r="33" spans="1:70" x14ac:dyDescent="0.4">
      <c r="A33" s="85" t="s">
        <v>211</v>
      </c>
      <c r="B33" s="109" t="s">
        <v>85</v>
      </c>
      <c r="C33" s="129" t="s">
        <v>3</v>
      </c>
      <c r="D33" s="129" t="s">
        <v>484</v>
      </c>
      <c r="E33" s="129" t="s">
        <v>485</v>
      </c>
      <c r="F33" s="129" t="s">
        <v>484</v>
      </c>
      <c r="G33" s="129" t="s">
        <v>485</v>
      </c>
      <c r="H33" s="129" t="s">
        <v>484</v>
      </c>
      <c r="I33" s="111">
        <v>5.8</v>
      </c>
      <c r="J33" s="77" t="s">
        <v>81</v>
      </c>
      <c r="K33" s="84">
        <v>10.5</v>
      </c>
      <c r="L33" s="86">
        <v>7060000</v>
      </c>
      <c r="M33" s="80">
        <v>0.4</v>
      </c>
      <c r="N33" s="81">
        <v>50</v>
      </c>
      <c r="O33" s="84">
        <v>69.39</v>
      </c>
      <c r="P33" s="94">
        <v>7.0441633360000004</v>
      </c>
      <c r="Q33" s="81">
        <f t="shared" si="0"/>
        <v>9.8507085497825546</v>
      </c>
      <c r="R33" s="81">
        <f t="shared" si="1"/>
        <v>8693250295.1831036</v>
      </c>
      <c r="S33" s="81">
        <v>5</v>
      </c>
      <c r="T33" s="81">
        <f t="shared" si="2"/>
        <v>1738650059.0366206</v>
      </c>
      <c r="U33" s="81"/>
      <c r="V33" s="84"/>
      <c r="W33" s="84"/>
      <c r="Y33" s="75"/>
      <c r="Z33" s="2"/>
      <c r="AA33" s="75"/>
      <c r="AB33" s="98"/>
      <c r="AD33" s="88"/>
      <c r="AE33" s="99"/>
      <c r="AF33" s="69"/>
      <c r="AH33" s="15"/>
      <c r="AI33" s="69"/>
      <c r="AJ33" s="69"/>
      <c r="AL33" s="69"/>
      <c r="AM33" s="69"/>
      <c r="AQ33" s="75"/>
      <c r="AR33" s="2"/>
      <c r="AS33" s="75"/>
      <c r="AT33" s="98"/>
      <c r="AV33" s="88"/>
      <c r="AW33" s="99"/>
      <c r="AX33" s="69"/>
      <c r="AZ33" s="15"/>
      <c r="BA33" s="69"/>
      <c r="BB33" s="69"/>
      <c r="BD33" s="69"/>
      <c r="BE33" s="69"/>
    </row>
    <row r="34" spans="1:70" x14ac:dyDescent="0.4">
      <c r="A34" s="85" t="s">
        <v>212</v>
      </c>
      <c r="B34" s="109" t="s">
        <v>85</v>
      </c>
      <c r="C34" s="129" t="s">
        <v>3</v>
      </c>
      <c r="D34" s="129" t="s">
        <v>484</v>
      </c>
      <c r="E34" s="129" t="s">
        <v>485</v>
      </c>
      <c r="F34" s="129" t="s">
        <v>484</v>
      </c>
      <c r="G34" s="129" t="s">
        <v>485</v>
      </c>
      <c r="H34" s="129" t="s">
        <v>484</v>
      </c>
      <c r="I34" s="111">
        <v>5.8</v>
      </c>
      <c r="J34" s="77" t="s">
        <v>81</v>
      </c>
      <c r="K34" s="84">
        <v>10.65</v>
      </c>
      <c r="L34" s="86">
        <v>6440000</v>
      </c>
      <c r="M34" s="80">
        <v>0.4</v>
      </c>
      <c r="N34" s="81">
        <v>50</v>
      </c>
      <c r="O34" s="84">
        <v>69.39</v>
      </c>
      <c r="P34" s="94">
        <v>7.0441633360000004</v>
      </c>
      <c r="Q34" s="81">
        <f t="shared" si="0"/>
        <v>9.8507085497825546</v>
      </c>
      <c r="R34" s="81">
        <f t="shared" si="1"/>
        <v>7929820382.5749559</v>
      </c>
      <c r="S34" s="81">
        <v>5</v>
      </c>
      <c r="T34" s="81">
        <f t="shared" si="2"/>
        <v>1585964076.5149913</v>
      </c>
      <c r="U34" s="81">
        <f>AVERAGE(T32:T34)</f>
        <v>1705814363.8706789</v>
      </c>
      <c r="V34" s="81">
        <f>_xlfn.STDEV.S(T32:T34)</f>
        <v>107270251.02566725</v>
      </c>
      <c r="W34" s="81">
        <f>MAX(K32:K34)-MIN(K32:K34)</f>
        <v>0.1899999999999995</v>
      </c>
      <c r="Y34" s="75"/>
      <c r="Z34" s="2"/>
      <c r="AA34" s="75"/>
      <c r="AB34" s="98"/>
      <c r="AD34" s="88"/>
      <c r="AE34" s="99"/>
      <c r="AF34" s="69"/>
      <c r="AH34" s="15"/>
      <c r="AI34" s="69"/>
      <c r="AJ34" s="69"/>
      <c r="AL34" s="69"/>
      <c r="AM34" s="69"/>
      <c r="AN34" s="69"/>
      <c r="AO34" s="69"/>
      <c r="AQ34" s="75"/>
      <c r="AR34" s="2"/>
      <c r="AS34" s="75"/>
      <c r="AT34" s="98"/>
      <c r="AV34" s="88"/>
      <c r="AW34" s="99"/>
      <c r="AX34" s="69"/>
      <c r="AZ34" s="15"/>
      <c r="BA34" s="69"/>
      <c r="BB34" s="69"/>
      <c r="BD34" s="69"/>
      <c r="BE34" s="69"/>
      <c r="BF34" s="69"/>
      <c r="BG34" s="69"/>
      <c r="BR34" s="88"/>
    </row>
    <row r="35" spans="1:70" x14ac:dyDescent="0.4">
      <c r="A35" s="85" t="s">
        <v>213</v>
      </c>
      <c r="B35" s="109" t="s">
        <v>92</v>
      </c>
      <c r="C35" s="129" t="s">
        <v>0</v>
      </c>
      <c r="D35" s="129" t="s">
        <v>484</v>
      </c>
      <c r="E35" s="129" t="s">
        <v>484</v>
      </c>
      <c r="F35" s="129" t="s">
        <v>484</v>
      </c>
      <c r="G35" s="129" t="s">
        <v>484</v>
      </c>
      <c r="H35" s="129" t="s">
        <v>484</v>
      </c>
      <c r="I35" s="111">
        <v>4.8</v>
      </c>
      <c r="J35" s="77" t="s">
        <v>132</v>
      </c>
      <c r="K35" s="84">
        <v>19.239999999999998</v>
      </c>
      <c r="L35" s="86">
        <v>23700</v>
      </c>
      <c r="M35" s="80">
        <v>0.4</v>
      </c>
      <c r="N35" s="81">
        <v>50</v>
      </c>
      <c r="O35" s="84">
        <v>0.72</v>
      </c>
      <c r="P35" s="94">
        <v>4.2003374000000003E-2</v>
      </c>
      <c r="Q35" s="81">
        <f t="shared" si="0"/>
        <v>17.141480110621586</v>
      </c>
      <c r="R35" s="81">
        <f t="shared" si="1"/>
        <v>50781634.827716447</v>
      </c>
      <c r="S35" s="81">
        <v>5</v>
      </c>
      <c r="T35" s="81">
        <f t="shared" si="2"/>
        <v>10156326.965543289</v>
      </c>
      <c r="U35" s="81"/>
      <c r="V35" s="84"/>
      <c r="W35" s="84"/>
      <c r="Y35" s="75"/>
      <c r="Z35" s="2"/>
      <c r="AA35" s="75"/>
      <c r="AB35" s="98"/>
      <c r="AD35" s="88"/>
      <c r="AE35" s="99"/>
      <c r="AF35" s="69"/>
      <c r="AH35" s="15"/>
      <c r="AI35" s="69"/>
      <c r="AJ35" s="69"/>
      <c r="AL35" s="69"/>
      <c r="AM35" s="69"/>
      <c r="AQ35" s="75"/>
      <c r="AR35" s="2"/>
      <c r="AS35" s="75"/>
      <c r="AT35" s="98"/>
      <c r="AV35" s="88"/>
      <c r="AW35" s="99"/>
      <c r="AX35" s="69"/>
      <c r="AZ35" s="15"/>
      <c r="BA35" s="69"/>
      <c r="BB35" s="69"/>
      <c r="BD35" s="69"/>
      <c r="BE35" s="69"/>
      <c r="BR35" s="88"/>
    </row>
    <row r="36" spans="1:70" x14ac:dyDescent="0.4">
      <c r="A36" s="85" t="s">
        <v>214</v>
      </c>
      <c r="B36" s="109" t="s">
        <v>92</v>
      </c>
      <c r="C36" s="129" t="s">
        <v>0</v>
      </c>
      <c r="D36" s="129" t="s">
        <v>484</v>
      </c>
      <c r="E36" s="129" t="s">
        <v>484</v>
      </c>
      <c r="F36" s="129" t="s">
        <v>484</v>
      </c>
      <c r="G36" s="129" t="s">
        <v>484</v>
      </c>
      <c r="H36" s="129" t="s">
        <v>484</v>
      </c>
      <c r="I36" s="111">
        <v>4.8</v>
      </c>
      <c r="J36" s="77" t="s">
        <v>132</v>
      </c>
      <c r="K36" s="84">
        <v>19.22</v>
      </c>
      <c r="L36" s="86">
        <v>24000</v>
      </c>
      <c r="M36" s="80">
        <v>0.4</v>
      </c>
      <c r="N36" s="81">
        <v>50</v>
      </c>
      <c r="O36" s="84">
        <v>0.72</v>
      </c>
      <c r="P36" s="94">
        <v>4.2003374000000003E-2</v>
      </c>
      <c r="Q36" s="81">
        <f t="shared" si="0"/>
        <v>17.141480110621586</v>
      </c>
      <c r="R36" s="81">
        <f t="shared" si="1"/>
        <v>51424440.331864752</v>
      </c>
      <c r="S36" s="81">
        <v>5</v>
      </c>
      <c r="T36" s="81">
        <f t="shared" si="2"/>
        <v>10284888.06637295</v>
      </c>
      <c r="U36" s="81"/>
      <c r="V36" s="84"/>
      <c r="W36" s="84"/>
      <c r="Y36" s="75"/>
      <c r="Z36" s="2"/>
      <c r="AA36" s="75"/>
      <c r="AB36" s="98"/>
      <c r="AD36" s="88"/>
      <c r="AE36" s="99"/>
      <c r="AF36" s="69"/>
      <c r="AH36" s="15"/>
      <c r="AI36" s="69"/>
      <c r="AJ36" s="69"/>
      <c r="AL36" s="69"/>
      <c r="AM36" s="69"/>
      <c r="AQ36" s="75"/>
      <c r="AR36" s="2"/>
      <c r="AS36" s="75"/>
      <c r="AT36" s="98"/>
      <c r="AV36" s="88"/>
      <c r="AW36" s="99"/>
      <c r="AX36" s="69"/>
      <c r="AZ36" s="15"/>
      <c r="BA36" s="69"/>
      <c r="BB36" s="69"/>
      <c r="BD36" s="69"/>
      <c r="BE36" s="69"/>
      <c r="BR36" s="88"/>
    </row>
    <row r="37" spans="1:70" x14ac:dyDescent="0.4">
      <c r="A37" s="85" t="s">
        <v>215</v>
      </c>
      <c r="B37" s="109" t="s">
        <v>92</v>
      </c>
      <c r="C37" s="129" t="s">
        <v>0</v>
      </c>
      <c r="D37" s="129" t="s">
        <v>484</v>
      </c>
      <c r="E37" s="129" t="s">
        <v>484</v>
      </c>
      <c r="F37" s="129" t="s">
        <v>484</v>
      </c>
      <c r="G37" s="129" t="s">
        <v>484</v>
      </c>
      <c r="H37" s="129" t="s">
        <v>484</v>
      </c>
      <c r="I37" s="111">
        <v>4.8</v>
      </c>
      <c r="J37" s="77" t="s">
        <v>132</v>
      </c>
      <c r="K37" s="84">
        <v>19.48</v>
      </c>
      <c r="L37" s="86">
        <v>20300</v>
      </c>
      <c r="M37" s="80">
        <v>0.4</v>
      </c>
      <c r="N37" s="81">
        <v>50</v>
      </c>
      <c r="O37" s="84">
        <v>0.72</v>
      </c>
      <c r="P37" s="94">
        <v>4.2003374000000003E-2</v>
      </c>
      <c r="Q37" s="81">
        <f t="shared" si="0"/>
        <v>17.141480110621586</v>
      </c>
      <c r="R37" s="81">
        <f t="shared" si="1"/>
        <v>43496505.780702271</v>
      </c>
      <c r="S37" s="81">
        <v>5</v>
      </c>
      <c r="T37" s="81">
        <f t="shared" si="2"/>
        <v>8699301.1561404541</v>
      </c>
      <c r="U37" s="81">
        <f>AVERAGE(T35:T37)</f>
        <v>9713505.3960188981</v>
      </c>
      <c r="V37" s="81">
        <f>_xlfn.STDEV.S(T35:T37)</f>
        <v>880675.68906050303</v>
      </c>
      <c r="W37" s="81">
        <f>MAX(K35:K37)-MIN(K35:K37)</f>
        <v>0.26000000000000156</v>
      </c>
      <c r="Y37" s="75"/>
      <c r="Z37" s="2"/>
      <c r="AA37" s="75"/>
      <c r="AB37" s="98"/>
      <c r="AD37" s="88"/>
      <c r="AE37" s="99"/>
      <c r="AF37" s="69"/>
      <c r="AH37" s="15"/>
      <c r="AI37" s="69"/>
      <c r="AJ37" s="69"/>
      <c r="AL37" s="69"/>
      <c r="AM37" s="69"/>
      <c r="AN37" s="69"/>
      <c r="AO37" s="69"/>
      <c r="AQ37" s="75"/>
      <c r="AR37" s="2"/>
      <c r="AS37" s="75"/>
      <c r="AT37" s="98"/>
      <c r="AV37" s="88"/>
      <c r="AW37" s="99"/>
      <c r="AX37" s="69"/>
      <c r="AZ37" s="15"/>
      <c r="BA37" s="69"/>
      <c r="BB37" s="69"/>
      <c r="BD37" s="69"/>
      <c r="BE37" s="69"/>
      <c r="BF37" s="69"/>
      <c r="BG37" s="69"/>
      <c r="BR37" s="88"/>
    </row>
    <row r="38" spans="1:70" x14ac:dyDescent="0.4">
      <c r="A38" s="85" t="s">
        <v>216</v>
      </c>
      <c r="B38" s="109" t="s">
        <v>93</v>
      </c>
      <c r="C38" s="129" t="s">
        <v>1</v>
      </c>
      <c r="D38" s="129" t="s">
        <v>484</v>
      </c>
      <c r="E38" s="129" t="s">
        <v>484</v>
      </c>
      <c r="F38" s="129" t="s">
        <v>484</v>
      </c>
      <c r="G38" s="129" t="s">
        <v>485</v>
      </c>
      <c r="H38" s="129" t="s">
        <v>484</v>
      </c>
      <c r="I38" s="111">
        <v>4.8</v>
      </c>
      <c r="J38" s="77" t="s">
        <v>132</v>
      </c>
      <c r="K38" s="84">
        <v>23.46</v>
      </c>
      <c r="L38" s="86">
        <v>1510</v>
      </c>
      <c r="M38" s="80">
        <v>0.4</v>
      </c>
      <c r="N38" s="81">
        <v>50</v>
      </c>
      <c r="O38" s="84">
        <v>-0.18</v>
      </c>
      <c r="P38" s="94">
        <v>-0.251168689</v>
      </c>
      <c r="Q38" s="81">
        <f t="shared" si="0"/>
        <v>0.71664983687516881</v>
      </c>
      <c r="R38" s="81">
        <f t="shared" si="1"/>
        <v>135267.65671018811</v>
      </c>
      <c r="S38" s="81">
        <v>5</v>
      </c>
      <c r="T38" s="81">
        <f t="shared" si="2"/>
        <v>27053.531342037622</v>
      </c>
      <c r="U38" s="81"/>
      <c r="V38" s="84"/>
      <c r="W38" s="84"/>
      <c r="Y38" s="75"/>
      <c r="Z38" s="2"/>
      <c r="AA38" s="75"/>
      <c r="AB38" s="98"/>
      <c r="AD38" s="88"/>
      <c r="AE38" s="99"/>
      <c r="AF38" s="69"/>
      <c r="AH38" s="15"/>
      <c r="AI38" s="69"/>
      <c r="AJ38" s="69"/>
      <c r="AL38" s="69"/>
      <c r="AM38" s="69"/>
      <c r="AQ38" s="75"/>
      <c r="AR38" s="2"/>
      <c r="AS38" s="75"/>
      <c r="AT38" s="98"/>
      <c r="AV38" s="88"/>
      <c r="AW38" s="99"/>
      <c r="AX38" s="69"/>
      <c r="AZ38" s="15"/>
      <c r="BA38" s="69"/>
      <c r="BB38" s="69"/>
      <c r="BD38" s="69"/>
      <c r="BE38" s="69"/>
      <c r="BR38" s="88"/>
    </row>
    <row r="39" spans="1:70" x14ac:dyDescent="0.4">
      <c r="A39" s="85" t="s">
        <v>217</v>
      </c>
      <c r="B39" s="109" t="s">
        <v>93</v>
      </c>
      <c r="C39" s="129" t="s">
        <v>1</v>
      </c>
      <c r="D39" s="129" t="s">
        <v>484</v>
      </c>
      <c r="E39" s="129" t="s">
        <v>484</v>
      </c>
      <c r="F39" s="129" t="s">
        <v>484</v>
      </c>
      <c r="G39" s="129" t="s">
        <v>485</v>
      </c>
      <c r="H39" s="129" t="s">
        <v>484</v>
      </c>
      <c r="I39" s="111">
        <v>4.8</v>
      </c>
      <c r="J39" s="77" t="s">
        <v>132</v>
      </c>
      <c r="K39" s="84">
        <v>23.54</v>
      </c>
      <c r="L39" s="86">
        <v>1430</v>
      </c>
      <c r="M39" s="80">
        <v>0.4</v>
      </c>
      <c r="N39" s="81">
        <v>50</v>
      </c>
      <c r="O39" s="84">
        <v>-0.18</v>
      </c>
      <c r="P39" s="94">
        <v>-0.251168689</v>
      </c>
      <c r="Q39" s="81">
        <f t="shared" si="0"/>
        <v>0.71664983687516881</v>
      </c>
      <c r="R39" s="81">
        <f t="shared" si="1"/>
        <v>128101.15834143641</v>
      </c>
      <c r="S39" s="81">
        <v>5</v>
      </c>
      <c r="T39" s="81">
        <f t="shared" si="2"/>
        <v>25620.231668287284</v>
      </c>
      <c r="U39" s="81"/>
      <c r="V39" s="84"/>
      <c r="W39" s="84"/>
      <c r="Y39" s="75"/>
      <c r="Z39" s="2"/>
      <c r="AA39" s="75"/>
      <c r="AB39" s="98"/>
      <c r="AD39" s="88"/>
      <c r="AE39" s="99"/>
      <c r="AF39" s="69"/>
      <c r="AH39" s="15"/>
      <c r="AI39" s="69"/>
      <c r="AJ39" s="69"/>
      <c r="AL39" s="69"/>
      <c r="AM39" s="69"/>
      <c r="AQ39" s="75"/>
      <c r="AR39" s="2"/>
      <c r="AS39" s="75"/>
      <c r="AT39" s="98"/>
      <c r="AV39" s="88"/>
      <c r="AW39" s="99"/>
      <c r="AX39" s="69"/>
      <c r="AZ39" s="15"/>
      <c r="BA39" s="69"/>
      <c r="BB39" s="69"/>
      <c r="BD39" s="69"/>
      <c r="BE39" s="69"/>
      <c r="BR39" s="88"/>
    </row>
    <row r="40" spans="1:70" x14ac:dyDescent="0.4">
      <c r="A40" s="85" t="s">
        <v>218</v>
      </c>
      <c r="B40" s="109" t="s">
        <v>93</v>
      </c>
      <c r="C40" s="129" t="s">
        <v>1</v>
      </c>
      <c r="D40" s="129" t="s">
        <v>484</v>
      </c>
      <c r="E40" s="129" t="s">
        <v>484</v>
      </c>
      <c r="F40" s="129" t="s">
        <v>484</v>
      </c>
      <c r="G40" s="129" t="s">
        <v>485</v>
      </c>
      <c r="H40" s="129" t="s">
        <v>484</v>
      </c>
      <c r="I40" s="111">
        <v>4.8</v>
      </c>
      <c r="J40" s="77" t="s">
        <v>132</v>
      </c>
      <c r="K40" s="84">
        <v>23.47</v>
      </c>
      <c r="L40" s="86">
        <v>1500</v>
      </c>
      <c r="M40" s="80">
        <v>0.4</v>
      </c>
      <c r="N40" s="81">
        <v>50</v>
      </c>
      <c r="O40" s="84">
        <v>-0.18</v>
      </c>
      <c r="P40" s="94">
        <v>-0.251168689</v>
      </c>
      <c r="Q40" s="81">
        <f t="shared" si="0"/>
        <v>0.71664983687516881</v>
      </c>
      <c r="R40" s="81">
        <f t="shared" si="1"/>
        <v>134371.84441409414</v>
      </c>
      <c r="S40" s="81">
        <v>5</v>
      </c>
      <c r="T40" s="81">
        <f t="shared" si="2"/>
        <v>26874.368882818828</v>
      </c>
      <c r="U40" s="81">
        <f>AVERAGE(T38:T40)</f>
        <v>26516.043964381246</v>
      </c>
      <c r="V40" s="81">
        <f>_xlfn.STDEV.S(T38:T40)</f>
        <v>780.95105421094206</v>
      </c>
      <c r="W40" s="81">
        <f>MAX(K38:K40)-MIN(K38:K40)</f>
        <v>7.9999999999998295E-2</v>
      </c>
      <c r="Y40" s="75"/>
      <c r="Z40" s="2"/>
      <c r="AA40" s="75"/>
      <c r="AB40" s="98"/>
      <c r="AD40" s="88"/>
      <c r="AE40" s="99"/>
      <c r="AF40" s="69"/>
      <c r="AH40" s="15"/>
      <c r="AI40" s="69"/>
      <c r="AJ40" s="69"/>
      <c r="AL40" s="69"/>
      <c r="AM40" s="69"/>
      <c r="AN40" s="69"/>
      <c r="AO40" s="69"/>
      <c r="AQ40" s="75"/>
      <c r="AR40" s="2"/>
      <c r="AS40" s="75"/>
      <c r="AT40" s="98"/>
      <c r="AV40" s="88"/>
      <c r="AW40" s="99"/>
      <c r="AX40" s="69"/>
      <c r="AZ40" s="15"/>
      <c r="BA40" s="69"/>
      <c r="BB40" s="69"/>
      <c r="BD40" s="69"/>
      <c r="BE40" s="69"/>
      <c r="BF40" s="69"/>
      <c r="BG40" s="69"/>
      <c r="BR40" s="88"/>
    </row>
    <row r="41" spans="1:70" x14ac:dyDescent="0.4">
      <c r="A41" s="85" t="s">
        <v>219</v>
      </c>
      <c r="B41" s="109" t="s">
        <v>94</v>
      </c>
      <c r="C41" s="129" t="s">
        <v>2</v>
      </c>
      <c r="D41" s="129" t="s">
        <v>484</v>
      </c>
      <c r="E41" s="129" t="s">
        <v>485</v>
      </c>
      <c r="F41" s="129" t="s">
        <v>484</v>
      </c>
      <c r="G41" s="129" t="s">
        <v>484</v>
      </c>
      <c r="H41" s="129" t="s">
        <v>484</v>
      </c>
      <c r="I41" s="111">
        <v>4.8</v>
      </c>
      <c r="J41" s="77" t="s">
        <v>132</v>
      </c>
      <c r="K41" s="84">
        <v>20.86</v>
      </c>
      <c r="L41" s="86">
        <v>8250</v>
      </c>
      <c r="M41" s="80">
        <v>0.4</v>
      </c>
      <c r="N41" s="81">
        <v>50</v>
      </c>
      <c r="O41" s="84">
        <v>-0.18</v>
      </c>
      <c r="P41" s="94">
        <v>-0.24969175199999999</v>
      </c>
      <c r="Q41" s="81">
        <f t="shared" si="0"/>
        <v>0.72088885018516746</v>
      </c>
      <c r="R41" s="81">
        <f t="shared" si="1"/>
        <v>743416.62675345386</v>
      </c>
      <c r="S41" s="81">
        <v>5</v>
      </c>
      <c r="T41" s="81">
        <f t="shared" si="2"/>
        <v>148683.32535069078</v>
      </c>
      <c r="U41" s="81"/>
      <c r="V41" s="84"/>
      <c r="W41" s="84"/>
      <c r="Y41" s="75"/>
      <c r="Z41" s="2"/>
      <c r="AA41" s="75"/>
      <c r="AB41" s="98"/>
      <c r="AD41" s="88"/>
      <c r="AE41" s="99"/>
      <c r="AF41" s="69"/>
      <c r="AH41" s="15"/>
      <c r="AI41" s="69"/>
      <c r="AJ41" s="69"/>
      <c r="AL41" s="69"/>
      <c r="AM41" s="69"/>
      <c r="AQ41" s="75"/>
      <c r="AR41" s="75"/>
      <c r="AS41" s="75"/>
      <c r="AT41" s="98"/>
      <c r="AW41" s="99"/>
      <c r="AZ41" s="15"/>
      <c r="BA41" s="69"/>
      <c r="BB41" s="69"/>
      <c r="BD41" s="69"/>
      <c r="BE41" s="69"/>
      <c r="BR41" s="88"/>
    </row>
    <row r="42" spans="1:70" x14ac:dyDescent="0.4">
      <c r="A42" s="85" t="s">
        <v>220</v>
      </c>
      <c r="B42" s="109" t="s">
        <v>94</v>
      </c>
      <c r="C42" s="129" t="s">
        <v>2</v>
      </c>
      <c r="D42" s="129" t="s">
        <v>484</v>
      </c>
      <c r="E42" s="129" t="s">
        <v>485</v>
      </c>
      <c r="F42" s="129" t="s">
        <v>484</v>
      </c>
      <c r="G42" s="129" t="s">
        <v>484</v>
      </c>
      <c r="H42" s="129" t="s">
        <v>484</v>
      </c>
      <c r="I42" s="111">
        <v>4.8</v>
      </c>
      <c r="J42" s="77" t="s">
        <v>132</v>
      </c>
      <c r="K42" s="84">
        <v>20.9</v>
      </c>
      <c r="L42" s="86">
        <v>8030</v>
      </c>
      <c r="M42" s="80">
        <v>0.4</v>
      </c>
      <c r="N42" s="81">
        <v>50</v>
      </c>
      <c r="O42" s="84">
        <v>-0.18</v>
      </c>
      <c r="P42" s="94">
        <v>-0.24969175199999999</v>
      </c>
      <c r="Q42" s="81">
        <f t="shared" si="0"/>
        <v>0.72088885018516746</v>
      </c>
      <c r="R42" s="81">
        <f t="shared" si="1"/>
        <v>723592.18337336171</v>
      </c>
      <c r="S42" s="81">
        <v>5</v>
      </c>
      <c r="T42" s="81">
        <f t="shared" si="2"/>
        <v>144718.43667467235</v>
      </c>
      <c r="U42" s="81"/>
      <c r="V42" s="84"/>
      <c r="W42" s="84"/>
      <c r="Y42" s="75"/>
      <c r="Z42" s="2"/>
      <c r="AA42" s="75"/>
      <c r="AB42" s="98"/>
      <c r="AD42" s="88"/>
      <c r="AE42" s="99"/>
      <c r="AF42" s="69"/>
      <c r="AH42" s="15"/>
      <c r="AI42" s="69"/>
      <c r="AJ42" s="69"/>
      <c r="AL42" s="69"/>
      <c r="AM42" s="69"/>
      <c r="AQ42" s="75"/>
      <c r="AR42" s="75"/>
      <c r="AS42" s="75"/>
      <c r="AT42" s="98"/>
      <c r="AW42" s="99"/>
      <c r="AZ42" s="15"/>
      <c r="BA42" s="69"/>
      <c r="BB42" s="69"/>
      <c r="BD42" s="69"/>
      <c r="BE42" s="69"/>
      <c r="BR42" s="88"/>
    </row>
    <row r="43" spans="1:70" x14ac:dyDescent="0.4">
      <c r="A43" s="85" t="s">
        <v>221</v>
      </c>
      <c r="B43" s="109" t="s">
        <v>94</v>
      </c>
      <c r="C43" s="129" t="s">
        <v>2</v>
      </c>
      <c r="D43" s="129" t="s">
        <v>484</v>
      </c>
      <c r="E43" s="129" t="s">
        <v>485</v>
      </c>
      <c r="F43" s="129" t="s">
        <v>484</v>
      </c>
      <c r="G43" s="129" t="s">
        <v>484</v>
      </c>
      <c r="H43" s="129" t="s">
        <v>484</v>
      </c>
      <c r="I43" s="111">
        <v>4.8</v>
      </c>
      <c r="J43" s="77" t="s">
        <v>132</v>
      </c>
      <c r="K43" s="84">
        <v>20.87</v>
      </c>
      <c r="L43" s="86">
        <v>8180</v>
      </c>
      <c r="M43" s="80">
        <v>0.4</v>
      </c>
      <c r="N43" s="81">
        <v>50</v>
      </c>
      <c r="O43" s="84">
        <v>-0.18</v>
      </c>
      <c r="P43" s="94">
        <v>-0.24969175199999999</v>
      </c>
      <c r="Q43" s="81">
        <f t="shared" si="0"/>
        <v>0.72088885018516746</v>
      </c>
      <c r="R43" s="81">
        <f t="shared" si="1"/>
        <v>737108.84931433375</v>
      </c>
      <c r="S43" s="81">
        <v>5</v>
      </c>
      <c r="T43" s="81">
        <f t="shared" si="2"/>
        <v>147421.76986286676</v>
      </c>
      <c r="U43" s="81">
        <f>AVERAGE(T41:T43)</f>
        <v>146941.17729607664</v>
      </c>
      <c r="V43" s="81">
        <f>_xlfn.STDEV.S(T41:T43)</f>
        <v>2025.6634628548807</v>
      </c>
      <c r="W43" s="81">
        <f>MAX(K41:K43)-MIN(K41:K43)</f>
        <v>3.9999999999999147E-2</v>
      </c>
      <c r="Y43" s="75"/>
      <c r="Z43" s="2"/>
      <c r="AA43" s="75"/>
      <c r="AB43" s="98"/>
      <c r="AD43" s="88"/>
      <c r="AE43" s="99"/>
      <c r="AF43" s="69"/>
      <c r="AH43" s="15"/>
      <c r="AI43" s="69"/>
      <c r="AJ43" s="69"/>
      <c r="AL43" s="69"/>
      <c r="AM43" s="69"/>
      <c r="AN43" s="69"/>
      <c r="AO43" s="69"/>
      <c r="AQ43" s="75"/>
      <c r="AR43" s="75"/>
      <c r="AS43" s="75"/>
      <c r="AT43" s="98"/>
      <c r="AW43" s="99"/>
      <c r="AZ43" s="15"/>
      <c r="BA43" s="69"/>
      <c r="BB43" s="69"/>
      <c r="BD43" s="69"/>
      <c r="BE43" s="69"/>
      <c r="BF43" s="69"/>
      <c r="BG43" s="69"/>
    </row>
    <row r="44" spans="1:70" x14ac:dyDescent="0.4">
      <c r="A44" s="85" t="s">
        <v>222</v>
      </c>
      <c r="B44" s="109" t="s">
        <v>95</v>
      </c>
      <c r="C44" s="129" t="s">
        <v>3</v>
      </c>
      <c r="D44" s="129" t="s">
        <v>484</v>
      </c>
      <c r="E44" s="129" t="s">
        <v>485</v>
      </c>
      <c r="F44" s="129" t="s">
        <v>484</v>
      </c>
      <c r="G44" s="129" t="s">
        <v>485</v>
      </c>
      <c r="H44" s="129" t="s">
        <v>484</v>
      </c>
      <c r="I44" s="111">
        <v>4.8</v>
      </c>
      <c r="J44" s="77" t="s">
        <v>132</v>
      </c>
      <c r="K44" s="84">
        <v>22.82</v>
      </c>
      <c r="L44" s="86">
        <v>2290</v>
      </c>
      <c r="M44" s="80">
        <v>0.4</v>
      </c>
      <c r="N44" s="81">
        <v>50</v>
      </c>
      <c r="O44" s="84">
        <v>-0.2</v>
      </c>
      <c r="P44" s="94">
        <v>-0.25744567299999999</v>
      </c>
      <c r="Q44" s="81">
        <f t="shared" si="0"/>
        <v>0.7768629306113839</v>
      </c>
      <c r="R44" s="81">
        <f t="shared" si="1"/>
        <v>222377.01388750866</v>
      </c>
      <c r="S44" s="81">
        <v>5</v>
      </c>
      <c r="T44" s="81">
        <f t="shared" si="2"/>
        <v>44475.402777501731</v>
      </c>
      <c r="U44" s="81"/>
      <c r="V44" s="84"/>
      <c r="W44" s="84"/>
      <c r="Y44" s="75"/>
      <c r="Z44" s="2"/>
      <c r="AA44" s="75"/>
      <c r="AB44" s="98"/>
      <c r="AD44" s="88"/>
      <c r="AE44" s="99"/>
      <c r="AF44" s="69"/>
      <c r="AH44" s="15"/>
      <c r="AI44" s="69"/>
      <c r="AJ44" s="69"/>
      <c r="AL44" s="69"/>
      <c r="AM44" s="69"/>
      <c r="AQ44" s="75"/>
      <c r="AR44" s="2"/>
      <c r="AS44" s="75"/>
      <c r="AT44" s="98"/>
      <c r="AV44" s="88"/>
      <c r="AW44" s="99"/>
      <c r="AX44" s="69"/>
      <c r="AZ44" s="15"/>
      <c r="BA44" s="69"/>
      <c r="BB44" s="69"/>
      <c r="BD44" s="69"/>
      <c r="BE44" s="69"/>
    </row>
    <row r="45" spans="1:70" x14ac:dyDescent="0.4">
      <c r="A45" s="85" t="s">
        <v>223</v>
      </c>
      <c r="B45" s="109" t="s">
        <v>95</v>
      </c>
      <c r="C45" s="129" t="s">
        <v>3</v>
      </c>
      <c r="D45" s="129" t="s">
        <v>484</v>
      </c>
      <c r="E45" s="129" t="s">
        <v>485</v>
      </c>
      <c r="F45" s="129" t="s">
        <v>484</v>
      </c>
      <c r="G45" s="129" t="s">
        <v>485</v>
      </c>
      <c r="H45" s="129" t="s">
        <v>484</v>
      </c>
      <c r="I45" s="111">
        <v>4.8</v>
      </c>
      <c r="J45" s="77" t="s">
        <v>132</v>
      </c>
      <c r="K45" s="84">
        <v>22.69</v>
      </c>
      <c r="L45" s="86">
        <v>2490</v>
      </c>
      <c r="M45" s="80">
        <v>0.4</v>
      </c>
      <c r="N45" s="81">
        <v>50</v>
      </c>
      <c r="O45" s="84">
        <v>-0.2</v>
      </c>
      <c r="P45" s="94">
        <v>-0.25744567299999999</v>
      </c>
      <c r="Q45" s="81">
        <f t="shared" si="0"/>
        <v>0.7768629306113839</v>
      </c>
      <c r="R45" s="81">
        <f t="shared" si="1"/>
        <v>241798.58715279322</v>
      </c>
      <c r="S45" s="81">
        <v>5</v>
      </c>
      <c r="T45" s="81">
        <f t="shared" si="2"/>
        <v>48359.717430558645</v>
      </c>
      <c r="U45" s="81"/>
      <c r="V45" s="84"/>
      <c r="W45" s="84"/>
      <c r="Y45" s="75"/>
      <c r="Z45" s="2"/>
      <c r="AA45" s="75"/>
      <c r="AB45" s="98"/>
      <c r="AD45" s="88"/>
      <c r="AE45" s="99"/>
      <c r="AF45" s="69"/>
      <c r="AH45" s="15"/>
      <c r="AI45" s="69"/>
      <c r="AJ45" s="69"/>
      <c r="AL45" s="69"/>
      <c r="AM45" s="69"/>
      <c r="AQ45" s="75"/>
      <c r="AR45" s="2"/>
      <c r="AS45" s="75"/>
      <c r="AT45" s="98"/>
      <c r="AV45" s="88"/>
      <c r="AW45" s="99"/>
      <c r="AX45" s="69"/>
      <c r="AZ45" s="15"/>
      <c r="BA45" s="69"/>
      <c r="BB45" s="69"/>
      <c r="BD45" s="69"/>
      <c r="BE45" s="69"/>
    </row>
    <row r="46" spans="1:70" x14ac:dyDescent="0.4">
      <c r="A46" s="85" t="s">
        <v>224</v>
      </c>
      <c r="B46" s="109" t="s">
        <v>95</v>
      </c>
      <c r="C46" s="129" t="s">
        <v>3</v>
      </c>
      <c r="D46" s="129" t="s">
        <v>484</v>
      </c>
      <c r="E46" s="129" t="s">
        <v>485</v>
      </c>
      <c r="F46" s="129" t="s">
        <v>484</v>
      </c>
      <c r="G46" s="129" t="s">
        <v>485</v>
      </c>
      <c r="H46" s="129" t="s">
        <v>484</v>
      </c>
      <c r="I46" s="111">
        <v>4.8</v>
      </c>
      <c r="J46" s="77" t="s">
        <v>132</v>
      </c>
      <c r="K46" s="84">
        <v>22.81</v>
      </c>
      <c r="L46" s="86">
        <v>2310</v>
      </c>
      <c r="M46" s="80">
        <v>0.4</v>
      </c>
      <c r="N46" s="81">
        <v>50</v>
      </c>
      <c r="O46" s="84">
        <v>-0.2</v>
      </c>
      <c r="P46" s="94">
        <v>-0.25744567299999999</v>
      </c>
      <c r="Q46" s="81">
        <f t="shared" si="0"/>
        <v>0.7768629306113839</v>
      </c>
      <c r="R46" s="81">
        <f t="shared" si="1"/>
        <v>224319.17121403708</v>
      </c>
      <c r="S46" s="81">
        <v>5</v>
      </c>
      <c r="T46" s="81">
        <f t="shared" si="2"/>
        <v>44863.834242807417</v>
      </c>
      <c r="U46" s="81">
        <f>AVERAGE(T44:T46)</f>
        <v>45899.651483622591</v>
      </c>
      <c r="V46" s="81">
        <f>_xlfn.STDEV.S(T44:T46)</f>
        <v>2139.3136979568103</v>
      </c>
      <c r="W46" s="81">
        <f>MAX(K44:K46)-MIN(K44:K46)</f>
        <v>0.12999999999999901</v>
      </c>
      <c r="Y46" s="75"/>
      <c r="Z46" s="2"/>
      <c r="AA46" s="75"/>
      <c r="AB46" s="98"/>
      <c r="AD46" s="88"/>
      <c r="AE46" s="99"/>
      <c r="AF46" s="69"/>
      <c r="AH46" s="15"/>
      <c r="AI46" s="69"/>
      <c r="AJ46" s="69"/>
      <c r="AL46" s="69"/>
      <c r="AM46" s="69"/>
      <c r="AN46" s="69"/>
      <c r="AO46" s="69"/>
      <c r="AQ46" s="75"/>
      <c r="AR46" s="2"/>
      <c r="AS46" s="75"/>
      <c r="AT46" s="98"/>
      <c r="AV46" s="88"/>
      <c r="AW46" s="99"/>
      <c r="AX46" s="69"/>
      <c r="AZ46" s="15"/>
      <c r="BA46" s="69"/>
      <c r="BB46" s="69"/>
      <c r="BD46" s="69"/>
      <c r="BE46" s="69"/>
      <c r="BF46" s="69"/>
      <c r="BG46" s="69"/>
      <c r="BR46" s="88"/>
    </row>
    <row r="47" spans="1:70" x14ac:dyDescent="0.4">
      <c r="A47" s="85" t="s">
        <v>225</v>
      </c>
      <c r="B47" s="109" t="s">
        <v>102</v>
      </c>
      <c r="C47" s="129" t="s">
        <v>0</v>
      </c>
      <c r="D47" s="129" t="s">
        <v>484</v>
      </c>
      <c r="E47" s="129" t="s">
        <v>484</v>
      </c>
      <c r="F47" s="129" t="s">
        <v>484</v>
      </c>
      <c r="G47" s="129" t="s">
        <v>484</v>
      </c>
      <c r="H47" s="129" t="s">
        <v>484</v>
      </c>
      <c r="I47" s="111">
        <v>5.8</v>
      </c>
      <c r="J47" s="77" t="s">
        <v>132</v>
      </c>
      <c r="K47" s="84">
        <v>17.18</v>
      </c>
      <c r="L47" s="86">
        <v>90700</v>
      </c>
      <c r="M47" s="80">
        <v>0.4</v>
      </c>
      <c r="N47" s="81">
        <v>50</v>
      </c>
      <c r="O47" s="84">
        <v>23.67</v>
      </c>
      <c r="P47" s="94">
        <v>5.9598143969999997</v>
      </c>
      <c r="Q47" s="81">
        <f t="shared" si="0"/>
        <v>3.9716001914279082</v>
      </c>
      <c r="R47" s="81">
        <f t="shared" si="1"/>
        <v>45028017.17031391</v>
      </c>
      <c r="S47" s="81">
        <v>5</v>
      </c>
      <c r="T47" s="81">
        <f t="shared" si="2"/>
        <v>9005603.4340627827</v>
      </c>
      <c r="U47" s="81"/>
      <c r="V47" s="84"/>
      <c r="W47" s="84"/>
      <c r="Y47" s="75"/>
      <c r="Z47" s="2"/>
      <c r="AA47" s="75"/>
      <c r="AB47" s="98"/>
      <c r="AD47" s="88"/>
      <c r="AE47" s="99"/>
      <c r="AF47" s="69"/>
      <c r="AH47" s="15"/>
      <c r="AI47" s="69"/>
      <c r="AJ47" s="69"/>
      <c r="AL47" s="69"/>
      <c r="AM47" s="69"/>
      <c r="AQ47" s="75"/>
      <c r="AR47" s="2"/>
      <c r="AS47" s="75"/>
      <c r="AT47" s="98"/>
      <c r="AV47" s="88"/>
      <c r="AW47" s="99"/>
      <c r="AX47" s="69"/>
      <c r="AZ47" s="15"/>
      <c r="BA47" s="69"/>
      <c r="BB47" s="69"/>
      <c r="BD47" s="69"/>
      <c r="BE47" s="69"/>
      <c r="BR47" s="88"/>
    </row>
    <row r="48" spans="1:70" x14ac:dyDescent="0.4">
      <c r="A48" s="85" t="s">
        <v>226</v>
      </c>
      <c r="B48" s="109" t="s">
        <v>102</v>
      </c>
      <c r="C48" s="129" t="s">
        <v>0</v>
      </c>
      <c r="D48" s="129" t="s">
        <v>484</v>
      </c>
      <c r="E48" s="129" t="s">
        <v>484</v>
      </c>
      <c r="F48" s="129" t="s">
        <v>484</v>
      </c>
      <c r="G48" s="129" t="s">
        <v>484</v>
      </c>
      <c r="H48" s="129" t="s">
        <v>484</v>
      </c>
      <c r="I48" s="111">
        <v>5.8</v>
      </c>
      <c r="J48" s="77" t="s">
        <v>132</v>
      </c>
      <c r="K48" s="84">
        <v>17.32</v>
      </c>
      <c r="L48" s="86">
        <v>82600</v>
      </c>
      <c r="M48" s="80">
        <v>0.4</v>
      </c>
      <c r="N48" s="81">
        <v>50</v>
      </c>
      <c r="O48" s="84">
        <v>23.67</v>
      </c>
      <c r="P48" s="94">
        <v>5.9598143969999997</v>
      </c>
      <c r="Q48" s="81">
        <f t="shared" si="0"/>
        <v>3.9716001914279082</v>
      </c>
      <c r="R48" s="81">
        <f t="shared" si="1"/>
        <v>41006771.97649315</v>
      </c>
      <c r="S48" s="81">
        <v>5</v>
      </c>
      <c r="T48" s="81">
        <f t="shared" si="2"/>
        <v>8201354.39529863</v>
      </c>
      <c r="U48" s="81"/>
      <c r="V48" s="84"/>
      <c r="W48" s="84"/>
      <c r="Y48" s="75"/>
      <c r="Z48" s="2"/>
      <c r="AA48" s="75"/>
      <c r="AB48" s="98"/>
      <c r="AD48" s="88"/>
      <c r="AE48" s="99"/>
      <c r="AF48" s="69"/>
      <c r="AH48" s="15"/>
      <c r="AI48" s="69"/>
      <c r="AJ48" s="69"/>
      <c r="AL48" s="69"/>
      <c r="AM48" s="69"/>
      <c r="AQ48" s="75"/>
      <c r="AR48" s="2"/>
      <c r="AS48" s="75"/>
      <c r="AT48" s="98"/>
      <c r="AV48" s="88"/>
      <c r="AW48" s="99"/>
      <c r="AX48" s="69"/>
      <c r="AZ48" s="15"/>
      <c r="BA48" s="69"/>
      <c r="BB48" s="69"/>
      <c r="BD48" s="69"/>
      <c r="BE48" s="69"/>
      <c r="BR48" s="88"/>
    </row>
    <row r="49" spans="1:70" x14ac:dyDescent="0.4">
      <c r="A49" s="85" t="s">
        <v>227</v>
      </c>
      <c r="B49" s="109" t="s">
        <v>102</v>
      </c>
      <c r="C49" s="129" t="s">
        <v>0</v>
      </c>
      <c r="D49" s="129" t="s">
        <v>484</v>
      </c>
      <c r="E49" s="129" t="s">
        <v>484</v>
      </c>
      <c r="F49" s="129" t="s">
        <v>484</v>
      </c>
      <c r="G49" s="129" t="s">
        <v>484</v>
      </c>
      <c r="H49" s="129" t="s">
        <v>484</v>
      </c>
      <c r="I49" s="111">
        <v>5.8</v>
      </c>
      <c r="J49" s="77" t="s">
        <v>132</v>
      </c>
      <c r="K49" s="84">
        <v>17.510000000000002</v>
      </c>
      <c r="L49" s="86">
        <v>73400</v>
      </c>
      <c r="M49" s="80">
        <v>0.4</v>
      </c>
      <c r="N49" s="81">
        <v>50</v>
      </c>
      <c r="O49" s="84">
        <v>23.67</v>
      </c>
      <c r="P49" s="94">
        <v>5.9598143969999997</v>
      </c>
      <c r="Q49" s="81">
        <f t="shared" si="0"/>
        <v>3.9716001914279082</v>
      </c>
      <c r="R49" s="81">
        <f t="shared" si="1"/>
        <v>36439431.756351054</v>
      </c>
      <c r="S49" s="81">
        <v>5</v>
      </c>
      <c r="T49" s="81">
        <f t="shared" si="2"/>
        <v>7287886.3512702109</v>
      </c>
      <c r="U49" s="81">
        <f>AVERAGE(T47:T49)</f>
        <v>8164948.0602105409</v>
      </c>
      <c r="V49" s="81">
        <f>_xlfn.STDEV.S(T47:T49)</f>
        <v>859437.05997313466</v>
      </c>
      <c r="W49" s="81">
        <f>MAX(K47:K49)-MIN(K47:K49)</f>
        <v>0.33000000000000185</v>
      </c>
      <c r="Y49" s="75"/>
      <c r="Z49" s="2"/>
      <c r="AA49" s="75"/>
      <c r="AB49" s="98"/>
      <c r="AD49" s="88"/>
      <c r="AE49" s="99"/>
      <c r="AF49" s="69"/>
      <c r="AH49" s="15"/>
      <c r="AI49" s="69"/>
      <c r="AJ49" s="69"/>
      <c r="AL49" s="69"/>
      <c r="AM49" s="69"/>
      <c r="AN49" s="69"/>
      <c r="AO49" s="69"/>
      <c r="AQ49" s="75"/>
      <c r="AR49" s="2"/>
      <c r="AS49" s="75"/>
      <c r="AT49" s="98"/>
      <c r="AV49" s="88"/>
      <c r="AW49" s="99"/>
      <c r="AX49" s="69"/>
      <c r="AZ49" s="15"/>
      <c r="BA49" s="69"/>
      <c r="BB49" s="69"/>
      <c r="BD49" s="69"/>
      <c r="BE49" s="69"/>
      <c r="BF49" s="69"/>
      <c r="BG49" s="69"/>
      <c r="BR49" s="88"/>
    </row>
    <row r="50" spans="1:70" x14ac:dyDescent="0.4">
      <c r="A50" s="85" t="s">
        <v>228</v>
      </c>
      <c r="B50" s="109" t="s">
        <v>103</v>
      </c>
      <c r="C50" s="129" t="s">
        <v>1</v>
      </c>
      <c r="D50" s="129" t="s">
        <v>484</v>
      </c>
      <c r="E50" s="129" t="s">
        <v>484</v>
      </c>
      <c r="F50" s="129" t="s">
        <v>484</v>
      </c>
      <c r="G50" s="129" t="s">
        <v>485</v>
      </c>
      <c r="H50" s="129" t="s">
        <v>484</v>
      </c>
      <c r="I50" s="111">
        <v>5.8</v>
      </c>
      <c r="J50" s="77" t="s">
        <v>132</v>
      </c>
      <c r="K50" s="84">
        <v>10.93</v>
      </c>
      <c r="L50" s="86">
        <v>5350000</v>
      </c>
      <c r="M50" s="80">
        <v>0.4</v>
      </c>
      <c r="N50" s="81">
        <v>50</v>
      </c>
      <c r="O50" s="84">
        <v>6.15</v>
      </c>
      <c r="P50" s="94">
        <v>3.2833269989999998</v>
      </c>
      <c r="Q50" s="81">
        <f t="shared" si="0"/>
        <v>1.8731000603574059</v>
      </c>
      <c r="R50" s="81">
        <f t="shared" si="1"/>
        <v>1252635665.3640151</v>
      </c>
      <c r="S50" s="81">
        <v>5</v>
      </c>
      <c r="T50" s="81">
        <f t="shared" si="2"/>
        <v>250527133.07280302</v>
      </c>
      <c r="U50" s="81"/>
      <c r="V50" s="84"/>
      <c r="W50" s="84"/>
      <c r="Y50" s="75"/>
      <c r="Z50" s="2"/>
      <c r="AA50" s="75"/>
      <c r="AB50" s="98"/>
      <c r="AD50" s="88"/>
      <c r="AE50" s="99"/>
      <c r="AF50" s="69"/>
      <c r="AH50" s="15"/>
      <c r="AI50" s="69"/>
      <c r="AJ50" s="69"/>
      <c r="AL50" s="69"/>
      <c r="AM50" s="69"/>
      <c r="AQ50" s="75"/>
      <c r="AR50" s="2"/>
      <c r="AS50" s="75"/>
      <c r="AT50" s="98"/>
      <c r="AV50" s="88"/>
      <c r="AW50" s="99"/>
      <c r="AX50" s="69"/>
      <c r="AZ50" s="15"/>
      <c r="BA50" s="69"/>
      <c r="BB50" s="69"/>
      <c r="BD50" s="69"/>
      <c r="BE50" s="69"/>
      <c r="BR50" s="88"/>
    </row>
    <row r="51" spans="1:70" x14ac:dyDescent="0.4">
      <c r="A51" s="85" t="s">
        <v>229</v>
      </c>
      <c r="B51" s="109" t="s">
        <v>103</v>
      </c>
      <c r="C51" s="129" t="s">
        <v>1</v>
      </c>
      <c r="D51" s="129" t="s">
        <v>484</v>
      </c>
      <c r="E51" s="129" t="s">
        <v>484</v>
      </c>
      <c r="F51" s="129" t="s">
        <v>484</v>
      </c>
      <c r="G51" s="129" t="s">
        <v>485</v>
      </c>
      <c r="H51" s="129" t="s">
        <v>484</v>
      </c>
      <c r="I51" s="111">
        <v>5.8</v>
      </c>
      <c r="J51" s="77" t="s">
        <v>132</v>
      </c>
      <c r="K51" s="84">
        <v>11</v>
      </c>
      <c r="L51" s="86">
        <v>5120000</v>
      </c>
      <c r="M51" s="80">
        <v>0.4</v>
      </c>
      <c r="N51" s="81">
        <v>50</v>
      </c>
      <c r="O51" s="84">
        <v>6.15</v>
      </c>
      <c r="P51" s="94">
        <v>3.2833269989999998</v>
      </c>
      <c r="Q51" s="81">
        <f t="shared" si="0"/>
        <v>1.8731000603574059</v>
      </c>
      <c r="R51" s="81">
        <f t="shared" si="1"/>
        <v>1198784038.6287398</v>
      </c>
      <c r="S51" s="81">
        <v>5</v>
      </c>
      <c r="T51" s="81">
        <f t="shared" si="2"/>
        <v>239756807.72574797</v>
      </c>
      <c r="U51" s="81"/>
      <c r="V51" s="84"/>
      <c r="W51" s="84"/>
      <c r="Y51" s="75"/>
      <c r="Z51" s="2"/>
      <c r="AA51" s="75"/>
      <c r="AB51" s="98"/>
      <c r="AD51" s="88"/>
      <c r="AE51" s="99"/>
      <c r="AF51" s="69"/>
      <c r="AH51" s="15"/>
      <c r="AI51" s="69"/>
      <c r="AJ51" s="69"/>
      <c r="AL51" s="69"/>
      <c r="AM51" s="69"/>
      <c r="AQ51" s="75"/>
      <c r="AR51" s="2"/>
      <c r="AS51" s="75"/>
      <c r="AT51" s="98"/>
      <c r="AV51" s="88"/>
      <c r="AW51" s="99"/>
      <c r="AX51" s="69"/>
      <c r="AZ51" s="15"/>
      <c r="BA51" s="69"/>
      <c r="BB51" s="69"/>
      <c r="BD51" s="69"/>
      <c r="BE51" s="69"/>
      <c r="BR51" s="88"/>
    </row>
    <row r="52" spans="1:70" x14ac:dyDescent="0.4">
      <c r="A52" s="85" t="s">
        <v>230</v>
      </c>
      <c r="B52" s="109" t="s">
        <v>103</v>
      </c>
      <c r="C52" s="129" t="s">
        <v>1</v>
      </c>
      <c r="D52" s="129" t="s">
        <v>484</v>
      </c>
      <c r="E52" s="129" t="s">
        <v>484</v>
      </c>
      <c r="F52" s="129" t="s">
        <v>484</v>
      </c>
      <c r="G52" s="129" t="s">
        <v>485</v>
      </c>
      <c r="H52" s="129" t="s">
        <v>484</v>
      </c>
      <c r="I52" s="111">
        <v>5.8</v>
      </c>
      <c r="J52" s="77" t="s">
        <v>132</v>
      </c>
      <c r="K52" s="84">
        <v>10.98</v>
      </c>
      <c r="L52" s="86">
        <v>5190000</v>
      </c>
      <c r="M52" s="80">
        <v>0.4</v>
      </c>
      <c r="N52" s="81">
        <v>50</v>
      </c>
      <c r="O52" s="84">
        <v>6.15</v>
      </c>
      <c r="P52" s="94">
        <v>3.2833269989999998</v>
      </c>
      <c r="Q52" s="81">
        <f t="shared" si="0"/>
        <v>1.8731000603574059</v>
      </c>
      <c r="R52" s="81">
        <f t="shared" si="1"/>
        <v>1215173664.156867</v>
      </c>
      <c r="S52" s="81">
        <v>5</v>
      </c>
      <c r="T52" s="81">
        <f t="shared" si="2"/>
        <v>243034732.83137339</v>
      </c>
      <c r="U52" s="81">
        <f>AVERAGE(T50:T52)</f>
        <v>244439557.87664142</v>
      </c>
      <c r="V52" s="81">
        <f>_xlfn.STDEV.S(T50:T52)</f>
        <v>5520881.005438664</v>
      </c>
      <c r="W52" s="81">
        <f>MAX(K50:K52)-MIN(K50:K52)</f>
        <v>7.0000000000000284E-2</v>
      </c>
      <c r="Y52" s="75"/>
      <c r="Z52" s="2"/>
      <c r="AA52" s="75"/>
      <c r="AB52" s="98"/>
      <c r="AD52" s="88"/>
      <c r="AE52" s="99"/>
      <c r="AF52" s="69"/>
      <c r="AH52" s="15"/>
      <c r="AI52" s="69"/>
      <c r="AJ52" s="69"/>
      <c r="AL52" s="69"/>
      <c r="AM52" s="69"/>
      <c r="AN52" s="69"/>
      <c r="AO52" s="69"/>
      <c r="AQ52" s="75"/>
      <c r="AR52" s="2"/>
      <c r="AS52" s="75"/>
      <c r="AT52" s="98"/>
      <c r="AV52" s="88"/>
      <c r="AW52" s="99"/>
      <c r="AX52" s="69"/>
      <c r="AZ52" s="15"/>
      <c r="BA52" s="69"/>
      <c r="BB52" s="69"/>
      <c r="BD52" s="69"/>
      <c r="BE52" s="69"/>
      <c r="BF52" s="69"/>
      <c r="BG52" s="69"/>
      <c r="BR52" s="88"/>
    </row>
    <row r="53" spans="1:70" x14ac:dyDescent="0.4">
      <c r="A53" s="85" t="s">
        <v>231</v>
      </c>
      <c r="B53" s="109" t="s">
        <v>104</v>
      </c>
      <c r="C53" s="129" t="s">
        <v>2</v>
      </c>
      <c r="D53" s="129" t="s">
        <v>484</v>
      </c>
      <c r="E53" s="129" t="s">
        <v>485</v>
      </c>
      <c r="F53" s="129" t="s">
        <v>484</v>
      </c>
      <c r="G53" s="129" t="s">
        <v>484</v>
      </c>
      <c r="H53" s="129" t="s">
        <v>484</v>
      </c>
      <c r="I53" s="111">
        <v>5.8</v>
      </c>
      <c r="J53" s="77" t="s">
        <v>132</v>
      </c>
      <c r="K53" s="84">
        <v>9.99</v>
      </c>
      <c r="L53" s="86">
        <v>9900000</v>
      </c>
      <c r="M53" s="80">
        <v>0.4</v>
      </c>
      <c r="N53" s="81">
        <v>50</v>
      </c>
      <c r="O53" s="84">
        <v>21.96</v>
      </c>
      <c r="P53" s="94">
        <v>6.384433885</v>
      </c>
      <c r="Q53" s="81">
        <f t="shared" si="0"/>
        <v>3.4396158524868179</v>
      </c>
      <c r="R53" s="81">
        <f t="shared" si="1"/>
        <v>4256524617.4524369</v>
      </c>
      <c r="S53" s="81">
        <v>5</v>
      </c>
      <c r="T53" s="81">
        <f t="shared" si="2"/>
        <v>851304923.49048734</v>
      </c>
      <c r="U53" s="81"/>
      <c r="V53" s="84"/>
      <c r="W53" s="84"/>
      <c r="Y53" s="75"/>
      <c r="Z53" s="2"/>
      <c r="AA53" s="75"/>
      <c r="AB53" s="98"/>
      <c r="AD53" s="88"/>
      <c r="AE53" s="99"/>
      <c r="AF53" s="69"/>
      <c r="AH53" s="15"/>
      <c r="AI53" s="69"/>
      <c r="AJ53" s="69"/>
      <c r="AL53" s="69"/>
      <c r="AM53" s="69"/>
      <c r="AQ53" s="75"/>
      <c r="AR53" s="75"/>
      <c r="AS53" s="75"/>
      <c r="AT53" s="98"/>
      <c r="AW53" s="99"/>
      <c r="AZ53" s="15"/>
      <c r="BA53" s="69"/>
      <c r="BB53" s="69"/>
      <c r="BD53" s="69"/>
      <c r="BE53" s="69"/>
      <c r="BR53" s="88"/>
    </row>
    <row r="54" spans="1:70" x14ac:dyDescent="0.4">
      <c r="A54" s="85" t="s">
        <v>232</v>
      </c>
      <c r="B54" s="109" t="s">
        <v>104</v>
      </c>
      <c r="C54" s="129" t="s">
        <v>2</v>
      </c>
      <c r="D54" s="129" t="s">
        <v>484</v>
      </c>
      <c r="E54" s="129" t="s">
        <v>485</v>
      </c>
      <c r="F54" s="129" t="s">
        <v>484</v>
      </c>
      <c r="G54" s="129" t="s">
        <v>484</v>
      </c>
      <c r="H54" s="129" t="s">
        <v>484</v>
      </c>
      <c r="I54" s="111">
        <v>5.8</v>
      </c>
      <c r="J54" s="77" t="s">
        <v>132</v>
      </c>
      <c r="K54" s="84">
        <v>10</v>
      </c>
      <c r="L54" s="86">
        <v>9790000</v>
      </c>
      <c r="M54" s="80">
        <v>0.4</v>
      </c>
      <c r="N54" s="81">
        <v>50</v>
      </c>
      <c r="O54" s="84">
        <v>21.96</v>
      </c>
      <c r="P54" s="94">
        <v>6.384433885</v>
      </c>
      <c r="Q54" s="81">
        <f t="shared" si="0"/>
        <v>3.4396158524868179</v>
      </c>
      <c r="R54" s="81">
        <f t="shared" si="1"/>
        <v>4209229899.4807434</v>
      </c>
      <c r="S54" s="81">
        <v>5</v>
      </c>
      <c r="T54" s="81">
        <f t="shared" si="2"/>
        <v>841845979.89614868</v>
      </c>
      <c r="U54" s="81"/>
      <c r="V54" s="84"/>
      <c r="W54" s="84"/>
      <c r="Y54" s="75"/>
      <c r="Z54" s="2"/>
      <c r="AA54" s="75"/>
      <c r="AB54" s="98"/>
      <c r="AD54" s="88"/>
      <c r="AE54" s="99"/>
      <c r="AF54" s="69"/>
      <c r="AH54" s="15"/>
      <c r="AI54" s="69"/>
      <c r="AJ54" s="69"/>
      <c r="AL54" s="69"/>
      <c r="AM54" s="69"/>
      <c r="AQ54" s="75"/>
      <c r="AR54" s="75"/>
      <c r="AS54" s="75"/>
      <c r="AT54" s="98"/>
      <c r="AW54" s="99"/>
      <c r="AZ54" s="15"/>
      <c r="BA54" s="69"/>
      <c r="BB54" s="69"/>
      <c r="BD54" s="69"/>
      <c r="BE54" s="69"/>
      <c r="BR54" s="88"/>
    </row>
    <row r="55" spans="1:70" x14ac:dyDescent="0.4">
      <c r="A55" s="85" t="s">
        <v>233</v>
      </c>
      <c r="B55" s="109" t="s">
        <v>104</v>
      </c>
      <c r="C55" s="129" t="s">
        <v>2</v>
      </c>
      <c r="D55" s="129" t="s">
        <v>484</v>
      </c>
      <c r="E55" s="129" t="s">
        <v>485</v>
      </c>
      <c r="F55" s="129" t="s">
        <v>484</v>
      </c>
      <c r="G55" s="129" t="s">
        <v>484</v>
      </c>
      <c r="H55" s="129" t="s">
        <v>484</v>
      </c>
      <c r="I55" s="111">
        <v>5.8</v>
      </c>
      <c r="J55" s="77" t="s">
        <v>132</v>
      </c>
      <c r="K55" s="84">
        <v>10.029999999999999</v>
      </c>
      <c r="L55" s="86">
        <v>9600000</v>
      </c>
      <c r="M55" s="80">
        <v>0.4</v>
      </c>
      <c r="N55" s="81">
        <v>50</v>
      </c>
      <c r="O55" s="84">
        <v>21.96</v>
      </c>
      <c r="P55" s="94">
        <v>6.384433885</v>
      </c>
      <c r="Q55" s="81">
        <f t="shared" si="0"/>
        <v>3.4396158524868179</v>
      </c>
      <c r="R55" s="81">
        <f t="shared" si="1"/>
        <v>4127539022.9841814</v>
      </c>
      <c r="S55" s="81">
        <v>5</v>
      </c>
      <c r="T55" s="81">
        <f t="shared" si="2"/>
        <v>825507804.59683633</v>
      </c>
      <c r="U55" s="81">
        <f>AVERAGE(T53:T55)</f>
        <v>839552902.66115749</v>
      </c>
      <c r="V55" s="81">
        <f>_xlfn.STDEV.S(T53:T55)</f>
        <v>13050535.935643323</v>
      </c>
      <c r="W55" s="81">
        <f>MAX(K53:K55)-MIN(K53:K55)</f>
        <v>3.9999999999999147E-2</v>
      </c>
      <c r="Y55" s="75"/>
      <c r="Z55" s="2"/>
      <c r="AA55" s="75"/>
      <c r="AB55" s="98"/>
      <c r="AD55" s="88"/>
      <c r="AE55" s="99"/>
      <c r="AF55" s="69"/>
      <c r="AH55" s="15"/>
      <c r="AI55" s="69"/>
      <c r="AJ55" s="69"/>
      <c r="AL55" s="69"/>
      <c r="AM55" s="69"/>
      <c r="AN55" s="69"/>
      <c r="AO55" s="69"/>
      <c r="AQ55" s="75"/>
      <c r="AR55" s="75"/>
      <c r="AS55" s="75"/>
      <c r="AT55" s="98"/>
      <c r="AW55" s="99"/>
      <c r="AZ55" s="15"/>
      <c r="BA55" s="69"/>
      <c r="BB55" s="69"/>
      <c r="BD55" s="69"/>
      <c r="BE55" s="69"/>
      <c r="BF55" s="69"/>
      <c r="BG55" s="69"/>
    </row>
    <row r="56" spans="1:70" x14ac:dyDescent="0.4">
      <c r="A56" s="85" t="s">
        <v>234</v>
      </c>
      <c r="B56" s="109" t="s">
        <v>105</v>
      </c>
      <c r="C56" s="129" t="s">
        <v>3</v>
      </c>
      <c r="D56" s="129" t="s">
        <v>484</v>
      </c>
      <c r="E56" s="129" t="s">
        <v>485</v>
      </c>
      <c r="F56" s="129" t="s">
        <v>484</v>
      </c>
      <c r="G56" s="129" t="s">
        <v>485</v>
      </c>
      <c r="H56" s="129" t="s">
        <v>484</v>
      </c>
      <c r="I56" s="111">
        <v>5.8</v>
      </c>
      <c r="J56" s="77" t="s">
        <v>132</v>
      </c>
      <c r="K56" s="84">
        <v>10.32</v>
      </c>
      <c r="L56" s="86">
        <v>7940000</v>
      </c>
      <c r="M56" s="80">
        <v>0.4</v>
      </c>
      <c r="N56" s="81">
        <v>50</v>
      </c>
      <c r="O56" s="84">
        <v>23.46</v>
      </c>
      <c r="P56" s="94">
        <v>6.0713231670000001</v>
      </c>
      <c r="Q56" s="81">
        <f t="shared" si="0"/>
        <v>3.8640670830230572</v>
      </c>
      <c r="R56" s="81">
        <f t="shared" si="1"/>
        <v>3835086579.9003844</v>
      </c>
      <c r="S56" s="81">
        <v>5</v>
      </c>
      <c r="T56" s="81">
        <f t="shared" si="2"/>
        <v>767017315.98007691</v>
      </c>
      <c r="U56" s="81"/>
      <c r="V56" s="84"/>
      <c r="W56" s="84"/>
      <c r="Y56" s="75"/>
      <c r="Z56" s="2"/>
      <c r="AA56" s="75"/>
      <c r="AB56" s="98"/>
      <c r="AD56" s="88"/>
      <c r="AE56" s="99"/>
      <c r="AF56" s="69"/>
      <c r="AH56" s="15"/>
      <c r="AI56" s="69"/>
      <c r="AJ56" s="69"/>
      <c r="AL56" s="69"/>
      <c r="AM56" s="69"/>
      <c r="AQ56" s="75"/>
      <c r="AR56" s="2"/>
      <c r="AS56" s="75"/>
      <c r="AT56" s="98"/>
      <c r="AV56" s="88"/>
      <c r="AW56" s="99"/>
      <c r="AX56" s="69"/>
      <c r="AZ56" s="15"/>
      <c r="BA56" s="69"/>
      <c r="BB56" s="69"/>
      <c r="BD56" s="69"/>
      <c r="BE56" s="69"/>
    </row>
    <row r="57" spans="1:70" x14ac:dyDescent="0.4">
      <c r="A57" s="85" t="s">
        <v>235</v>
      </c>
      <c r="B57" s="109" t="s">
        <v>105</v>
      </c>
      <c r="C57" s="129" t="s">
        <v>3</v>
      </c>
      <c r="D57" s="129" t="s">
        <v>484</v>
      </c>
      <c r="E57" s="129" t="s">
        <v>485</v>
      </c>
      <c r="F57" s="129" t="s">
        <v>484</v>
      </c>
      <c r="G57" s="129" t="s">
        <v>485</v>
      </c>
      <c r="H57" s="129" t="s">
        <v>484</v>
      </c>
      <c r="I57" s="111">
        <v>5.8</v>
      </c>
      <c r="J57" s="77" t="s">
        <v>132</v>
      </c>
      <c r="K57" s="84">
        <v>10.25</v>
      </c>
      <c r="L57" s="86">
        <v>8310000</v>
      </c>
      <c r="M57" s="80">
        <v>0.4</v>
      </c>
      <c r="N57" s="81">
        <v>50</v>
      </c>
      <c r="O57" s="84">
        <v>23.46</v>
      </c>
      <c r="P57" s="94">
        <v>6.0713231670000001</v>
      </c>
      <c r="Q57" s="81">
        <f t="shared" si="0"/>
        <v>3.8640670830230572</v>
      </c>
      <c r="R57" s="81">
        <f t="shared" si="1"/>
        <v>4013799682.490201</v>
      </c>
      <c r="S57" s="81">
        <v>5</v>
      </c>
      <c r="T57" s="81">
        <f t="shared" si="2"/>
        <v>802759936.4980402</v>
      </c>
      <c r="U57" s="81"/>
      <c r="V57" s="84"/>
      <c r="W57" s="84"/>
      <c r="Y57" s="75"/>
      <c r="Z57" s="2"/>
      <c r="AA57" s="75"/>
      <c r="AB57" s="98"/>
      <c r="AD57" s="88"/>
      <c r="AE57" s="99"/>
      <c r="AF57" s="69"/>
      <c r="AH57" s="15"/>
      <c r="AI57" s="69"/>
      <c r="AJ57" s="69"/>
      <c r="AL57" s="69"/>
      <c r="AM57" s="69"/>
      <c r="AQ57" s="75"/>
      <c r="AR57" s="2"/>
      <c r="AS57" s="75"/>
      <c r="AT57" s="98"/>
      <c r="AV57" s="88"/>
      <c r="AW57" s="99"/>
      <c r="AX57" s="69"/>
      <c r="AZ57" s="15"/>
      <c r="BA57" s="69"/>
      <c r="BB57" s="69"/>
      <c r="BD57" s="69"/>
      <c r="BE57" s="69"/>
    </row>
    <row r="58" spans="1:70" x14ac:dyDescent="0.4">
      <c r="A58" s="85" t="s">
        <v>236</v>
      </c>
      <c r="B58" s="109" t="s">
        <v>105</v>
      </c>
      <c r="C58" s="129" t="s">
        <v>3</v>
      </c>
      <c r="D58" s="129" t="s">
        <v>484</v>
      </c>
      <c r="E58" s="129" t="s">
        <v>485</v>
      </c>
      <c r="F58" s="129" t="s">
        <v>484</v>
      </c>
      <c r="G58" s="129" t="s">
        <v>485</v>
      </c>
      <c r="H58" s="129" t="s">
        <v>484</v>
      </c>
      <c r="I58" s="111">
        <v>5.8</v>
      </c>
      <c r="J58" s="77" t="s">
        <v>132</v>
      </c>
      <c r="K58" s="84">
        <v>10.3</v>
      </c>
      <c r="L58" s="86">
        <v>8050000</v>
      </c>
      <c r="M58" s="80">
        <v>0.4</v>
      </c>
      <c r="N58" s="81">
        <v>50</v>
      </c>
      <c r="O58" s="84">
        <v>23.46</v>
      </c>
      <c r="P58" s="94">
        <v>6.0713231670000001</v>
      </c>
      <c r="Q58" s="81">
        <f t="shared" si="0"/>
        <v>3.8640670830230572</v>
      </c>
      <c r="R58" s="81">
        <f t="shared" si="1"/>
        <v>3888217502.2919512</v>
      </c>
      <c r="S58" s="81">
        <v>5</v>
      </c>
      <c r="T58" s="81">
        <f t="shared" si="2"/>
        <v>777643500.45839024</v>
      </c>
      <c r="U58" s="81">
        <f>AVERAGE(T56:T58)</f>
        <v>782473584.31216908</v>
      </c>
      <c r="V58" s="81">
        <f>_xlfn.STDEV.S(T56:T58)</f>
        <v>18354318.644359536</v>
      </c>
      <c r="W58" s="81">
        <f>MAX(K56:K58)-MIN(K56:K58)</f>
        <v>7.0000000000000284E-2</v>
      </c>
      <c r="Y58" s="75"/>
      <c r="Z58" s="2"/>
      <c r="AA58" s="75"/>
      <c r="AB58" s="98"/>
      <c r="AD58" s="88"/>
      <c r="AE58" s="99"/>
      <c r="AF58" s="69"/>
      <c r="AH58" s="15"/>
      <c r="AI58" s="69"/>
      <c r="AJ58" s="69"/>
      <c r="AL58" s="69"/>
      <c r="AM58" s="69"/>
      <c r="AN58" s="69"/>
      <c r="AO58" s="69"/>
      <c r="AQ58" s="75"/>
      <c r="AR58" s="2"/>
      <c r="AS58" s="75"/>
      <c r="AT58" s="98"/>
      <c r="AV58" s="88"/>
      <c r="AW58" s="99"/>
      <c r="AX58" s="69"/>
      <c r="AZ58" s="15"/>
      <c r="BA58" s="69"/>
      <c r="BB58" s="69"/>
      <c r="BD58" s="69"/>
      <c r="BE58" s="69"/>
      <c r="BF58" s="69"/>
      <c r="BG58" s="69"/>
      <c r="BR58" s="88"/>
    </row>
    <row r="59" spans="1:70" x14ac:dyDescent="0.4">
      <c r="A59" s="85" t="s">
        <v>237</v>
      </c>
      <c r="B59" s="109" t="s">
        <v>112</v>
      </c>
      <c r="C59" s="129" t="s">
        <v>0</v>
      </c>
      <c r="D59" s="129" t="s">
        <v>484</v>
      </c>
      <c r="E59" s="129" t="s">
        <v>484</v>
      </c>
      <c r="F59" s="129" t="s">
        <v>484</v>
      </c>
      <c r="G59" s="129" t="s">
        <v>484</v>
      </c>
      <c r="H59" s="129" t="s">
        <v>484</v>
      </c>
      <c r="I59" s="111">
        <v>4.8</v>
      </c>
      <c r="J59" s="77" t="s">
        <v>133</v>
      </c>
      <c r="K59" s="84">
        <v>19.98</v>
      </c>
      <c r="L59" s="86">
        <v>14600</v>
      </c>
      <c r="M59" s="80">
        <v>0.4</v>
      </c>
      <c r="N59" s="81">
        <v>50</v>
      </c>
      <c r="O59" s="84">
        <v>3.5</v>
      </c>
      <c r="P59" s="94">
        <v>2.827784136</v>
      </c>
      <c r="Q59" s="81">
        <f t="shared" si="0"/>
        <v>1.2377182386173482</v>
      </c>
      <c r="R59" s="81">
        <f t="shared" si="1"/>
        <v>2258835.7854766604</v>
      </c>
      <c r="S59" s="81">
        <v>5</v>
      </c>
      <c r="T59" s="81">
        <f t="shared" si="2"/>
        <v>451767.15709533205</v>
      </c>
      <c r="U59" s="81"/>
      <c r="V59" s="84"/>
      <c r="W59" s="84"/>
      <c r="Y59" s="75"/>
      <c r="Z59" s="2"/>
      <c r="AA59" s="75"/>
      <c r="AB59" s="98"/>
      <c r="AD59" s="88"/>
      <c r="AE59" s="99"/>
      <c r="AF59" s="69"/>
      <c r="AH59" s="15"/>
      <c r="AI59" s="69"/>
      <c r="AJ59" s="69"/>
      <c r="AL59" s="69"/>
      <c r="AM59" s="69"/>
      <c r="AQ59" s="75"/>
      <c r="AR59" s="2"/>
      <c r="AS59" s="75"/>
      <c r="AT59" s="98"/>
      <c r="AV59" s="88"/>
      <c r="AW59" s="99"/>
      <c r="AX59" s="69"/>
      <c r="AZ59" s="15"/>
      <c r="BA59" s="69"/>
      <c r="BB59" s="69"/>
      <c r="BD59" s="69"/>
      <c r="BE59" s="69"/>
      <c r="BR59" s="88"/>
    </row>
    <row r="60" spans="1:70" x14ac:dyDescent="0.4">
      <c r="A60" s="85" t="s">
        <v>238</v>
      </c>
      <c r="B60" s="109" t="s">
        <v>112</v>
      </c>
      <c r="C60" s="129" t="s">
        <v>0</v>
      </c>
      <c r="D60" s="129" t="s">
        <v>484</v>
      </c>
      <c r="E60" s="129" t="s">
        <v>484</v>
      </c>
      <c r="F60" s="129" t="s">
        <v>484</v>
      </c>
      <c r="G60" s="129" t="s">
        <v>484</v>
      </c>
      <c r="H60" s="129" t="s">
        <v>484</v>
      </c>
      <c r="I60" s="111">
        <v>4.8</v>
      </c>
      <c r="J60" s="77" t="s">
        <v>133</v>
      </c>
      <c r="K60" s="84">
        <v>20.14</v>
      </c>
      <c r="L60" s="86">
        <v>13200</v>
      </c>
      <c r="M60" s="80">
        <v>0.4</v>
      </c>
      <c r="N60" s="81">
        <v>50</v>
      </c>
      <c r="O60" s="84">
        <v>3.5</v>
      </c>
      <c r="P60" s="94">
        <v>2.827784136</v>
      </c>
      <c r="Q60" s="81">
        <f t="shared" si="0"/>
        <v>1.2377182386173482</v>
      </c>
      <c r="R60" s="81">
        <f t="shared" si="1"/>
        <v>2042235.0937186244</v>
      </c>
      <c r="S60" s="81">
        <v>5</v>
      </c>
      <c r="T60" s="81">
        <f t="shared" si="2"/>
        <v>408447.01874372491</v>
      </c>
      <c r="U60" s="81"/>
      <c r="V60" s="84"/>
      <c r="W60" s="84"/>
      <c r="Y60" s="75"/>
      <c r="Z60" s="2"/>
      <c r="AA60" s="75"/>
      <c r="AB60" s="98"/>
      <c r="AD60" s="88"/>
      <c r="AE60" s="99"/>
      <c r="AF60" s="69"/>
      <c r="AH60" s="15"/>
      <c r="AI60" s="69"/>
      <c r="AJ60" s="69"/>
      <c r="AL60" s="69"/>
      <c r="AM60" s="69"/>
      <c r="AQ60" s="75"/>
      <c r="AR60" s="2"/>
      <c r="AS60" s="75"/>
      <c r="AT60" s="98"/>
      <c r="AV60" s="88"/>
      <c r="AW60" s="99"/>
      <c r="AX60" s="69"/>
      <c r="AZ60" s="15"/>
      <c r="BA60" s="69"/>
      <c r="BB60" s="69"/>
      <c r="BD60" s="69"/>
      <c r="BE60" s="69"/>
      <c r="BR60" s="88"/>
    </row>
    <row r="61" spans="1:70" x14ac:dyDescent="0.4">
      <c r="A61" s="85" t="s">
        <v>239</v>
      </c>
      <c r="B61" s="109" t="s">
        <v>112</v>
      </c>
      <c r="C61" s="129" t="s">
        <v>0</v>
      </c>
      <c r="D61" s="129" t="s">
        <v>484</v>
      </c>
      <c r="E61" s="129" t="s">
        <v>484</v>
      </c>
      <c r="F61" s="129" t="s">
        <v>484</v>
      </c>
      <c r="G61" s="129" t="s">
        <v>484</v>
      </c>
      <c r="H61" s="129" t="s">
        <v>484</v>
      </c>
      <c r="I61" s="111">
        <v>4.8</v>
      </c>
      <c r="J61" s="77" t="s">
        <v>133</v>
      </c>
      <c r="K61" s="84">
        <v>20.2</v>
      </c>
      <c r="L61" s="86">
        <v>12700</v>
      </c>
      <c r="M61" s="80">
        <v>0.4</v>
      </c>
      <c r="N61" s="81">
        <v>50</v>
      </c>
      <c r="O61" s="84">
        <v>3.5</v>
      </c>
      <c r="P61" s="94">
        <v>2.827784136</v>
      </c>
      <c r="Q61" s="81">
        <f t="shared" si="0"/>
        <v>1.2377182386173482</v>
      </c>
      <c r="R61" s="81">
        <f t="shared" si="1"/>
        <v>1964877.7038050401</v>
      </c>
      <c r="S61" s="81">
        <v>5</v>
      </c>
      <c r="T61" s="81">
        <f t="shared" si="2"/>
        <v>392975.54076100804</v>
      </c>
      <c r="U61" s="81">
        <f>AVERAGE(T59:T61)</f>
        <v>417729.90553335502</v>
      </c>
      <c r="V61" s="81">
        <f>_xlfn.STDEV.S(T59:T61)</f>
        <v>30475.277327079486</v>
      </c>
      <c r="W61" s="81">
        <f>MAX(K59:K61)-MIN(K59:K61)</f>
        <v>0.21999999999999886</v>
      </c>
      <c r="Y61" s="75"/>
      <c r="Z61" s="2"/>
      <c r="AA61" s="75"/>
      <c r="AB61" s="98"/>
      <c r="AD61" s="88"/>
      <c r="AE61" s="99"/>
      <c r="AF61" s="69"/>
      <c r="AH61" s="15"/>
      <c r="AI61" s="69"/>
      <c r="AJ61" s="69"/>
      <c r="AL61" s="69"/>
      <c r="AM61" s="69"/>
      <c r="AN61" s="69"/>
      <c r="AO61" s="69"/>
      <c r="AQ61" s="75"/>
      <c r="AR61" s="2"/>
      <c r="AS61" s="75"/>
      <c r="AT61" s="98"/>
      <c r="AV61" s="88"/>
      <c r="AW61" s="99"/>
      <c r="AX61" s="69"/>
      <c r="AZ61" s="15"/>
      <c r="BA61" s="69"/>
      <c r="BB61" s="69"/>
      <c r="BD61" s="69"/>
      <c r="BE61" s="69"/>
      <c r="BF61" s="69"/>
      <c r="BG61" s="69"/>
      <c r="BR61" s="88"/>
    </row>
    <row r="62" spans="1:70" x14ac:dyDescent="0.4">
      <c r="A62" s="85" t="s">
        <v>240</v>
      </c>
      <c r="B62" s="109" t="s">
        <v>113</v>
      </c>
      <c r="C62" s="129" t="s">
        <v>1</v>
      </c>
      <c r="D62" s="129" t="s">
        <v>484</v>
      </c>
      <c r="E62" s="129" t="s">
        <v>484</v>
      </c>
      <c r="F62" s="129" t="s">
        <v>484</v>
      </c>
      <c r="G62" s="129" t="s">
        <v>485</v>
      </c>
      <c r="H62" s="129" t="s">
        <v>484</v>
      </c>
      <c r="I62" s="111">
        <v>4.8</v>
      </c>
      <c r="J62" s="77" t="s">
        <v>133</v>
      </c>
      <c r="K62" s="84">
        <v>19.829999999999998</v>
      </c>
      <c r="L62" s="86">
        <v>16100</v>
      </c>
      <c r="M62" s="80">
        <v>0.4</v>
      </c>
      <c r="N62" s="81">
        <v>50</v>
      </c>
      <c r="O62" s="84">
        <v>3.02</v>
      </c>
      <c r="P62" s="94">
        <v>3.1959107699999998</v>
      </c>
      <c r="Q62" s="81">
        <f t="shared" si="0"/>
        <v>0.9449575464836899</v>
      </c>
      <c r="R62" s="81">
        <f t="shared" si="1"/>
        <v>1901727.0622984257</v>
      </c>
      <c r="S62" s="81">
        <v>5</v>
      </c>
      <c r="T62" s="81">
        <f t="shared" si="2"/>
        <v>380345.41245968512</v>
      </c>
      <c r="U62" s="81"/>
      <c r="V62" s="84"/>
      <c r="W62" s="84"/>
      <c r="Y62" s="75"/>
      <c r="Z62" s="2"/>
      <c r="AA62" s="75"/>
      <c r="AB62" s="98"/>
      <c r="AD62" s="88"/>
      <c r="AE62" s="99"/>
      <c r="AF62" s="69"/>
      <c r="AH62" s="15"/>
      <c r="AI62" s="69"/>
      <c r="AJ62" s="69"/>
      <c r="AL62" s="69"/>
      <c r="AM62" s="69"/>
      <c r="AQ62" s="75"/>
      <c r="AR62" s="2"/>
      <c r="AS62" s="75"/>
      <c r="AT62" s="98"/>
      <c r="AV62" s="88"/>
      <c r="AW62" s="99"/>
      <c r="AX62" s="69"/>
      <c r="AZ62" s="15"/>
      <c r="BA62" s="69"/>
      <c r="BB62" s="69"/>
      <c r="BD62" s="69"/>
      <c r="BE62" s="69"/>
      <c r="BR62" s="88"/>
    </row>
    <row r="63" spans="1:70" x14ac:dyDescent="0.4">
      <c r="A63" s="85" t="s">
        <v>241</v>
      </c>
      <c r="B63" s="109" t="s">
        <v>113</v>
      </c>
      <c r="C63" s="129" t="s">
        <v>1</v>
      </c>
      <c r="D63" s="129" t="s">
        <v>484</v>
      </c>
      <c r="E63" s="129" t="s">
        <v>484</v>
      </c>
      <c r="F63" s="129" t="s">
        <v>484</v>
      </c>
      <c r="G63" s="129" t="s">
        <v>485</v>
      </c>
      <c r="H63" s="129" t="s">
        <v>484</v>
      </c>
      <c r="I63" s="111">
        <v>4.8</v>
      </c>
      <c r="J63" s="77" t="s">
        <v>133</v>
      </c>
      <c r="K63" s="84">
        <v>19.93</v>
      </c>
      <c r="L63" s="86">
        <v>15100</v>
      </c>
      <c r="M63" s="80">
        <v>0.4</v>
      </c>
      <c r="N63" s="81">
        <v>50</v>
      </c>
      <c r="O63" s="84">
        <v>3.02</v>
      </c>
      <c r="P63" s="94">
        <v>3.1959107699999998</v>
      </c>
      <c r="Q63" s="81">
        <f t="shared" si="0"/>
        <v>0.9449575464836899</v>
      </c>
      <c r="R63" s="81">
        <f t="shared" si="1"/>
        <v>1783607.3689879645</v>
      </c>
      <c r="S63" s="81">
        <v>5</v>
      </c>
      <c r="T63" s="81">
        <f t="shared" si="2"/>
        <v>356721.47379759292</v>
      </c>
      <c r="U63" s="81"/>
      <c r="V63" s="84"/>
      <c r="W63" s="84"/>
      <c r="Y63" s="75"/>
      <c r="Z63" s="2"/>
      <c r="AA63" s="75"/>
      <c r="AB63" s="98"/>
      <c r="AD63" s="88"/>
      <c r="AE63" s="99"/>
      <c r="AF63" s="69"/>
      <c r="AH63" s="15"/>
      <c r="AI63" s="69"/>
      <c r="AJ63" s="69"/>
      <c r="AL63" s="69"/>
      <c r="AM63" s="69"/>
      <c r="AQ63" s="75"/>
      <c r="AR63" s="2"/>
      <c r="AS63" s="75"/>
      <c r="AT63" s="98"/>
      <c r="AV63" s="88"/>
      <c r="AW63" s="99"/>
      <c r="AX63" s="69"/>
      <c r="AZ63" s="15"/>
      <c r="BA63" s="69"/>
      <c r="BB63" s="69"/>
      <c r="BD63" s="69"/>
      <c r="BE63" s="69"/>
      <c r="BR63" s="88"/>
    </row>
    <row r="64" spans="1:70" x14ac:dyDescent="0.4">
      <c r="A64" s="85" t="s">
        <v>242</v>
      </c>
      <c r="B64" s="109" t="s">
        <v>113</v>
      </c>
      <c r="C64" s="129" t="s">
        <v>1</v>
      </c>
      <c r="D64" s="129" t="s">
        <v>484</v>
      </c>
      <c r="E64" s="129" t="s">
        <v>484</v>
      </c>
      <c r="F64" s="129" t="s">
        <v>484</v>
      </c>
      <c r="G64" s="129" t="s">
        <v>485</v>
      </c>
      <c r="H64" s="129" t="s">
        <v>484</v>
      </c>
      <c r="I64" s="111">
        <v>4.8</v>
      </c>
      <c r="J64" s="77" t="s">
        <v>133</v>
      </c>
      <c r="K64" s="84">
        <v>19.899999999999999</v>
      </c>
      <c r="L64" s="86">
        <v>15400</v>
      </c>
      <c r="M64" s="80">
        <v>0.4</v>
      </c>
      <c r="N64" s="81">
        <v>50</v>
      </c>
      <c r="O64" s="84">
        <v>3.02</v>
      </c>
      <c r="P64" s="94">
        <v>3.1959107699999998</v>
      </c>
      <c r="Q64" s="81">
        <f t="shared" si="0"/>
        <v>0.9449575464836899</v>
      </c>
      <c r="R64" s="81">
        <f t="shared" si="1"/>
        <v>1819043.276981103</v>
      </c>
      <c r="S64" s="81">
        <v>5</v>
      </c>
      <c r="T64" s="81">
        <f t="shared" si="2"/>
        <v>363808.65539622062</v>
      </c>
      <c r="U64" s="81">
        <f>AVERAGE(T62:T64)</f>
        <v>366958.51388449949</v>
      </c>
      <c r="V64" s="81">
        <f>_xlfn.STDEV.S(T62:T64)</f>
        <v>12122.863764379717</v>
      </c>
      <c r="W64" s="81">
        <f>MAX(K62:K64)-MIN(K62:K64)</f>
        <v>0.10000000000000142</v>
      </c>
      <c r="Y64" s="75"/>
      <c r="Z64" s="2"/>
      <c r="AA64" s="75"/>
      <c r="AB64" s="98"/>
      <c r="AD64" s="88"/>
      <c r="AE64" s="99"/>
      <c r="AF64" s="69"/>
      <c r="AH64" s="15"/>
      <c r="AI64" s="69"/>
      <c r="AJ64" s="69"/>
      <c r="AL64" s="69"/>
      <c r="AM64" s="69"/>
      <c r="AN64" s="69"/>
      <c r="AO64" s="69"/>
      <c r="AQ64" s="75"/>
      <c r="AR64" s="2"/>
      <c r="AS64" s="75"/>
      <c r="AT64" s="98"/>
      <c r="AV64" s="88"/>
      <c r="AW64" s="99"/>
      <c r="AX64" s="69"/>
      <c r="AZ64" s="15"/>
      <c r="BA64" s="69"/>
      <c r="BB64" s="69"/>
      <c r="BD64" s="69"/>
      <c r="BE64" s="69"/>
      <c r="BF64" s="69"/>
      <c r="BG64" s="69"/>
      <c r="BR64" s="88"/>
    </row>
    <row r="65" spans="1:70" x14ac:dyDescent="0.4">
      <c r="A65" s="85" t="s">
        <v>243</v>
      </c>
      <c r="B65" s="109" t="s">
        <v>114</v>
      </c>
      <c r="C65" s="129" t="s">
        <v>2</v>
      </c>
      <c r="D65" s="129" t="s">
        <v>484</v>
      </c>
      <c r="E65" s="129" t="s">
        <v>485</v>
      </c>
      <c r="F65" s="129" t="s">
        <v>484</v>
      </c>
      <c r="G65" s="129" t="s">
        <v>484</v>
      </c>
      <c r="H65" s="129" t="s">
        <v>484</v>
      </c>
      <c r="I65" s="111">
        <v>4.8</v>
      </c>
      <c r="J65" s="77" t="s">
        <v>133</v>
      </c>
      <c r="K65" s="84">
        <v>17.809999999999999</v>
      </c>
      <c r="L65" s="86">
        <v>60000</v>
      </c>
      <c r="M65" s="80">
        <v>0.4</v>
      </c>
      <c r="N65" s="81">
        <v>50</v>
      </c>
      <c r="O65" s="84">
        <v>4.87</v>
      </c>
      <c r="P65" s="94">
        <v>5.485071349</v>
      </c>
      <c r="Q65" s="81">
        <f t="shared" si="0"/>
        <v>0.88786447616362629</v>
      </c>
      <c r="R65" s="81">
        <f t="shared" si="1"/>
        <v>6658983.5712271975</v>
      </c>
      <c r="S65" s="81">
        <v>5</v>
      </c>
      <c r="T65" s="81">
        <f t="shared" si="2"/>
        <v>1331796.7142454395</v>
      </c>
      <c r="U65" s="81"/>
      <c r="V65" s="84"/>
      <c r="W65" s="84"/>
      <c r="Y65" s="75"/>
      <c r="Z65" s="2"/>
      <c r="AA65" s="75"/>
      <c r="AB65" s="98"/>
      <c r="AD65" s="88"/>
      <c r="AE65" s="99"/>
      <c r="AF65" s="69"/>
      <c r="AH65" s="15"/>
      <c r="AI65" s="69"/>
      <c r="AJ65" s="69"/>
      <c r="AL65" s="69"/>
      <c r="AM65" s="69"/>
      <c r="AQ65" s="75"/>
      <c r="AR65" s="75"/>
      <c r="AS65" s="75"/>
      <c r="AT65" s="98"/>
      <c r="AW65" s="99"/>
      <c r="AZ65" s="15"/>
      <c r="BA65" s="69"/>
      <c r="BB65" s="69"/>
      <c r="BD65" s="69"/>
      <c r="BE65" s="69"/>
      <c r="BR65" s="88"/>
    </row>
    <row r="66" spans="1:70" x14ac:dyDescent="0.4">
      <c r="A66" s="85" t="s">
        <v>244</v>
      </c>
      <c r="B66" s="109" t="s">
        <v>114</v>
      </c>
      <c r="C66" s="129" t="s">
        <v>2</v>
      </c>
      <c r="D66" s="129" t="s">
        <v>484</v>
      </c>
      <c r="E66" s="129" t="s">
        <v>485</v>
      </c>
      <c r="F66" s="129" t="s">
        <v>484</v>
      </c>
      <c r="G66" s="129" t="s">
        <v>484</v>
      </c>
      <c r="H66" s="129" t="s">
        <v>484</v>
      </c>
      <c r="I66" s="111">
        <v>4.8</v>
      </c>
      <c r="J66" s="77" t="s">
        <v>133</v>
      </c>
      <c r="K66" s="84">
        <v>17.87</v>
      </c>
      <c r="L66" s="86">
        <v>58000</v>
      </c>
      <c r="M66" s="80">
        <v>0.4</v>
      </c>
      <c r="N66" s="81">
        <v>50</v>
      </c>
      <c r="O66" s="84">
        <v>4.87</v>
      </c>
      <c r="P66" s="94">
        <v>5.485071349</v>
      </c>
      <c r="Q66" s="81">
        <f t="shared" si="0"/>
        <v>0.88786447616362629</v>
      </c>
      <c r="R66" s="81">
        <f t="shared" si="1"/>
        <v>6437017.4521862902</v>
      </c>
      <c r="S66" s="81">
        <v>5</v>
      </c>
      <c r="T66" s="81">
        <f t="shared" si="2"/>
        <v>1287403.490437258</v>
      </c>
      <c r="U66" s="81"/>
      <c r="V66" s="84"/>
      <c r="W66" s="84"/>
      <c r="Y66" s="75"/>
      <c r="Z66" s="2"/>
      <c r="AA66" s="75"/>
      <c r="AB66" s="98"/>
      <c r="AD66" s="88"/>
      <c r="AE66" s="99"/>
      <c r="AF66" s="69"/>
      <c r="AH66" s="15"/>
      <c r="AI66" s="69"/>
      <c r="AJ66" s="69"/>
      <c r="AL66" s="69"/>
      <c r="AM66" s="69"/>
      <c r="AQ66" s="75"/>
      <c r="AR66" s="75"/>
      <c r="AS66" s="75"/>
      <c r="AT66" s="98"/>
      <c r="AW66" s="99"/>
      <c r="AZ66" s="15"/>
      <c r="BA66" s="69"/>
      <c r="BB66" s="69"/>
      <c r="BD66" s="69"/>
      <c r="BE66" s="69"/>
      <c r="BR66" s="88"/>
    </row>
    <row r="67" spans="1:70" x14ac:dyDescent="0.4">
      <c r="A67" s="85" t="s">
        <v>245</v>
      </c>
      <c r="B67" s="109" t="s">
        <v>114</v>
      </c>
      <c r="C67" s="129" t="s">
        <v>2</v>
      </c>
      <c r="D67" s="129" t="s">
        <v>484</v>
      </c>
      <c r="E67" s="129" t="s">
        <v>485</v>
      </c>
      <c r="F67" s="129" t="s">
        <v>484</v>
      </c>
      <c r="G67" s="129" t="s">
        <v>484</v>
      </c>
      <c r="H67" s="129" t="s">
        <v>484</v>
      </c>
      <c r="I67" s="111">
        <v>4.8</v>
      </c>
      <c r="J67" s="77" t="s">
        <v>133</v>
      </c>
      <c r="K67" s="84">
        <v>17.899999999999999</v>
      </c>
      <c r="L67" s="86">
        <v>56800</v>
      </c>
      <c r="M67" s="80">
        <v>0.4</v>
      </c>
      <c r="N67" s="81">
        <v>50</v>
      </c>
      <c r="O67" s="84">
        <v>4.87</v>
      </c>
      <c r="P67" s="94">
        <v>5.485071349</v>
      </c>
      <c r="Q67" s="81">
        <f t="shared" si="0"/>
        <v>0.88786447616362629</v>
      </c>
      <c r="R67" s="81">
        <f t="shared" si="1"/>
        <v>6303837.7807617467</v>
      </c>
      <c r="S67" s="81">
        <v>5</v>
      </c>
      <c r="T67" s="81">
        <f t="shared" si="2"/>
        <v>1260767.5561523493</v>
      </c>
      <c r="U67" s="81">
        <f>AVERAGE(T65:T67)</f>
        <v>1293322.5869450157</v>
      </c>
      <c r="V67" s="81">
        <f>_xlfn.STDEV.S(T65:T67)</f>
        <v>35882.615602188343</v>
      </c>
      <c r="W67" s="81">
        <f>MAX(K65:K67)-MIN(K65:K67)</f>
        <v>8.9999999999999858E-2</v>
      </c>
      <c r="Y67" s="75"/>
      <c r="Z67" s="2"/>
      <c r="AA67" s="75"/>
      <c r="AB67" s="98"/>
      <c r="AD67" s="88"/>
      <c r="AE67" s="99"/>
      <c r="AF67" s="69"/>
      <c r="AH67" s="15"/>
      <c r="AI67" s="69"/>
      <c r="AJ67" s="69"/>
      <c r="AL67" s="69"/>
      <c r="AM67" s="69"/>
      <c r="AN67" s="69"/>
      <c r="AO67" s="69"/>
      <c r="AQ67" s="75"/>
      <c r="AR67" s="75"/>
      <c r="AS67" s="75"/>
      <c r="AT67" s="98"/>
      <c r="AW67" s="99"/>
      <c r="AZ67" s="15"/>
      <c r="BA67" s="69"/>
      <c r="BB67" s="69"/>
      <c r="BD67" s="69"/>
      <c r="BE67" s="69"/>
      <c r="BF67" s="69"/>
      <c r="BG67" s="69"/>
    </row>
    <row r="68" spans="1:70" x14ac:dyDescent="0.4">
      <c r="A68" s="85" t="s">
        <v>246</v>
      </c>
      <c r="B68" s="109" t="s">
        <v>115</v>
      </c>
      <c r="C68" s="129" t="s">
        <v>3</v>
      </c>
      <c r="D68" s="129" t="s">
        <v>484</v>
      </c>
      <c r="E68" s="129" t="s">
        <v>485</v>
      </c>
      <c r="F68" s="129" t="s">
        <v>484</v>
      </c>
      <c r="G68" s="129" t="s">
        <v>485</v>
      </c>
      <c r="H68" s="129" t="s">
        <v>484</v>
      </c>
      <c r="I68" s="111">
        <v>4.8</v>
      </c>
      <c r="J68" s="77" t="s">
        <v>133</v>
      </c>
      <c r="K68" s="84">
        <v>18.239999999999998</v>
      </c>
      <c r="L68" s="86">
        <v>45600</v>
      </c>
      <c r="M68" s="80">
        <v>0.4</v>
      </c>
      <c r="N68" s="81">
        <v>50</v>
      </c>
      <c r="O68" s="84">
        <v>4.04</v>
      </c>
      <c r="P68" s="94">
        <v>3.981826055</v>
      </c>
      <c r="Q68" s="81">
        <f t="shared" si="0"/>
        <v>1.0146098659751726</v>
      </c>
      <c r="R68" s="81">
        <f t="shared" si="1"/>
        <v>5783276.2360584838</v>
      </c>
      <c r="S68" s="81">
        <v>5</v>
      </c>
      <c r="T68" s="81">
        <f t="shared" si="2"/>
        <v>1156655.2472116968</v>
      </c>
      <c r="U68" s="81"/>
      <c r="V68" s="84"/>
      <c r="W68" s="84"/>
      <c r="Y68" s="75"/>
      <c r="Z68" s="2"/>
      <c r="AA68" s="75"/>
      <c r="AB68" s="98"/>
      <c r="AD68" s="88"/>
      <c r="AE68" s="99"/>
      <c r="AF68" s="69"/>
      <c r="AH68" s="15"/>
      <c r="AI68" s="69"/>
      <c r="AJ68" s="69"/>
      <c r="AL68" s="69"/>
      <c r="AM68" s="69"/>
      <c r="AQ68" s="75"/>
      <c r="AR68" s="2"/>
      <c r="AS68" s="75"/>
      <c r="AT68" s="98"/>
      <c r="AV68" s="88"/>
      <c r="AW68" s="99"/>
      <c r="AX68" s="69"/>
      <c r="AZ68" s="15"/>
      <c r="BA68" s="69"/>
      <c r="BB68" s="69"/>
      <c r="BD68" s="69"/>
      <c r="BE68" s="69"/>
    </row>
    <row r="69" spans="1:70" x14ac:dyDescent="0.4">
      <c r="A69" s="85" t="s">
        <v>247</v>
      </c>
      <c r="B69" s="109" t="s">
        <v>115</v>
      </c>
      <c r="C69" s="129" t="s">
        <v>3</v>
      </c>
      <c r="D69" s="129" t="s">
        <v>484</v>
      </c>
      <c r="E69" s="129" t="s">
        <v>485</v>
      </c>
      <c r="F69" s="129" t="s">
        <v>484</v>
      </c>
      <c r="G69" s="129" t="s">
        <v>485</v>
      </c>
      <c r="H69" s="129" t="s">
        <v>484</v>
      </c>
      <c r="I69" s="111">
        <v>4.8</v>
      </c>
      <c r="J69" s="77" t="s">
        <v>133</v>
      </c>
      <c r="K69" s="84">
        <v>18.079999999999998</v>
      </c>
      <c r="L69" s="86">
        <v>50300</v>
      </c>
      <c r="M69" s="80">
        <v>0.4</v>
      </c>
      <c r="N69" s="81">
        <v>50</v>
      </c>
      <c r="O69" s="84">
        <v>4.04</v>
      </c>
      <c r="P69" s="94">
        <v>3.981826055</v>
      </c>
      <c r="Q69" s="81">
        <f t="shared" si="0"/>
        <v>1.0146098659751726</v>
      </c>
      <c r="R69" s="81">
        <f t="shared" si="1"/>
        <v>6379359.5323188975</v>
      </c>
      <c r="S69" s="81">
        <v>5</v>
      </c>
      <c r="T69" s="81">
        <f t="shared" si="2"/>
        <v>1275871.9064637795</v>
      </c>
      <c r="U69" s="81"/>
      <c r="V69" s="84"/>
      <c r="W69" s="84"/>
      <c r="Y69" s="75"/>
      <c r="Z69" s="2"/>
      <c r="AA69" s="75"/>
      <c r="AB69" s="98"/>
      <c r="AD69" s="88"/>
      <c r="AE69" s="99"/>
      <c r="AF69" s="69"/>
      <c r="AH69" s="15"/>
      <c r="AI69" s="69"/>
      <c r="AJ69" s="69"/>
      <c r="AL69" s="69"/>
      <c r="AM69" s="69"/>
      <c r="AQ69" s="75"/>
      <c r="AR69" s="2"/>
      <c r="AS69" s="75"/>
      <c r="AT69" s="98"/>
      <c r="AV69" s="88"/>
      <c r="AW69" s="99"/>
      <c r="AX69" s="69"/>
      <c r="AZ69" s="15"/>
      <c r="BA69" s="69"/>
      <c r="BB69" s="69"/>
      <c r="BD69" s="69"/>
      <c r="BE69" s="69"/>
    </row>
    <row r="70" spans="1:70" x14ac:dyDescent="0.4">
      <c r="A70" s="85" t="s">
        <v>248</v>
      </c>
      <c r="B70" s="109" t="s">
        <v>115</v>
      </c>
      <c r="C70" s="129" t="s">
        <v>3</v>
      </c>
      <c r="D70" s="129" t="s">
        <v>484</v>
      </c>
      <c r="E70" s="129" t="s">
        <v>485</v>
      </c>
      <c r="F70" s="129" t="s">
        <v>484</v>
      </c>
      <c r="G70" s="129" t="s">
        <v>485</v>
      </c>
      <c r="H70" s="129" t="s">
        <v>484</v>
      </c>
      <c r="I70" s="111">
        <v>4.8</v>
      </c>
      <c r="J70" s="77" t="s">
        <v>133</v>
      </c>
      <c r="K70" s="84">
        <v>18.190000000000001</v>
      </c>
      <c r="L70" s="86">
        <v>46800</v>
      </c>
      <c r="M70" s="80">
        <v>0.4</v>
      </c>
      <c r="N70" s="81">
        <v>50</v>
      </c>
      <c r="O70" s="84">
        <v>4.04</v>
      </c>
      <c r="P70" s="94">
        <v>3.981826055</v>
      </c>
      <c r="Q70" s="81">
        <f t="shared" si="0"/>
        <v>1.0146098659751726</v>
      </c>
      <c r="R70" s="81">
        <f t="shared" si="1"/>
        <v>5935467.7159547592</v>
      </c>
      <c r="S70" s="81">
        <v>5</v>
      </c>
      <c r="T70" s="81">
        <f t="shared" si="2"/>
        <v>1187093.5431909519</v>
      </c>
      <c r="U70" s="81">
        <f>AVERAGE(T68:T70)</f>
        <v>1206540.2322888093</v>
      </c>
      <c r="V70" s="81">
        <f>_xlfn.STDEV.S(T68:T70)</f>
        <v>61941.773049036507</v>
      </c>
      <c r="W70" s="81">
        <f>MAX(K68:K70)-MIN(K68:K70)</f>
        <v>0.16000000000000014</v>
      </c>
      <c r="Y70" s="75"/>
      <c r="Z70" s="2"/>
      <c r="AA70" s="75"/>
      <c r="AB70" s="98"/>
      <c r="AD70" s="88"/>
      <c r="AE70" s="99"/>
      <c r="AF70" s="69"/>
      <c r="AH70" s="15"/>
      <c r="AI70" s="69"/>
      <c r="AJ70" s="69"/>
      <c r="AL70" s="69"/>
      <c r="AM70" s="69"/>
      <c r="AN70" s="69"/>
      <c r="AO70" s="69"/>
      <c r="AQ70" s="75"/>
      <c r="AR70" s="2"/>
      <c r="AS70" s="75"/>
      <c r="AT70" s="98"/>
      <c r="AV70" s="88"/>
      <c r="AW70" s="99"/>
      <c r="AX70" s="69"/>
      <c r="AZ70" s="15"/>
      <c r="BA70" s="69"/>
      <c r="BB70" s="69"/>
      <c r="BD70" s="69"/>
      <c r="BE70" s="69"/>
      <c r="BF70" s="69"/>
      <c r="BG70" s="69"/>
      <c r="BR70" s="88"/>
    </row>
    <row r="71" spans="1:70" x14ac:dyDescent="0.4">
      <c r="A71" s="85" t="s">
        <v>249</v>
      </c>
      <c r="B71" s="109" t="s">
        <v>122</v>
      </c>
      <c r="C71" s="129" t="s">
        <v>0</v>
      </c>
      <c r="D71" s="129" t="s">
        <v>484</v>
      </c>
      <c r="E71" s="129" t="s">
        <v>484</v>
      </c>
      <c r="F71" s="129" t="s">
        <v>484</v>
      </c>
      <c r="G71" s="129" t="s">
        <v>484</v>
      </c>
      <c r="H71" s="129" t="s">
        <v>484</v>
      </c>
      <c r="I71" s="111">
        <v>5.8</v>
      </c>
      <c r="J71" s="77" t="s">
        <v>133</v>
      </c>
      <c r="K71" s="84">
        <v>17.7</v>
      </c>
      <c r="L71" s="86">
        <v>64800</v>
      </c>
      <c r="M71" s="80">
        <v>0.4</v>
      </c>
      <c r="N71" s="81">
        <v>50</v>
      </c>
      <c r="O71" s="84">
        <v>40.74</v>
      </c>
      <c r="P71" s="94">
        <v>6.9645010279999999</v>
      </c>
      <c r="Q71" s="81">
        <f t="shared" si="0"/>
        <v>5.8496653006740003</v>
      </c>
      <c r="R71" s="81">
        <f t="shared" si="1"/>
        <v>47382288.935459405</v>
      </c>
      <c r="S71" s="81">
        <v>5</v>
      </c>
      <c r="T71" s="81">
        <f t="shared" si="2"/>
        <v>9476457.787091881</v>
      </c>
      <c r="U71" s="81"/>
      <c r="V71" s="84"/>
      <c r="W71" s="84"/>
      <c r="Y71" s="75"/>
      <c r="Z71" s="2"/>
      <c r="AA71" s="75"/>
      <c r="AB71" s="98"/>
      <c r="AD71" s="88"/>
      <c r="AE71" s="99"/>
      <c r="AF71" s="69"/>
      <c r="AH71" s="15"/>
      <c r="AI71" s="69"/>
      <c r="AJ71" s="69"/>
      <c r="AL71" s="69"/>
      <c r="AM71" s="69"/>
      <c r="AQ71" s="75"/>
      <c r="AR71" s="2"/>
      <c r="AS71" s="75"/>
      <c r="AT71" s="98"/>
      <c r="AV71" s="88"/>
      <c r="AW71" s="99"/>
      <c r="AX71" s="69"/>
      <c r="AZ71" s="15"/>
      <c r="BA71" s="69"/>
      <c r="BB71" s="69"/>
      <c r="BD71" s="69"/>
      <c r="BE71" s="69"/>
      <c r="BR71" s="88"/>
    </row>
    <row r="72" spans="1:70" x14ac:dyDescent="0.4">
      <c r="A72" s="85" t="s">
        <v>250</v>
      </c>
      <c r="B72" s="109" t="s">
        <v>122</v>
      </c>
      <c r="C72" s="129" t="s">
        <v>0</v>
      </c>
      <c r="D72" s="129" t="s">
        <v>484</v>
      </c>
      <c r="E72" s="129" t="s">
        <v>484</v>
      </c>
      <c r="F72" s="129" t="s">
        <v>484</v>
      </c>
      <c r="G72" s="129" t="s">
        <v>484</v>
      </c>
      <c r="H72" s="129" t="s">
        <v>484</v>
      </c>
      <c r="I72" s="111">
        <v>5.8</v>
      </c>
      <c r="J72" s="77" t="s">
        <v>133</v>
      </c>
      <c r="K72" s="84">
        <v>17.71</v>
      </c>
      <c r="L72" s="86">
        <v>64200</v>
      </c>
      <c r="M72" s="80">
        <v>0.4</v>
      </c>
      <c r="N72" s="81">
        <v>50</v>
      </c>
      <c r="O72" s="84">
        <v>40.74</v>
      </c>
      <c r="P72" s="94">
        <v>6.9645010279999999</v>
      </c>
      <c r="Q72" s="81">
        <f t="shared" si="0"/>
        <v>5.8496653006740003</v>
      </c>
      <c r="R72" s="81">
        <f t="shared" si="1"/>
        <v>46943564.037908852</v>
      </c>
      <c r="S72" s="81">
        <v>5</v>
      </c>
      <c r="T72" s="81">
        <f t="shared" si="2"/>
        <v>9388712.8075817712</v>
      </c>
      <c r="U72" s="81"/>
      <c r="V72" s="84"/>
      <c r="W72" s="84"/>
      <c r="Y72" s="75"/>
      <c r="Z72" s="2"/>
      <c r="AA72" s="75"/>
      <c r="AB72" s="98"/>
      <c r="AD72" s="88"/>
      <c r="AE72" s="99"/>
      <c r="AF72" s="69"/>
      <c r="AH72" s="15"/>
      <c r="AI72" s="69"/>
      <c r="AJ72" s="69"/>
      <c r="AL72" s="69"/>
      <c r="AM72" s="69"/>
      <c r="AQ72" s="75"/>
      <c r="AR72" s="2"/>
      <c r="AS72" s="75"/>
      <c r="AT72" s="98"/>
      <c r="AV72" s="88"/>
      <c r="AW72" s="99"/>
      <c r="AX72" s="69"/>
      <c r="AZ72" s="15"/>
      <c r="BA72" s="69"/>
      <c r="BB72" s="69"/>
      <c r="BD72" s="69"/>
      <c r="BE72" s="69"/>
      <c r="BR72" s="88"/>
    </row>
    <row r="73" spans="1:70" x14ac:dyDescent="0.4">
      <c r="A73" s="85" t="s">
        <v>251</v>
      </c>
      <c r="B73" s="109" t="s">
        <v>122</v>
      </c>
      <c r="C73" s="129" t="s">
        <v>0</v>
      </c>
      <c r="D73" s="129" t="s">
        <v>484</v>
      </c>
      <c r="E73" s="129" t="s">
        <v>484</v>
      </c>
      <c r="F73" s="129" t="s">
        <v>484</v>
      </c>
      <c r="G73" s="129" t="s">
        <v>484</v>
      </c>
      <c r="H73" s="129" t="s">
        <v>484</v>
      </c>
      <c r="I73" s="111">
        <v>5.8</v>
      </c>
      <c r="J73" s="77" t="s">
        <v>133</v>
      </c>
      <c r="K73" s="84">
        <v>17.489999999999998</v>
      </c>
      <c r="L73" s="86">
        <v>73900</v>
      </c>
      <c r="M73" s="80">
        <v>0.4</v>
      </c>
      <c r="N73" s="81">
        <v>50</v>
      </c>
      <c r="O73" s="84">
        <v>40.74</v>
      </c>
      <c r="P73" s="94">
        <v>6.9645010279999999</v>
      </c>
      <c r="Q73" s="81">
        <f t="shared" si="0"/>
        <v>5.8496653006740003</v>
      </c>
      <c r="R73" s="81">
        <f t="shared" si="1"/>
        <v>54036283.21497608</v>
      </c>
      <c r="S73" s="81">
        <v>5</v>
      </c>
      <c r="T73" s="81">
        <f t="shared" si="2"/>
        <v>10807256.642995216</v>
      </c>
      <c r="U73" s="81">
        <f>AVERAGE(T71:T73)</f>
        <v>9890809.0792229567</v>
      </c>
      <c r="V73" s="81">
        <f>_xlfn.STDEV.S(T71:T73)</f>
        <v>794878.54305886896</v>
      </c>
      <c r="W73" s="81">
        <f>MAX(K71:K73)-MIN(K71:K73)</f>
        <v>0.22000000000000242</v>
      </c>
      <c r="Y73" s="75"/>
      <c r="Z73" s="2"/>
      <c r="AA73" s="75"/>
      <c r="AB73" s="98"/>
      <c r="AD73" s="88"/>
      <c r="AE73" s="99"/>
      <c r="AF73" s="69"/>
      <c r="AH73" s="15"/>
      <c r="AI73" s="69"/>
      <c r="AJ73" s="69"/>
      <c r="AL73" s="69"/>
      <c r="AM73" s="69"/>
      <c r="AN73" s="69"/>
      <c r="AO73" s="69"/>
      <c r="AQ73" s="75"/>
      <c r="AR73" s="2"/>
      <c r="AS73" s="75"/>
      <c r="AT73" s="98"/>
      <c r="AV73" s="88"/>
      <c r="AW73" s="99"/>
      <c r="AX73" s="69"/>
      <c r="AZ73" s="15"/>
      <c r="BA73" s="69"/>
      <c r="BB73" s="69"/>
      <c r="BD73" s="69"/>
      <c r="BE73" s="69"/>
      <c r="BF73" s="69"/>
      <c r="BG73" s="69"/>
      <c r="BR73" s="88"/>
    </row>
    <row r="74" spans="1:70" x14ac:dyDescent="0.4">
      <c r="A74" s="85" t="s">
        <v>252</v>
      </c>
      <c r="B74" s="109" t="s">
        <v>123</v>
      </c>
      <c r="C74" s="129" t="s">
        <v>1</v>
      </c>
      <c r="D74" s="129" t="s">
        <v>484</v>
      </c>
      <c r="E74" s="129" t="s">
        <v>484</v>
      </c>
      <c r="F74" s="129" t="s">
        <v>484</v>
      </c>
      <c r="G74" s="129" t="s">
        <v>485</v>
      </c>
      <c r="H74" s="129" t="s">
        <v>484</v>
      </c>
      <c r="I74" s="111">
        <v>5.8</v>
      </c>
      <c r="J74" s="77" t="s">
        <v>133</v>
      </c>
      <c r="K74" s="84">
        <v>13.85</v>
      </c>
      <c r="L74" s="86">
        <v>798000</v>
      </c>
      <c r="M74" s="80">
        <v>0.4</v>
      </c>
      <c r="N74" s="81">
        <v>50</v>
      </c>
      <c r="O74" s="84">
        <v>67.64</v>
      </c>
      <c r="P74" s="94">
        <v>7.3428739140000001</v>
      </c>
      <c r="Q74" s="81">
        <f t="shared" si="0"/>
        <v>9.2116521122658614</v>
      </c>
      <c r="R74" s="81">
        <f t="shared" si="1"/>
        <v>918862298.19851959</v>
      </c>
      <c r="S74" s="81">
        <v>5</v>
      </c>
      <c r="T74" s="81">
        <f t="shared" si="2"/>
        <v>183772459.63970393</v>
      </c>
      <c r="U74" s="81"/>
      <c r="V74" s="84"/>
      <c r="W74" s="84"/>
      <c r="Y74" s="75"/>
      <c r="Z74" s="2"/>
      <c r="AA74" s="75"/>
      <c r="AB74" s="98"/>
      <c r="AD74" s="88"/>
      <c r="AE74" s="99"/>
      <c r="AF74" s="69"/>
      <c r="AH74" s="15"/>
      <c r="AI74" s="69"/>
      <c r="AJ74" s="69"/>
      <c r="AL74" s="69"/>
      <c r="AM74" s="69"/>
      <c r="AQ74" s="75"/>
      <c r="AR74" s="2"/>
      <c r="AS74" s="75"/>
      <c r="AT74" s="98"/>
      <c r="AV74" s="88"/>
      <c r="AW74" s="99"/>
      <c r="AX74" s="69"/>
      <c r="AZ74" s="15"/>
      <c r="BA74" s="69"/>
      <c r="BB74" s="69"/>
      <c r="BD74" s="69"/>
      <c r="BE74" s="69"/>
      <c r="BR74" s="88"/>
    </row>
    <row r="75" spans="1:70" x14ac:dyDescent="0.4">
      <c r="A75" s="85" t="s">
        <v>253</v>
      </c>
      <c r="B75" s="109" t="s">
        <v>123</v>
      </c>
      <c r="C75" s="129" t="s">
        <v>1</v>
      </c>
      <c r="D75" s="129" t="s">
        <v>484</v>
      </c>
      <c r="E75" s="129" t="s">
        <v>484</v>
      </c>
      <c r="F75" s="129" t="s">
        <v>484</v>
      </c>
      <c r="G75" s="129" t="s">
        <v>485</v>
      </c>
      <c r="H75" s="129" t="s">
        <v>484</v>
      </c>
      <c r="I75" s="111">
        <v>5.8</v>
      </c>
      <c r="J75" s="77" t="s">
        <v>133</v>
      </c>
      <c r="K75" s="84">
        <v>13.93</v>
      </c>
      <c r="L75" s="86">
        <v>757000</v>
      </c>
      <c r="M75" s="80">
        <v>0.4</v>
      </c>
      <c r="N75" s="81">
        <v>50</v>
      </c>
      <c r="O75" s="84">
        <v>67.64</v>
      </c>
      <c r="P75" s="94">
        <v>7.3428739140000001</v>
      </c>
      <c r="Q75" s="81">
        <f t="shared" ref="Q75:Q138" si="3">O75/P75</f>
        <v>9.2116521122658614</v>
      </c>
      <c r="R75" s="81">
        <f t="shared" ref="R75:R138" si="4">(L75*N75*Q75)/M75</f>
        <v>871652581.12315714</v>
      </c>
      <c r="S75" s="81">
        <v>5</v>
      </c>
      <c r="T75" s="81">
        <f t="shared" ref="T75:T138" si="5">R75/S75</f>
        <v>174330516.22463143</v>
      </c>
      <c r="U75" s="81"/>
      <c r="V75" s="84"/>
      <c r="W75" s="84"/>
      <c r="Y75" s="75"/>
      <c r="Z75" s="2"/>
      <c r="AA75" s="75"/>
      <c r="AB75" s="98"/>
      <c r="AD75" s="88"/>
      <c r="AE75" s="99"/>
      <c r="AF75" s="69"/>
      <c r="AH75" s="15"/>
      <c r="AI75" s="69"/>
      <c r="AJ75" s="69"/>
      <c r="AL75" s="69"/>
      <c r="AM75" s="69"/>
      <c r="AQ75" s="75"/>
      <c r="AR75" s="2"/>
      <c r="AS75" s="75"/>
      <c r="AT75" s="98"/>
      <c r="AV75" s="88"/>
      <c r="AW75" s="99"/>
      <c r="AX75" s="69"/>
      <c r="AZ75" s="15"/>
      <c r="BA75" s="69"/>
      <c r="BB75" s="69"/>
      <c r="BD75" s="69"/>
      <c r="BE75" s="69"/>
      <c r="BR75" s="88"/>
    </row>
    <row r="76" spans="1:70" x14ac:dyDescent="0.4">
      <c r="A76" s="85" t="s">
        <v>254</v>
      </c>
      <c r="B76" s="109" t="s">
        <v>123</v>
      </c>
      <c r="C76" s="129" t="s">
        <v>1</v>
      </c>
      <c r="D76" s="129" t="s">
        <v>484</v>
      </c>
      <c r="E76" s="129" t="s">
        <v>484</v>
      </c>
      <c r="F76" s="129" t="s">
        <v>484</v>
      </c>
      <c r="G76" s="129" t="s">
        <v>485</v>
      </c>
      <c r="H76" s="129" t="s">
        <v>484</v>
      </c>
      <c r="I76" s="111">
        <v>5.8</v>
      </c>
      <c r="J76" s="77" t="s">
        <v>133</v>
      </c>
      <c r="K76" s="84">
        <v>13.97</v>
      </c>
      <c r="L76" s="86">
        <v>739000</v>
      </c>
      <c r="M76" s="80">
        <v>0.4</v>
      </c>
      <c r="N76" s="81">
        <v>50</v>
      </c>
      <c r="O76" s="84">
        <v>67.64</v>
      </c>
      <c r="P76" s="94">
        <v>7.3428739140000001</v>
      </c>
      <c r="Q76" s="81">
        <f t="shared" si="3"/>
        <v>9.2116521122658614</v>
      </c>
      <c r="R76" s="81">
        <f t="shared" si="4"/>
        <v>850926363.87055886</v>
      </c>
      <c r="S76" s="81">
        <v>5</v>
      </c>
      <c r="T76" s="81">
        <f t="shared" si="5"/>
        <v>170185272.77411178</v>
      </c>
      <c r="U76" s="81">
        <f>AVERAGE(T74:T76)</f>
        <v>176096082.87948239</v>
      </c>
      <c r="V76" s="81">
        <f>_xlfn.STDEV.S(T74:T76)</f>
        <v>6963535.8073087521</v>
      </c>
      <c r="W76" s="81">
        <f>MAX(K74:K76)-MIN(K74:K76)</f>
        <v>0.12000000000000099</v>
      </c>
      <c r="Y76" s="75"/>
      <c r="Z76" s="2"/>
      <c r="AA76" s="75"/>
      <c r="AB76" s="98"/>
      <c r="AD76" s="88"/>
      <c r="AE76" s="99"/>
      <c r="AF76" s="69"/>
      <c r="AH76" s="15"/>
      <c r="AI76" s="69"/>
      <c r="AJ76" s="69"/>
      <c r="AL76" s="69"/>
      <c r="AM76" s="69"/>
      <c r="AN76" s="69"/>
      <c r="AO76" s="69"/>
      <c r="AQ76" s="75"/>
      <c r="AR76" s="2"/>
      <c r="AS76" s="75"/>
      <c r="AT76" s="98"/>
      <c r="AV76" s="88"/>
      <c r="AW76" s="99"/>
      <c r="AX76" s="69"/>
      <c r="AZ76" s="15"/>
      <c r="BA76" s="69"/>
      <c r="BB76" s="69"/>
      <c r="BD76" s="69"/>
      <c r="BE76" s="69"/>
      <c r="BF76" s="69"/>
      <c r="BG76" s="69"/>
      <c r="BR76" s="88"/>
    </row>
    <row r="77" spans="1:70" x14ac:dyDescent="0.4">
      <c r="A77" s="85" t="s">
        <v>255</v>
      </c>
      <c r="B77" s="109" t="s">
        <v>124</v>
      </c>
      <c r="C77" s="129" t="s">
        <v>2</v>
      </c>
      <c r="D77" s="129" t="s">
        <v>484</v>
      </c>
      <c r="E77" s="129" t="s">
        <v>485</v>
      </c>
      <c r="F77" s="129" t="s">
        <v>484</v>
      </c>
      <c r="G77" s="129" t="s">
        <v>484</v>
      </c>
      <c r="H77" s="129" t="s">
        <v>484</v>
      </c>
      <c r="I77" s="111">
        <v>5.8</v>
      </c>
      <c r="J77" s="77" t="s">
        <v>133</v>
      </c>
      <c r="K77" s="84">
        <v>9.9600000000000009</v>
      </c>
      <c r="L77" s="86">
        <v>10100000</v>
      </c>
      <c r="M77" s="80">
        <v>0.4</v>
      </c>
      <c r="N77" s="81">
        <v>50</v>
      </c>
      <c r="O77" s="84">
        <v>39.68</v>
      </c>
      <c r="P77" s="94">
        <v>7.8670020550000004</v>
      </c>
      <c r="Q77" s="81">
        <f t="shared" si="3"/>
        <v>5.0438527564360722</v>
      </c>
      <c r="R77" s="81">
        <f t="shared" si="4"/>
        <v>6367864105.0005407</v>
      </c>
      <c r="S77" s="81">
        <v>5</v>
      </c>
      <c r="T77" s="81">
        <f t="shared" si="5"/>
        <v>1273572821.0001082</v>
      </c>
      <c r="U77" s="81"/>
      <c r="V77" s="84"/>
      <c r="W77" s="84"/>
      <c r="Y77" s="75"/>
      <c r="Z77" s="2"/>
      <c r="AA77" s="75"/>
      <c r="AB77" s="98"/>
      <c r="AD77" s="88"/>
      <c r="AE77" s="99"/>
      <c r="AF77" s="69"/>
      <c r="AH77" s="15"/>
      <c r="AI77" s="69"/>
      <c r="AJ77" s="69"/>
      <c r="AL77" s="69"/>
      <c r="AM77" s="69"/>
      <c r="AQ77" s="75"/>
      <c r="AR77" s="75"/>
      <c r="AS77" s="75"/>
      <c r="AT77" s="98"/>
      <c r="AW77" s="99"/>
      <c r="AZ77" s="15"/>
      <c r="BA77" s="69"/>
      <c r="BB77" s="69"/>
      <c r="BD77" s="69"/>
      <c r="BE77" s="69"/>
      <c r="BR77" s="88"/>
    </row>
    <row r="78" spans="1:70" x14ac:dyDescent="0.4">
      <c r="A78" s="85" t="s">
        <v>256</v>
      </c>
      <c r="B78" s="109" t="s">
        <v>124</v>
      </c>
      <c r="C78" s="129" t="s">
        <v>2</v>
      </c>
      <c r="D78" s="129" t="s">
        <v>484</v>
      </c>
      <c r="E78" s="129" t="s">
        <v>485</v>
      </c>
      <c r="F78" s="129" t="s">
        <v>484</v>
      </c>
      <c r="G78" s="129" t="s">
        <v>484</v>
      </c>
      <c r="H78" s="129" t="s">
        <v>484</v>
      </c>
      <c r="I78" s="111">
        <v>5.8</v>
      </c>
      <c r="J78" s="77" t="s">
        <v>133</v>
      </c>
      <c r="K78" s="84">
        <v>10</v>
      </c>
      <c r="L78" s="86">
        <v>9820000</v>
      </c>
      <c r="M78" s="80">
        <v>0.4</v>
      </c>
      <c r="N78" s="81">
        <v>50</v>
      </c>
      <c r="O78" s="84">
        <v>39.68</v>
      </c>
      <c r="P78" s="94">
        <v>7.8670020550000004</v>
      </c>
      <c r="Q78" s="81">
        <f t="shared" si="3"/>
        <v>5.0438527564360722</v>
      </c>
      <c r="R78" s="81">
        <f t="shared" si="4"/>
        <v>6191329258.5252781</v>
      </c>
      <c r="S78" s="81">
        <v>5</v>
      </c>
      <c r="T78" s="81">
        <f t="shared" si="5"/>
        <v>1238265851.7050557</v>
      </c>
      <c r="U78" s="81"/>
      <c r="V78" s="84"/>
      <c r="W78" s="84"/>
      <c r="Y78" s="75"/>
      <c r="Z78" s="2"/>
      <c r="AA78" s="75"/>
      <c r="AB78" s="98"/>
      <c r="AD78" s="88"/>
      <c r="AE78" s="99"/>
      <c r="AF78" s="69"/>
      <c r="AH78" s="15"/>
      <c r="AI78" s="69"/>
      <c r="AJ78" s="69"/>
      <c r="AL78" s="69"/>
      <c r="AM78" s="69"/>
      <c r="AQ78" s="75"/>
      <c r="AR78" s="75"/>
      <c r="AS78" s="75"/>
      <c r="AT78" s="98"/>
      <c r="AW78" s="99"/>
      <c r="AZ78" s="15"/>
      <c r="BA78" s="69"/>
      <c r="BB78" s="69"/>
      <c r="BD78" s="69"/>
      <c r="BE78" s="69"/>
      <c r="BR78" s="88"/>
    </row>
    <row r="79" spans="1:70" x14ac:dyDescent="0.4">
      <c r="A79" s="85" t="s">
        <v>257</v>
      </c>
      <c r="B79" s="109" t="s">
        <v>124</v>
      </c>
      <c r="C79" s="129" t="s">
        <v>2</v>
      </c>
      <c r="D79" s="129" t="s">
        <v>484</v>
      </c>
      <c r="E79" s="129" t="s">
        <v>485</v>
      </c>
      <c r="F79" s="129" t="s">
        <v>484</v>
      </c>
      <c r="G79" s="129" t="s">
        <v>484</v>
      </c>
      <c r="H79" s="129" t="s">
        <v>484</v>
      </c>
      <c r="I79" s="111">
        <v>5.8</v>
      </c>
      <c r="J79" s="77" t="s">
        <v>133</v>
      </c>
      <c r="K79" s="84">
        <v>10.029999999999999</v>
      </c>
      <c r="L79" s="86">
        <v>9640000</v>
      </c>
      <c r="M79" s="80">
        <v>0.4</v>
      </c>
      <c r="N79" s="81">
        <v>50</v>
      </c>
      <c r="O79" s="84">
        <v>39.68</v>
      </c>
      <c r="P79" s="94">
        <v>7.8670020550000004</v>
      </c>
      <c r="Q79" s="81">
        <f t="shared" si="3"/>
        <v>5.0438527564360722</v>
      </c>
      <c r="R79" s="81">
        <f t="shared" si="4"/>
        <v>6077842571.5054665</v>
      </c>
      <c r="S79" s="81">
        <v>5</v>
      </c>
      <c r="T79" s="81">
        <f t="shared" si="5"/>
        <v>1215568514.3010933</v>
      </c>
      <c r="U79" s="81">
        <f>AVERAGE(T77:T79)</f>
        <v>1242469062.3354189</v>
      </c>
      <c r="V79" s="81">
        <f>_xlfn.STDEV.S(T77:T79)</f>
        <v>29229696.091659009</v>
      </c>
      <c r="W79" s="81">
        <f>MAX(K77:K79)-MIN(K77:K79)</f>
        <v>6.9999999999998508E-2</v>
      </c>
      <c r="Y79" s="75"/>
      <c r="Z79" s="2"/>
      <c r="AA79" s="75"/>
      <c r="AB79" s="98"/>
      <c r="AD79" s="88"/>
      <c r="AE79" s="99"/>
      <c r="AF79" s="69"/>
      <c r="AH79" s="15"/>
      <c r="AI79" s="69"/>
      <c r="AJ79" s="69"/>
      <c r="AL79" s="69"/>
      <c r="AM79" s="69"/>
      <c r="AN79" s="69"/>
      <c r="AO79" s="69"/>
      <c r="AQ79" s="75"/>
      <c r="AR79" s="75"/>
      <c r="AS79" s="75"/>
      <c r="AT79" s="98"/>
      <c r="AW79" s="99"/>
      <c r="AZ79" s="15"/>
      <c r="BA79" s="69"/>
      <c r="BB79" s="69"/>
      <c r="BD79" s="69"/>
      <c r="BE79" s="69"/>
      <c r="BF79" s="69"/>
      <c r="BG79" s="69"/>
    </row>
    <row r="80" spans="1:70" x14ac:dyDescent="0.4">
      <c r="A80" s="85" t="s">
        <v>258</v>
      </c>
      <c r="B80" s="109" t="s">
        <v>125</v>
      </c>
      <c r="C80" s="129" t="s">
        <v>3</v>
      </c>
      <c r="D80" s="129" t="s">
        <v>484</v>
      </c>
      <c r="E80" s="129" t="s">
        <v>485</v>
      </c>
      <c r="F80" s="129" t="s">
        <v>484</v>
      </c>
      <c r="G80" s="129" t="s">
        <v>485</v>
      </c>
      <c r="H80" s="129" t="s">
        <v>484</v>
      </c>
      <c r="I80" s="111">
        <v>5.8</v>
      </c>
      <c r="J80" s="77" t="s">
        <v>133</v>
      </c>
      <c r="K80" s="84">
        <v>10.5</v>
      </c>
      <c r="L80" s="86">
        <v>7080000</v>
      </c>
      <c r="M80" s="80">
        <v>0.4</v>
      </c>
      <c r="N80" s="81">
        <v>50</v>
      </c>
      <c r="O80" s="84">
        <v>46.37</v>
      </c>
      <c r="P80" s="94">
        <v>8.8434422589999997</v>
      </c>
      <c r="Q80" s="81">
        <f t="shared" si="3"/>
        <v>5.243433342125245</v>
      </c>
      <c r="R80" s="81">
        <f t="shared" si="4"/>
        <v>4640438507.7808409</v>
      </c>
      <c r="S80" s="81">
        <v>5</v>
      </c>
      <c r="T80" s="81">
        <f t="shared" si="5"/>
        <v>928087701.5561682</v>
      </c>
      <c r="U80" s="81"/>
      <c r="V80" s="84"/>
      <c r="W80" s="84"/>
      <c r="Y80" s="75"/>
      <c r="Z80" s="2"/>
      <c r="AA80" s="75"/>
      <c r="AB80" s="98"/>
      <c r="AD80" s="88"/>
      <c r="AE80" s="99"/>
      <c r="AF80" s="69"/>
      <c r="AH80" s="15"/>
      <c r="AI80" s="69"/>
      <c r="AJ80" s="69"/>
      <c r="AL80" s="69"/>
      <c r="AM80" s="69"/>
      <c r="AQ80" s="75"/>
      <c r="AR80" s="2"/>
      <c r="AS80" s="75"/>
      <c r="AT80" s="98"/>
      <c r="AV80" s="88"/>
      <c r="AW80" s="99"/>
      <c r="AZ80" s="15"/>
      <c r="BA80" s="69"/>
      <c r="BB80" s="69"/>
      <c r="BD80" s="69"/>
      <c r="BE80" s="69"/>
    </row>
    <row r="81" spans="1:70" x14ac:dyDescent="0.4">
      <c r="A81" s="85" t="s">
        <v>259</v>
      </c>
      <c r="B81" s="109" t="s">
        <v>125</v>
      </c>
      <c r="C81" s="129" t="s">
        <v>3</v>
      </c>
      <c r="D81" s="129" t="s">
        <v>484</v>
      </c>
      <c r="E81" s="129" t="s">
        <v>485</v>
      </c>
      <c r="F81" s="129" t="s">
        <v>484</v>
      </c>
      <c r="G81" s="129" t="s">
        <v>485</v>
      </c>
      <c r="H81" s="129" t="s">
        <v>484</v>
      </c>
      <c r="I81" s="111">
        <v>5.8</v>
      </c>
      <c r="J81" s="77" t="s">
        <v>133</v>
      </c>
      <c r="K81" s="84">
        <v>10.32</v>
      </c>
      <c r="L81" s="86">
        <v>7960000</v>
      </c>
      <c r="M81" s="80">
        <v>0.4</v>
      </c>
      <c r="N81" s="81">
        <v>50</v>
      </c>
      <c r="O81" s="84">
        <v>46.37</v>
      </c>
      <c r="P81" s="94">
        <v>8.8434422589999997</v>
      </c>
      <c r="Q81" s="81">
        <f t="shared" si="3"/>
        <v>5.243433342125245</v>
      </c>
      <c r="R81" s="81">
        <f t="shared" si="4"/>
        <v>5217216175.4146185</v>
      </c>
      <c r="S81" s="81">
        <v>5</v>
      </c>
      <c r="T81" s="81">
        <f t="shared" si="5"/>
        <v>1043443235.0829237</v>
      </c>
      <c r="U81" s="81"/>
      <c r="V81" s="84"/>
      <c r="W81" s="84"/>
      <c r="Y81" s="75"/>
      <c r="Z81" s="2"/>
      <c r="AA81" s="75"/>
      <c r="AB81" s="98"/>
      <c r="AD81" s="88"/>
      <c r="AE81" s="99"/>
      <c r="AF81" s="69"/>
      <c r="AH81" s="15"/>
      <c r="AI81" s="69"/>
      <c r="AJ81" s="69"/>
      <c r="AL81" s="69"/>
      <c r="AM81" s="69"/>
      <c r="AQ81" s="75"/>
      <c r="AR81" s="2"/>
      <c r="AS81" s="75"/>
      <c r="AT81" s="98"/>
      <c r="AV81" s="88"/>
      <c r="AW81" s="99"/>
      <c r="AZ81" s="15"/>
      <c r="BA81" s="69"/>
      <c r="BB81" s="69"/>
      <c r="BD81" s="69"/>
      <c r="BE81" s="69"/>
    </row>
    <row r="82" spans="1:70" x14ac:dyDescent="0.4">
      <c r="A82" s="85" t="s">
        <v>260</v>
      </c>
      <c r="B82" s="109" t="s">
        <v>125</v>
      </c>
      <c r="C82" s="129" t="s">
        <v>3</v>
      </c>
      <c r="D82" s="129" t="s">
        <v>484</v>
      </c>
      <c r="E82" s="129" t="s">
        <v>485</v>
      </c>
      <c r="F82" s="129" t="s">
        <v>484</v>
      </c>
      <c r="G82" s="129" t="s">
        <v>485</v>
      </c>
      <c r="H82" s="129" t="s">
        <v>484</v>
      </c>
      <c r="I82" s="111">
        <v>5.8</v>
      </c>
      <c r="J82" s="77" t="s">
        <v>133</v>
      </c>
      <c r="K82" s="84">
        <v>10.54</v>
      </c>
      <c r="L82" s="86">
        <v>6880000</v>
      </c>
      <c r="M82" s="80">
        <v>0.4</v>
      </c>
      <c r="N82" s="81">
        <v>50</v>
      </c>
      <c r="O82" s="84">
        <v>46.37</v>
      </c>
      <c r="P82" s="94">
        <v>8.8434422589999997</v>
      </c>
      <c r="Q82" s="81">
        <f t="shared" si="3"/>
        <v>5.243433342125245</v>
      </c>
      <c r="R82" s="81">
        <f t="shared" si="4"/>
        <v>4509352674.2277107</v>
      </c>
      <c r="S82" s="81">
        <v>5</v>
      </c>
      <c r="T82" s="81">
        <f t="shared" si="5"/>
        <v>901870534.84554219</v>
      </c>
      <c r="U82" s="81">
        <f>AVERAGE(T80:T82)</f>
        <v>957800490.49487817</v>
      </c>
      <c r="V82" s="81">
        <f>_xlfn.STDEV.S(T80:T82)</f>
        <v>75318289.49872072</v>
      </c>
      <c r="W82" s="81">
        <f>MAX(K80:K82)-MIN(K80:K82)</f>
        <v>0.21999999999999886</v>
      </c>
      <c r="Y82" s="75"/>
      <c r="Z82" s="2"/>
      <c r="AA82" s="75"/>
      <c r="AB82" s="98"/>
      <c r="AD82" s="88"/>
      <c r="AE82" s="99"/>
      <c r="AF82" s="69"/>
      <c r="AH82" s="15"/>
      <c r="AI82" s="69"/>
      <c r="AJ82" s="69"/>
      <c r="AL82" s="69"/>
      <c r="AM82" s="69"/>
      <c r="AN82" s="69"/>
      <c r="AO82" s="69"/>
      <c r="AQ82" s="75"/>
      <c r="AR82" s="2"/>
      <c r="AS82" s="75"/>
      <c r="AT82" s="98"/>
      <c r="AV82" s="88"/>
      <c r="AW82" s="99"/>
      <c r="AZ82" s="15"/>
      <c r="BA82" s="69"/>
      <c r="BB82" s="69"/>
      <c r="BD82" s="69"/>
      <c r="BE82" s="69"/>
      <c r="BF82" s="69"/>
      <c r="BG82" s="69"/>
      <c r="BR82" s="88"/>
    </row>
    <row r="83" spans="1:70" x14ac:dyDescent="0.4">
      <c r="A83" s="85" t="s">
        <v>261</v>
      </c>
      <c r="B83" s="109" t="s">
        <v>134</v>
      </c>
      <c r="C83" s="131" t="s">
        <v>480</v>
      </c>
      <c r="D83" s="131"/>
      <c r="E83" s="131"/>
      <c r="F83" s="131"/>
      <c r="G83" s="131"/>
      <c r="H83" s="131"/>
      <c r="I83" s="111" t="s">
        <v>480</v>
      </c>
      <c r="J83" s="77" t="s">
        <v>81</v>
      </c>
      <c r="K83" s="84">
        <v>11.86</v>
      </c>
      <c r="L83" s="86">
        <v>2910000</v>
      </c>
      <c r="M83" s="80">
        <v>0.4</v>
      </c>
      <c r="N83" s="81">
        <v>50</v>
      </c>
      <c r="O83" s="84">
        <v>7.19</v>
      </c>
      <c r="P83" s="94">
        <v>6.316494767</v>
      </c>
      <c r="Q83" s="81">
        <f t="shared" si="3"/>
        <v>1.138289552231335</v>
      </c>
      <c r="R83" s="81">
        <f t="shared" si="4"/>
        <v>414052824.62414807</v>
      </c>
      <c r="S83" s="81">
        <v>5</v>
      </c>
      <c r="T83" s="81">
        <f t="shared" si="5"/>
        <v>82810564.924829617</v>
      </c>
      <c r="U83" s="81"/>
      <c r="V83" s="84"/>
      <c r="W83" s="84"/>
      <c r="Y83" s="75"/>
      <c r="Z83" s="2"/>
      <c r="AA83" s="75"/>
      <c r="AB83" s="98"/>
      <c r="AD83" s="88"/>
      <c r="AE83" s="99"/>
      <c r="AF83" s="69"/>
      <c r="AH83" s="15"/>
      <c r="AI83" s="69"/>
      <c r="AJ83" s="69"/>
      <c r="AL83" s="69"/>
      <c r="AM83" s="69"/>
      <c r="AQ83" s="75"/>
      <c r="AR83" s="2"/>
      <c r="AS83" s="75"/>
      <c r="AT83" s="98"/>
      <c r="AV83" s="88"/>
      <c r="AW83" s="99"/>
      <c r="AX83" s="69"/>
      <c r="AZ83" s="15"/>
      <c r="BA83" s="69"/>
      <c r="BB83" s="69"/>
      <c r="BD83" s="69"/>
      <c r="BE83" s="69"/>
      <c r="BL83" s="93"/>
      <c r="BR83" s="88"/>
    </row>
    <row r="84" spans="1:70" x14ac:dyDescent="0.4">
      <c r="A84" s="85" t="s">
        <v>262</v>
      </c>
      <c r="B84" s="109" t="s">
        <v>134</v>
      </c>
      <c r="C84" s="131" t="s">
        <v>480</v>
      </c>
      <c r="D84" s="131"/>
      <c r="E84" s="131"/>
      <c r="F84" s="131"/>
      <c r="G84" s="131"/>
      <c r="H84" s="131"/>
      <c r="I84" s="111" t="s">
        <v>480</v>
      </c>
      <c r="J84" s="77" t="s">
        <v>81</v>
      </c>
      <c r="K84" s="84">
        <v>11.94</v>
      </c>
      <c r="L84" s="86">
        <v>2770000</v>
      </c>
      <c r="M84" s="80">
        <v>0.4</v>
      </c>
      <c r="N84" s="81">
        <v>50</v>
      </c>
      <c r="O84" s="84">
        <v>7.19</v>
      </c>
      <c r="P84" s="94">
        <v>6.316494767</v>
      </c>
      <c r="Q84" s="81">
        <f t="shared" si="3"/>
        <v>1.138289552231335</v>
      </c>
      <c r="R84" s="81">
        <f t="shared" si="4"/>
        <v>394132757.46009976</v>
      </c>
      <c r="S84" s="81">
        <v>5</v>
      </c>
      <c r="T84" s="81">
        <f t="shared" si="5"/>
        <v>78826551.492019951</v>
      </c>
      <c r="U84" s="81"/>
      <c r="V84" s="84"/>
      <c r="W84" s="84"/>
      <c r="Y84" s="75"/>
      <c r="Z84" s="2"/>
      <c r="AA84" s="75"/>
      <c r="AB84" s="98"/>
      <c r="AD84" s="88"/>
      <c r="AE84" s="99"/>
      <c r="AF84" s="69"/>
      <c r="AH84" s="15"/>
      <c r="AI84" s="69"/>
      <c r="AJ84" s="69"/>
      <c r="AL84" s="69"/>
      <c r="AM84" s="69"/>
      <c r="AQ84" s="75"/>
      <c r="AR84" s="2"/>
      <c r="AS84" s="75"/>
      <c r="AT84" s="98"/>
      <c r="AV84" s="88"/>
      <c r="AW84" s="99"/>
      <c r="AX84" s="69"/>
      <c r="AZ84" s="15"/>
      <c r="BA84" s="69"/>
      <c r="BB84" s="69"/>
      <c r="BD84" s="69"/>
      <c r="BE84" s="69"/>
      <c r="BR84" s="88"/>
    </row>
    <row r="85" spans="1:70" x14ac:dyDescent="0.4">
      <c r="A85" s="85" t="s">
        <v>263</v>
      </c>
      <c r="B85" s="109" t="s">
        <v>134</v>
      </c>
      <c r="C85" s="131" t="s">
        <v>480</v>
      </c>
      <c r="D85" s="131"/>
      <c r="E85" s="131"/>
      <c r="F85" s="131"/>
      <c r="G85" s="131"/>
      <c r="H85" s="131"/>
      <c r="I85" s="111" t="s">
        <v>480</v>
      </c>
      <c r="J85" s="77" t="s">
        <v>81</v>
      </c>
      <c r="K85" s="84">
        <v>11.95</v>
      </c>
      <c r="L85" s="86">
        <v>2750000</v>
      </c>
      <c r="M85" s="80">
        <v>0.4</v>
      </c>
      <c r="N85" s="81">
        <v>50</v>
      </c>
      <c r="O85" s="84">
        <v>7.19</v>
      </c>
      <c r="P85" s="94">
        <v>6.316494767</v>
      </c>
      <c r="Q85" s="81">
        <f t="shared" si="3"/>
        <v>1.138289552231335</v>
      </c>
      <c r="R85" s="81">
        <f t="shared" si="4"/>
        <v>391287033.57952136</v>
      </c>
      <c r="S85" s="81">
        <v>5</v>
      </c>
      <c r="T85" s="81">
        <f t="shared" si="5"/>
        <v>78257406.715904266</v>
      </c>
      <c r="U85" s="81">
        <f>AVERAGE(T83:T85)</f>
        <v>79964841.044251278</v>
      </c>
      <c r="V85" s="81">
        <f>_xlfn.STDEV.S(T83:T85)</f>
        <v>2480844.5633322787</v>
      </c>
      <c r="W85" s="81">
        <f>MAX(K83:K85)-MIN(K83:K85)</f>
        <v>8.9999999999999858E-2</v>
      </c>
      <c r="Y85" s="75"/>
      <c r="Z85" s="2"/>
      <c r="AA85" s="75"/>
      <c r="AB85" s="98"/>
      <c r="AD85" s="88"/>
      <c r="AE85" s="99"/>
      <c r="AF85" s="69"/>
      <c r="AH85" s="15"/>
      <c r="AI85" s="69"/>
      <c r="AJ85" s="69"/>
      <c r="AL85" s="69"/>
      <c r="AM85" s="69"/>
      <c r="AN85" s="69"/>
      <c r="AO85" s="69"/>
      <c r="AQ85" s="75"/>
      <c r="AR85" s="2"/>
      <c r="AS85" s="75"/>
      <c r="AT85" s="98"/>
      <c r="AV85" s="88"/>
      <c r="AW85" s="99"/>
      <c r="AX85" s="69"/>
      <c r="AZ85" s="15"/>
      <c r="BA85" s="69"/>
      <c r="BB85" s="69"/>
      <c r="BD85" s="69"/>
      <c r="BE85" s="69"/>
      <c r="BF85" s="69"/>
      <c r="BG85" s="69"/>
      <c r="BR85" s="88"/>
    </row>
    <row r="86" spans="1:70" x14ac:dyDescent="0.4">
      <c r="A86" s="85" t="s">
        <v>264</v>
      </c>
      <c r="B86" s="109" t="s">
        <v>134</v>
      </c>
      <c r="C86" s="131" t="s">
        <v>480</v>
      </c>
      <c r="D86" s="131"/>
      <c r="E86" s="131"/>
      <c r="F86" s="131"/>
      <c r="G86" s="131"/>
      <c r="H86" s="131"/>
      <c r="I86" s="111" t="s">
        <v>480</v>
      </c>
      <c r="J86" s="77" t="s">
        <v>81</v>
      </c>
      <c r="K86" s="84">
        <v>12.91</v>
      </c>
      <c r="L86" s="86">
        <v>1470000</v>
      </c>
      <c r="M86" s="80">
        <v>0.4</v>
      </c>
      <c r="N86" s="81">
        <v>50</v>
      </c>
      <c r="O86" s="84">
        <v>4.93</v>
      </c>
      <c r="P86" s="94">
        <v>4.1325659730000002</v>
      </c>
      <c r="Q86" s="81">
        <f t="shared" si="3"/>
        <v>1.1929634111614942</v>
      </c>
      <c r="R86" s="81">
        <f t="shared" si="4"/>
        <v>219207026.80092454</v>
      </c>
      <c r="S86" s="81">
        <v>5</v>
      </c>
      <c r="T86" s="81">
        <f t="shared" si="5"/>
        <v>43841405.360184908</v>
      </c>
      <c r="U86" s="81"/>
      <c r="V86" s="84"/>
      <c r="W86" s="84"/>
      <c r="Y86" s="75"/>
      <c r="Z86" s="2"/>
      <c r="AA86" s="75"/>
      <c r="AB86" s="98"/>
      <c r="AD86" s="88"/>
      <c r="AE86" s="99"/>
      <c r="AF86" s="69"/>
      <c r="AH86" s="15"/>
      <c r="AI86" s="69"/>
      <c r="AJ86" s="69"/>
      <c r="AL86" s="69"/>
      <c r="AM86" s="69"/>
      <c r="AQ86" s="75"/>
      <c r="AR86" s="2"/>
      <c r="AS86" s="75"/>
      <c r="AT86" s="98"/>
      <c r="AV86" s="88"/>
      <c r="AW86" s="99"/>
      <c r="AX86" s="69"/>
      <c r="AZ86" s="15"/>
      <c r="BA86" s="69"/>
      <c r="BB86" s="69"/>
      <c r="BD86" s="69"/>
      <c r="BE86" s="69"/>
      <c r="BR86" s="88"/>
    </row>
    <row r="87" spans="1:70" x14ac:dyDescent="0.4">
      <c r="A87" s="85" t="s">
        <v>265</v>
      </c>
      <c r="B87" s="109" t="s">
        <v>134</v>
      </c>
      <c r="C87" s="131" t="s">
        <v>480</v>
      </c>
      <c r="D87" s="131"/>
      <c r="E87" s="131"/>
      <c r="F87" s="131"/>
      <c r="G87" s="131"/>
      <c r="H87" s="131"/>
      <c r="I87" s="111" t="s">
        <v>480</v>
      </c>
      <c r="J87" s="77" t="s">
        <v>81</v>
      </c>
      <c r="K87" s="84">
        <v>13.02</v>
      </c>
      <c r="L87" s="86">
        <v>1370000</v>
      </c>
      <c r="M87" s="80">
        <v>0.4</v>
      </c>
      <c r="N87" s="81">
        <v>50</v>
      </c>
      <c r="O87" s="84">
        <v>4.93</v>
      </c>
      <c r="P87" s="94">
        <v>4.1325659730000002</v>
      </c>
      <c r="Q87" s="81">
        <f t="shared" si="3"/>
        <v>1.1929634111614942</v>
      </c>
      <c r="R87" s="81">
        <f t="shared" si="4"/>
        <v>204294984.16140586</v>
      </c>
      <c r="S87" s="81">
        <v>5</v>
      </c>
      <c r="T87" s="81">
        <f t="shared" si="5"/>
        <v>40858996.832281172</v>
      </c>
      <c r="U87" s="81"/>
      <c r="V87" s="84"/>
      <c r="W87" s="84"/>
      <c r="Y87" s="75"/>
      <c r="Z87" s="2"/>
      <c r="AA87" s="75"/>
      <c r="AB87" s="98"/>
      <c r="AD87" s="88"/>
      <c r="AE87" s="99"/>
      <c r="AF87" s="69"/>
      <c r="AH87" s="15"/>
      <c r="AI87" s="69"/>
      <c r="AJ87" s="69"/>
      <c r="AL87" s="69"/>
      <c r="AM87" s="69"/>
      <c r="AQ87" s="75"/>
      <c r="AR87" s="2"/>
      <c r="AS87" s="75"/>
      <c r="AT87" s="98"/>
      <c r="AV87" s="88"/>
      <c r="AW87" s="99"/>
      <c r="AX87" s="69"/>
      <c r="AZ87" s="15"/>
      <c r="BA87" s="69"/>
      <c r="BB87" s="69"/>
      <c r="BD87" s="69"/>
      <c r="BE87" s="69"/>
      <c r="BR87" s="88"/>
    </row>
    <row r="88" spans="1:70" x14ac:dyDescent="0.4">
      <c r="A88" s="85" t="s">
        <v>266</v>
      </c>
      <c r="B88" s="109" t="s">
        <v>134</v>
      </c>
      <c r="C88" s="131" t="s">
        <v>480</v>
      </c>
      <c r="D88" s="131"/>
      <c r="E88" s="131"/>
      <c r="F88" s="131"/>
      <c r="G88" s="131"/>
      <c r="H88" s="131"/>
      <c r="I88" s="111" t="s">
        <v>480</v>
      </c>
      <c r="J88" s="77" t="s">
        <v>81</v>
      </c>
      <c r="K88" s="84">
        <v>12.8</v>
      </c>
      <c r="L88" s="86">
        <v>1570000</v>
      </c>
      <c r="M88" s="80">
        <v>0.4</v>
      </c>
      <c r="N88" s="81">
        <v>50</v>
      </c>
      <c r="O88" s="84">
        <v>4.93</v>
      </c>
      <c r="P88" s="94">
        <v>4.1325659730000002</v>
      </c>
      <c r="Q88" s="81">
        <f t="shared" si="3"/>
        <v>1.1929634111614942</v>
      </c>
      <c r="R88" s="81">
        <f t="shared" si="4"/>
        <v>234119069.44044322</v>
      </c>
      <c r="S88" s="81">
        <v>5</v>
      </c>
      <c r="T88" s="81">
        <f t="shared" si="5"/>
        <v>46823813.888088644</v>
      </c>
      <c r="U88" s="81">
        <f>AVERAGE(T86:T88)</f>
        <v>43841405.360184908</v>
      </c>
      <c r="V88" s="81">
        <f>_xlfn.STDEV.S(T86:T88)</f>
        <v>2982408.5279037356</v>
      </c>
      <c r="W88" s="81">
        <f>MAX(K86:K88)-MIN(K86:K88)</f>
        <v>0.21999999999999886</v>
      </c>
      <c r="Y88" s="75"/>
      <c r="Z88" s="2"/>
      <c r="AA88" s="75"/>
      <c r="AB88" s="98"/>
      <c r="AD88" s="88"/>
      <c r="AE88" s="99"/>
      <c r="AF88" s="69"/>
      <c r="AH88" s="15"/>
      <c r="AI88" s="69"/>
      <c r="AJ88" s="69"/>
      <c r="AL88" s="69"/>
      <c r="AM88" s="69"/>
      <c r="AN88" s="69"/>
      <c r="AO88" s="69"/>
      <c r="AQ88" s="75"/>
      <c r="AR88" s="2"/>
      <c r="AS88" s="75"/>
      <c r="AT88" s="98"/>
      <c r="AV88" s="88"/>
      <c r="AW88" s="99"/>
      <c r="AX88" s="69"/>
      <c r="AZ88" s="15"/>
      <c r="BA88" s="69"/>
      <c r="BB88" s="69"/>
      <c r="BD88" s="69"/>
      <c r="BE88" s="69"/>
      <c r="BF88" s="69"/>
      <c r="BG88" s="69"/>
      <c r="BL88" s="93"/>
      <c r="BR88" s="88"/>
    </row>
    <row r="89" spans="1:70" x14ac:dyDescent="0.4">
      <c r="A89" s="85" t="s">
        <v>267</v>
      </c>
      <c r="B89" s="109" t="s">
        <v>135</v>
      </c>
      <c r="C89" s="131" t="s">
        <v>480</v>
      </c>
      <c r="D89" s="131"/>
      <c r="E89" s="131"/>
      <c r="F89" s="131"/>
      <c r="G89" s="131"/>
      <c r="H89" s="131"/>
      <c r="I89" s="111" t="s">
        <v>480</v>
      </c>
      <c r="J89" s="77" t="s">
        <v>132</v>
      </c>
      <c r="K89" s="84">
        <v>13.45</v>
      </c>
      <c r="L89" s="86">
        <v>1030000</v>
      </c>
      <c r="M89" s="80">
        <v>0.4</v>
      </c>
      <c r="N89" s="81">
        <v>50</v>
      </c>
      <c r="O89" s="84">
        <v>14.65</v>
      </c>
      <c r="P89" s="94">
        <v>6.709913952</v>
      </c>
      <c r="Q89" s="81">
        <f t="shared" si="3"/>
        <v>2.1833364935526971</v>
      </c>
      <c r="R89" s="81">
        <f t="shared" si="4"/>
        <v>281104573.54490978</v>
      </c>
      <c r="S89" s="81">
        <v>5</v>
      </c>
      <c r="T89" s="81">
        <f t="shared" si="5"/>
        <v>56220914.708981954</v>
      </c>
      <c r="U89" s="81"/>
      <c r="V89" s="84"/>
      <c r="W89" s="84"/>
      <c r="Y89" s="75"/>
      <c r="Z89" s="2"/>
      <c r="AA89" s="75"/>
      <c r="AB89" s="98"/>
      <c r="AD89" s="88"/>
      <c r="AE89" s="99"/>
      <c r="AF89" s="69"/>
      <c r="AH89" s="15"/>
      <c r="AI89" s="69"/>
      <c r="AJ89" s="69"/>
      <c r="AL89" s="69"/>
      <c r="AM89" s="69"/>
      <c r="AQ89" s="75"/>
      <c r="AR89" s="2"/>
      <c r="AS89" s="75"/>
      <c r="AT89" s="98"/>
      <c r="AV89" s="88"/>
      <c r="AW89" s="99"/>
      <c r="AX89" s="69"/>
      <c r="AY89" s="15"/>
      <c r="AZ89" s="15"/>
      <c r="BA89" s="69"/>
      <c r="BB89" s="69"/>
      <c r="BD89" s="69"/>
      <c r="BE89" s="69"/>
      <c r="BR89" s="88"/>
    </row>
    <row r="90" spans="1:70" x14ac:dyDescent="0.4">
      <c r="A90" s="85" t="s">
        <v>268</v>
      </c>
      <c r="B90" s="109" t="s">
        <v>135</v>
      </c>
      <c r="C90" s="131" t="s">
        <v>480</v>
      </c>
      <c r="D90" s="131"/>
      <c r="E90" s="131"/>
      <c r="F90" s="131"/>
      <c r="G90" s="131"/>
      <c r="H90" s="131"/>
      <c r="I90" s="111" t="s">
        <v>480</v>
      </c>
      <c r="J90" s="77" t="s">
        <v>132</v>
      </c>
      <c r="K90" s="84">
        <v>13.47</v>
      </c>
      <c r="L90" s="86">
        <v>1020000</v>
      </c>
      <c r="M90" s="80">
        <v>0.4</v>
      </c>
      <c r="N90" s="81">
        <v>50</v>
      </c>
      <c r="O90" s="84">
        <v>14.65</v>
      </c>
      <c r="P90" s="94">
        <v>6.709913952</v>
      </c>
      <c r="Q90" s="81">
        <f t="shared" si="3"/>
        <v>2.1833364935526971</v>
      </c>
      <c r="R90" s="81">
        <f t="shared" si="4"/>
        <v>278375402.92796886</v>
      </c>
      <c r="S90" s="81">
        <v>5</v>
      </c>
      <c r="T90" s="81">
        <f t="shared" si="5"/>
        <v>55675080.585593775</v>
      </c>
      <c r="U90" s="81"/>
      <c r="V90" s="84"/>
      <c r="W90" s="84"/>
      <c r="Y90" s="75"/>
      <c r="Z90" s="2"/>
      <c r="AA90" s="75"/>
      <c r="AB90" s="98"/>
      <c r="AD90" s="88"/>
      <c r="AE90" s="99"/>
      <c r="AF90" s="69"/>
      <c r="AH90" s="15"/>
      <c r="AI90" s="69"/>
      <c r="AJ90" s="69"/>
      <c r="AL90" s="69"/>
      <c r="AM90" s="69"/>
      <c r="AQ90" s="75"/>
      <c r="AR90" s="2"/>
      <c r="AS90" s="75"/>
      <c r="AT90" s="98"/>
      <c r="AV90" s="88"/>
      <c r="AW90" s="99"/>
      <c r="AX90" s="69"/>
      <c r="AY90" s="15"/>
      <c r="AZ90" s="15"/>
      <c r="BA90" s="69"/>
      <c r="BB90" s="69"/>
      <c r="BD90" s="69"/>
      <c r="BE90" s="69"/>
      <c r="BL90" s="93"/>
      <c r="BR90" s="88"/>
    </row>
    <row r="91" spans="1:70" x14ac:dyDescent="0.4">
      <c r="A91" s="85" t="s">
        <v>269</v>
      </c>
      <c r="B91" s="109" t="s">
        <v>135</v>
      </c>
      <c r="C91" s="131" t="s">
        <v>480</v>
      </c>
      <c r="D91" s="131"/>
      <c r="E91" s="131"/>
      <c r="F91" s="131"/>
      <c r="G91" s="131"/>
      <c r="H91" s="131"/>
      <c r="I91" s="111" t="s">
        <v>480</v>
      </c>
      <c r="J91" s="77" t="s">
        <v>132</v>
      </c>
      <c r="K91" s="84">
        <v>13.32</v>
      </c>
      <c r="L91" s="86">
        <v>1130000</v>
      </c>
      <c r="M91" s="80">
        <v>0.4</v>
      </c>
      <c r="N91" s="81">
        <v>50</v>
      </c>
      <c r="O91" s="84">
        <v>14.65</v>
      </c>
      <c r="P91" s="94">
        <v>6.709913952</v>
      </c>
      <c r="Q91" s="81">
        <f t="shared" si="3"/>
        <v>2.1833364935526971</v>
      </c>
      <c r="R91" s="81">
        <f t="shared" si="4"/>
        <v>308396279.71431845</v>
      </c>
      <c r="S91" s="81">
        <v>5</v>
      </c>
      <c r="T91" s="81">
        <f t="shared" si="5"/>
        <v>61679255.942863688</v>
      </c>
      <c r="U91" s="81">
        <f>AVERAGE(T89:T91)</f>
        <v>57858417.079146467</v>
      </c>
      <c r="V91" s="81">
        <f>_xlfn.STDEV.S(T89:T91)</f>
        <v>3320179.3535037581</v>
      </c>
      <c r="W91" s="81">
        <f>MAX(K89:K91)-MIN(K89:K91)</f>
        <v>0.15000000000000036</v>
      </c>
      <c r="Y91" s="75"/>
      <c r="Z91" s="2"/>
      <c r="AA91" s="75"/>
      <c r="AB91" s="98"/>
      <c r="AD91" s="88"/>
      <c r="AE91" s="99"/>
      <c r="AF91" s="69"/>
      <c r="AH91" s="15"/>
      <c r="AI91" s="69"/>
      <c r="AJ91" s="69"/>
      <c r="AL91" s="69"/>
      <c r="AM91" s="69"/>
      <c r="AN91" s="69"/>
      <c r="AO91" s="69"/>
      <c r="AQ91" s="75"/>
      <c r="AR91" s="2"/>
      <c r="AS91" s="75"/>
      <c r="AT91" s="98"/>
      <c r="AV91" s="88"/>
      <c r="AW91" s="99"/>
      <c r="AX91" s="69"/>
      <c r="AY91" s="15"/>
      <c r="AZ91" s="15"/>
      <c r="BA91" s="69"/>
      <c r="BB91" s="69"/>
      <c r="BD91" s="69"/>
      <c r="BE91" s="69"/>
      <c r="BF91" s="69"/>
      <c r="BG91" s="69"/>
      <c r="BR91" s="88"/>
    </row>
    <row r="92" spans="1:70" x14ac:dyDescent="0.4">
      <c r="A92" s="85" t="s">
        <v>270</v>
      </c>
      <c r="B92" s="109" t="s">
        <v>135</v>
      </c>
      <c r="C92" s="131" t="s">
        <v>480</v>
      </c>
      <c r="D92" s="131"/>
      <c r="E92" s="131"/>
      <c r="F92" s="131"/>
      <c r="G92" s="131"/>
      <c r="H92" s="131"/>
      <c r="I92" s="111" t="s">
        <v>480</v>
      </c>
      <c r="J92" s="77" t="s">
        <v>132</v>
      </c>
      <c r="K92" s="84">
        <v>12.9</v>
      </c>
      <c r="L92" s="86">
        <v>1480000</v>
      </c>
      <c r="M92" s="80">
        <v>0.4</v>
      </c>
      <c r="N92" s="81">
        <v>50</v>
      </c>
      <c r="O92" s="84">
        <v>14.83</v>
      </c>
      <c r="P92" s="94">
        <v>7.321550631</v>
      </c>
      <c r="Q92" s="81">
        <f t="shared" si="3"/>
        <v>2.0255272069291794</v>
      </c>
      <c r="R92" s="81">
        <f t="shared" si="4"/>
        <v>374722533.2818982</v>
      </c>
      <c r="S92" s="81">
        <v>5</v>
      </c>
      <c r="T92" s="81">
        <f t="shared" si="5"/>
        <v>74944506.65637964</v>
      </c>
      <c r="U92" s="81"/>
      <c r="V92" s="84"/>
      <c r="W92" s="84"/>
      <c r="Y92" s="75"/>
      <c r="Z92" s="2"/>
      <c r="AA92" s="75"/>
      <c r="AB92" s="98"/>
      <c r="AD92" s="88"/>
      <c r="AE92" s="99"/>
      <c r="AF92" s="69"/>
      <c r="AH92" s="15"/>
      <c r="AI92" s="69"/>
      <c r="AJ92" s="69"/>
      <c r="AL92" s="69"/>
      <c r="AM92" s="69"/>
      <c r="AQ92" s="75"/>
      <c r="AR92" s="2"/>
      <c r="AS92" s="75"/>
      <c r="AT92" s="98"/>
      <c r="AV92" s="88"/>
      <c r="AW92" s="99"/>
      <c r="AX92" s="69"/>
      <c r="AZ92" s="15"/>
      <c r="BA92" s="69"/>
      <c r="BB92" s="69"/>
      <c r="BD92" s="69"/>
      <c r="BE92" s="69"/>
      <c r="BR92" s="88"/>
    </row>
    <row r="93" spans="1:70" x14ac:dyDescent="0.4">
      <c r="A93" s="85" t="s">
        <v>271</v>
      </c>
      <c r="B93" s="109" t="s">
        <v>135</v>
      </c>
      <c r="C93" s="131" t="s">
        <v>480</v>
      </c>
      <c r="D93" s="131"/>
      <c r="E93" s="131"/>
      <c r="F93" s="131"/>
      <c r="G93" s="131"/>
      <c r="H93" s="131"/>
      <c r="I93" s="111" t="s">
        <v>480</v>
      </c>
      <c r="J93" s="77" t="s">
        <v>132</v>
      </c>
      <c r="K93" s="84">
        <v>12.94</v>
      </c>
      <c r="L93" s="86">
        <v>1440000</v>
      </c>
      <c r="M93" s="80">
        <v>0.4</v>
      </c>
      <c r="N93" s="81">
        <v>50</v>
      </c>
      <c r="O93" s="84">
        <v>14.83</v>
      </c>
      <c r="P93" s="94">
        <v>7.321550631</v>
      </c>
      <c r="Q93" s="81">
        <f t="shared" si="3"/>
        <v>2.0255272069291794</v>
      </c>
      <c r="R93" s="81">
        <f t="shared" si="4"/>
        <v>364594897.24725229</v>
      </c>
      <c r="S93" s="81">
        <v>5</v>
      </c>
      <c r="T93" s="81">
        <f t="shared" si="5"/>
        <v>72918979.449450463</v>
      </c>
      <c r="U93" s="81"/>
      <c r="V93" s="84"/>
      <c r="W93" s="84"/>
      <c r="Y93" s="75"/>
      <c r="Z93" s="2"/>
      <c r="AA93" s="75"/>
      <c r="AB93" s="98"/>
      <c r="AD93" s="88"/>
      <c r="AE93" s="99"/>
      <c r="AF93" s="69"/>
      <c r="AH93" s="15"/>
      <c r="AI93" s="69"/>
      <c r="AJ93" s="69"/>
      <c r="AL93" s="69"/>
      <c r="AM93" s="69"/>
      <c r="AQ93" s="75"/>
      <c r="AR93" s="2"/>
      <c r="AS93" s="75"/>
      <c r="AT93" s="98"/>
      <c r="AV93" s="88"/>
      <c r="AW93" s="99"/>
      <c r="AX93" s="69"/>
      <c r="AZ93" s="15"/>
      <c r="BA93" s="69"/>
      <c r="BB93" s="69"/>
      <c r="BD93" s="69"/>
      <c r="BE93" s="69"/>
      <c r="BR93" s="88"/>
    </row>
    <row r="94" spans="1:70" x14ac:dyDescent="0.4">
      <c r="A94" s="85" t="s">
        <v>272</v>
      </c>
      <c r="B94" s="109" t="s">
        <v>135</v>
      </c>
      <c r="C94" s="131" t="s">
        <v>480</v>
      </c>
      <c r="D94" s="131"/>
      <c r="E94" s="131"/>
      <c r="F94" s="131"/>
      <c r="G94" s="131"/>
      <c r="H94" s="131"/>
      <c r="I94" s="111" t="s">
        <v>480</v>
      </c>
      <c r="J94" s="77" t="s">
        <v>132</v>
      </c>
      <c r="K94" s="84">
        <v>13.03</v>
      </c>
      <c r="L94" s="86">
        <v>1360000</v>
      </c>
      <c r="M94" s="80">
        <v>0.4</v>
      </c>
      <c r="N94" s="81">
        <v>50</v>
      </c>
      <c r="O94" s="84">
        <v>14.83</v>
      </c>
      <c r="P94" s="94">
        <v>7.321550631</v>
      </c>
      <c r="Q94" s="81">
        <f t="shared" si="3"/>
        <v>2.0255272069291794</v>
      </c>
      <c r="R94" s="81">
        <f t="shared" si="4"/>
        <v>344339625.17796046</v>
      </c>
      <c r="S94" s="81">
        <v>5</v>
      </c>
      <c r="T94" s="81">
        <f t="shared" si="5"/>
        <v>68867925.035592094</v>
      </c>
      <c r="U94" s="81">
        <f>AVERAGE(T92:T94)</f>
        <v>72243803.713807404</v>
      </c>
      <c r="V94" s="81">
        <f>_xlfn.STDEV.S(T92:T94)</f>
        <v>3094043.9159818199</v>
      </c>
      <c r="W94" s="81">
        <f>MAX(K92:K94)-MIN(K92:K94)</f>
        <v>0.12999999999999901</v>
      </c>
      <c r="Y94" s="75"/>
      <c r="Z94" s="2"/>
      <c r="AA94" s="75"/>
      <c r="AB94" s="98"/>
      <c r="AD94" s="88"/>
      <c r="AE94" s="99"/>
      <c r="AF94" s="69"/>
      <c r="AH94" s="15"/>
      <c r="AI94" s="69"/>
      <c r="AJ94" s="69"/>
      <c r="AL94" s="69"/>
      <c r="AM94" s="69"/>
      <c r="AN94" s="69"/>
      <c r="AO94" s="69"/>
      <c r="AQ94" s="75"/>
      <c r="AR94" s="2"/>
      <c r="AS94" s="75"/>
      <c r="AT94" s="98"/>
      <c r="AV94" s="88"/>
      <c r="AW94" s="99"/>
      <c r="AX94" s="69"/>
      <c r="AZ94" s="15"/>
      <c r="BA94" s="69"/>
      <c r="BB94" s="69"/>
      <c r="BD94" s="69"/>
      <c r="BE94" s="69"/>
      <c r="BF94" s="69"/>
      <c r="BG94" s="69"/>
      <c r="BR94" s="88"/>
    </row>
    <row r="95" spans="1:70" x14ac:dyDescent="0.4">
      <c r="A95" s="85" t="s">
        <v>273</v>
      </c>
      <c r="B95" s="109" t="s">
        <v>145</v>
      </c>
      <c r="C95" s="131" t="s">
        <v>185</v>
      </c>
      <c r="D95" s="131"/>
      <c r="E95" s="131"/>
      <c r="F95" s="131"/>
      <c r="G95" s="131"/>
      <c r="H95" s="131"/>
      <c r="I95" s="111"/>
      <c r="J95" s="77"/>
      <c r="K95" s="84">
        <v>34.11</v>
      </c>
      <c r="L95" s="86">
        <v>1.46</v>
      </c>
      <c r="M95" s="80"/>
      <c r="N95" s="81"/>
      <c r="O95" s="84"/>
      <c r="P95" s="94"/>
      <c r="Q95" s="81" t="e">
        <f t="shared" si="3"/>
        <v>#DIV/0!</v>
      </c>
      <c r="R95" s="81" t="e">
        <f t="shared" si="4"/>
        <v>#DIV/0!</v>
      </c>
      <c r="S95" s="81">
        <v>5</v>
      </c>
      <c r="T95" s="81" t="e">
        <f t="shared" si="5"/>
        <v>#DIV/0!</v>
      </c>
      <c r="U95" s="81"/>
      <c r="V95" s="84"/>
      <c r="W95" s="84"/>
      <c r="Y95" s="75"/>
      <c r="Z95" s="2"/>
      <c r="AA95" s="75"/>
      <c r="AB95" s="98"/>
      <c r="AD95" s="88"/>
      <c r="AE95" s="99"/>
      <c r="AF95" s="69"/>
      <c r="AI95" s="69"/>
      <c r="AJ95" s="69"/>
      <c r="AL95" s="69"/>
      <c r="AM95" s="69"/>
      <c r="AQ95" s="75"/>
      <c r="AR95" s="2"/>
      <c r="AS95" s="75"/>
      <c r="AT95" s="98"/>
      <c r="AV95" s="88"/>
      <c r="AW95" s="99"/>
      <c r="AZ95" s="15"/>
      <c r="BA95" s="69"/>
      <c r="BB95" s="69"/>
      <c r="BD95" s="69"/>
      <c r="BE95" s="69"/>
      <c r="BR95" s="88"/>
    </row>
    <row r="96" spans="1:70" x14ac:dyDescent="0.4">
      <c r="A96" s="85" t="s">
        <v>274</v>
      </c>
      <c r="B96" s="109" t="s">
        <v>145</v>
      </c>
      <c r="C96" s="131" t="s">
        <v>185</v>
      </c>
      <c r="D96" s="131"/>
      <c r="E96" s="131"/>
      <c r="F96" s="131"/>
      <c r="G96" s="131"/>
      <c r="H96" s="131"/>
      <c r="I96" s="111"/>
      <c r="J96" s="77"/>
      <c r="K96" s="84">
        <v>35</v>
      </c>
      <c r="L96" s="86">
        <v>0.81299999999999994</v>
      </c>
      <c r="M96" s="80"/>
      <c r="N96" s="81"/>
      <c r="O96" s="84"/>
      <c r="P96" s="84"/>
      <c r="Q96" s="81" t="e">
        <f t="shared" si="3"/>
        <v>#DIV/0!</v>
      </c>
      <c r="R96" s="81" t="e">
        <f t="shared" si="4"/>
        <v>#DIV/0!</v>
      </c>
      <c r="S96" s="81">
        <v>5</v>
      </c>
      <c r="T96" s="81" t="e">
        <f t="shared" si="5"/>
        <v>#DIV/0!</v>
      </c>
      <c r="U96" s="81"/>
      <c r="V96" s="84"/>
      <c r="W96" s="84"/>
      <c r="Y96" s="75"/>
      <c r="Z96" s="2"/>
      <c r="AA96" s="75"/>
      <c r="AB96" s="98"/>
      <c r="AD96" s="88"/>
      <c r="AE96" s="99"/>
      <c r="AF96" s="69"/>
      <c r="AI96" s="69"/>
      <c r="AJ96" s="69"/>
      <c r="AL96" s="69"/>
      <c r="AM96" s="69"/>
      <c r="AQ96" s="75"/>
      <c r="AR96" s="2"/>
      <c r="AS96" s="75"/>
      <c r="AT96" s="98"/>
      <c r="AV96" s="88"/>
      <c r="AW96" s="99"/>
      <c r="AZ96" s="15"/>
      <c r="BA96" s="69"/>
      <c r="BB96" s="69"/>
      <c r="BD96" s="69"/>
      <c r="BE96" s="69"/>
      <c r="BR96" s="88"/>
    </row>
    <row r="97" spans="1:70" x14ac:dyDescent="0.4">
      <c r="A97" s="85" t="s">
        <v>275</v>
      </c>
      <c r="B97" s="109" t="s">
        <v>145</v>
      </c>
      <c r="C97" s="131" t="s">
        <v>185</v>
      </c>
      <c r="D97" s="131"/>
      <c r="E97" s="131"/>
      <c r="F97" s="131"/>
      <c r="G97" s="131"/>
      <c r="H97" s="131"/>
      <c r="I97" s="111"/>
      <c r="J97" s="77"/>
      <c r="K97" s="84">
        <v>35</v>
      </c>
      <c r="L97" s="86">
        <v>0.81299999999999994</v>
      </c>
      <c r="M97" s="80"/>
      <c r="N97" s="81"/>
      <c r="O97" s="84"/>
      <c r="Q97" s="81" t="e">
        <f t="shared" si="3"/>
        <v>#DIV/0!</v>
      </c>
      <c r="R97" s="81" t="e">
        <f t="shared" si="4"/>
        <v>#DIV/0!</v>
      </c>
      <c r="S97" s="81">
        <v>5</v>
      </c>
      <c r="T97" s="81" t="e">
        <f t="shared" si="5"/>
        <v>#DIV/0!</v>
      </c>
      <c r="U97" s="81" t="e">
        <f>AVERAGE(T95:T97)</f>
        <v>#DIV/0!</v>
      </c>
      <c r="V97" s="81" t="e">
        <f>_xlfn.STDEV.S(T95:T97)</f>
        <v>#DIV/0!</v>
      </c>
      <c r="W97" s="81">
        <f>MAX(K95:K97)-MIN(K95:K97)</f>
        <v>0.89000000000000057</v>
      </c>
      <c r="Y97" s="75"/>
      <c r="Z97" s="2"/>
      <c r="AA97" s="75"/>
      <c r="AB97" s="98"/>
      <c r="AD97" s="88"/>
      <c r="AE97" s="99"/>
      <c r="AF97" s="69"/>
      <c r="AI97" s="69"/>
      <c r="AJ97" s="69"/>
      <c r="AL97" s="69"/>
      <c r="AM97" s="69"/>
      <c r="AN97" s="69"/>
      <c r="AO97" s="69"/>
      <c r="AQ97" s="75"/>
      <c r="AR97" s="2"/>
      <c r="AS97" s="75"/>
      <c r="AT97" s="98"/>
      <c r="AV97" s="88"/>
      <c r="AW97" s="99"/>
      <c r="AZ97" s="15"/>
      <c r="BA97" s="69"/>
      <c r="BB97" s="69"/>
      <c r="BD97" s="69"/>
      <c r="BE97" s="69"/>
      <c r="BF97" s="69"/>
      <c r="BG97" s="69"/>
      <c r="BR97" s="88"/>
    </row>
    <row r="98" spans="1:70" x14ac:dyDescent="0.4">
      <c r="A98" s="85" t="s">
        <v>276</v>
      </c>
      <c r="B98" s="109" t="s">
        <v>146</v>
      </c>
      <c r="C98" s="131" t="s">
        <v>177</v>
      </c>
      <c r="D98" s="131"/>
      <c r="E98" s="131"/>
      <c r="F98" s="131"/>
      <c r="G98" s="131"/>
      <c r="H98" s="131"/>
      <c r="I98" s="111"/>
      <c r="J98" s="77"/>
      <c r="K98" s="84">
        <v>26.81</v>
      </c>
      <c r="L98" s="86">
        <v>170</v>
      </c>
      <c r="M98" s="80"/>
      <c r="N98" s="81"/>
      <c r="O98" s="84"/>
      <c r="Q98" s="81" t="e">
        <f t="shared" si="3"/>
        <v>#DIV/0!</v>
      </c>
      <c r="R98" s="81" t="e">
        <f t="shared" si="4"/>
        <v>#DIV/0!</v>
      </c>
      <c r="S98" s="81">
        <v>5</v>
      </c>
      <c r="T98" s="81" t="e">
        <f t="shared" si="5"/>
        <v>#DIV/0!</v>
      </c>
      <c r="U98" s="81"/>
      <c r="V98" s="84"/>
      <c r="W98" s="84"/>
      <c r="Y98" s="75"/>
      <c r="Z98" s="2"/>
      <c r="AA98" s="75"/>
      <c r="AB98" s="98"/>
      <c r="AD98" s="88"/>
      <c r="AE98" s="99"/>
      <c r="AF98" s="69"/>
      <c r="AI98" s="69"/>
      <c r="AJ98" s="69"/>
      <c r="AL98" s="69"/>
      <c r="AM98" s="69"/>
      <c r="AQ98" s="75"/>
      <c r="AR98" s="75"/>
      <c r="AS98" s="75"/>
      <c r="AT98" s="98"/>
      <c r="AW98" s="99"/>
      <c r="AZ98" s="15"/>
      <c r="BA98" s="69"/>
      <c r="BB98" s="69"/>
      <c r="BD98" s="69"/>
      <c r="BE98" s="69"/>
      <c r="BR98" s="88"/>
    </row>
    <row r="99" spans="1:70" x14ac:dyDescent="0.4">
      <c r="A99" s="85" t="s">
        <v>277</v>
      </c>
      <c r="B99" s="109" t="s">
        <v>146</v>
      </c>
      <c r="C99" s="131" t="s">
        <v>177</v>
      </c>
      <c r="D99" s="131"/>
      <c r="E99" s="131"/>
      <c r="F99" s="131"/>
      <c r="G99" s="131"/>
      <c r="H99" s="131"/>
      <c r="I99" s="111"/>
      <c r="J99" s="77"/>
      <c r="K99" s="84">
        <v>26.77</v>
      </c>
      <c r="L99" s="86">
        <v>174</v>
      </c>
      <c r="M99" s="80"/>
      <c r="N99" s="81"/>
      <c r="O99" s="84"/>
      <c r="Q99" s="81" t="e">
        <f t="shared" si="3"/>
        <v>#DIV/0!</v>
      </c>
      <c r="R99" s="81" t="e">
        <f t="shared" si="4"/>
        <v>#DIV/0!</v>
      </c>
      <c r="S99" s="81">
        <v>5</v>
      </c>
      <c r="T99" s="81" t="e">
        <f t="shared" si="5"/>
        <v>#DIV/0!</v>
      </c>
      <c r="U99" s="81"/>
      <c r="V99" s="84"/>
      <c r="W99" s="84"/>
      <c r="Y99" s="75"/>
      <c r="Z99" s="2"/>
      <c r="AA99" s="75"/>
      <c r="AB99" s="98"/>
      <c r="AD99" s="88"/>
      <c r="AE99" s="99"/>
      <c r="AF99" s="69"/>
      <c r="AI99" s="69"/>
      <c r="AJ99" s="69"/>
      <c r="AL99" s="69"/>
      <c r="AM99" s="69"/>
      <c r="AQ99" s="75"/>
      <c r="AR99" s="75"/>
      <c r="AS99" s="75"/>
      <c r="AT99" s="98"/>
      <c r="AW99" s="99"/>
      <c r="AZ99" s="15"/>
      <c r="BA99" s="69"/>
      <c r="BB99" s="69"/>
      <c r="BD99" s="69"/>
      <c r="BE99" s="69"/>
      <c r="BR99" s="88"/>
    </row>
    <row r="100" spans="1:70" x14ac:dyDescent="0.4">
      <c r="A100" s="85" t="s">
        <v>278</v>
      </c>
      <c r="B100" s="109" t="s">
        <v>146</v>
      </c>
      <c r="C100" s="131" t="s">
        <v>177</v>
      </c>
      <c r="D100" s="131"/>
      <c r="E100" s="131"/>
      <c r="F100" s="131"/>
      <c r="G100" s="131"/>
      <c r="H100" s="131"/>
      <c r="I100" s="111"/>
      <c r="J100" s="77"/>
      <c r="K100" s="84">
        <v>26.82</v>
      </c>
      <c r="L100" s="86">
        <v>169</v>
      </c>
      <c r="M100" s="80"/>
      <c r="N100" s="81"/>
      <c r="O100" s="84"/>
      <c r="Q100" s="81" t="e">
        <f t="shared" si="3"/>
        <v>#DIV/0!</v>
      </c>
      <c r="R100" s="81" t="e">
        <f t="shared" si="4"/>
        <v>#DIV/0!</v>
      </c>
      <c r="S100" s="81">
        <v>5</v>
      </c>
      <c r="T100" s="81" t="e">
        <f t="shared" si="5"/>
        <v>#DIV/0!</v>
      </c>
      <c r="U100" s="81" t="e">
        <f>AVERAGE(T98:T100)</f>
        <v>#DIV/0!</v>
      </c>
      <c r="V100" s="81" t="e">
        <f>_xlfn.STDEV.S(T98:T100)</f>
        <v>#DIV/0!</v>
      </c>
      <c r="W100" s="81">
        <f>MAX(K98:K100)-MIN(K98:K100)</f>
        <v>5.0000000000000711E-2</v>
      </c>
      <c r="Y100" s="75"/>
      <c r="Z100" s="2"/>
      <c r="AA100" s="75"/>
      <c r="AB100" s="98"/>
      <c r="AD100" s="88"/>
      <c r="AE100" s="99"/>
      <c r="AF100" s="69"/>
      <c r="AI100" s="69"/>
      <c r="AJ100" s="69"/>
      <c r="AL100" s="69"/>
      <c r="AM100" s="69"/>
      <c r="AN100" s="69"/>
      <c r="AO100" s="69"/>
      <c r="AQ100" s="75"/>
      <c r="AR100" s="75"/>
      <c r="AS100" s="75"/>
      <c r="AT100" s="98"/>
      <c r="AW100" s="99"/>
      <c r="AZ100" s="15"/>
      <c r="BA100" s="69"/>
      <c r="BB100" s="69"/>
      <c r="BD100" s="69"/>
      <c r="BE100" s="69"/>
      <c r="BF100" s="69"/>
      <c r="BG100" s="69"/>
    </row>
    <row r="101" spans="1:70" x14ac:dyDescent="0.4">
      <c r="A101" s="85" t="s">
        <v>279</v>
      </c>
      <c r="B101" s="109" t="s">
        <v>174</v>
      </c>
      <c r="C101" s="133"/>
      <c r="D101" s="133"/>
      <c r="E101" s="133"/>
      <c r="F101" s="133"/>
      <c r="G101" s="133"/>
      <c r="H101" s="133"/>
      <c r="I101" s="111"/>
      <c r="J101" s="77"/>
      <c r="K101" s="84"/>
      <c r="L101" s="84"/>
      <c r="M101" s="80"/>
      <c r="N101" s="84"/>
      <c r="O101" s="84"/>
      <c r="Q101" s="81" t="e">
        <f t="shared" si="3"/>
        <v>#DIV/0!</v>
      </c>
      <c r="R101" s="81" t="e">
        <f t="shared" si="4"/>
        <v>#DIV/0!</v>
      </c>
      <c r="S101" s="81">
        <v>5</v>
      </c>
      <c r="T101" s="81" t="e">
        <f t="shared" si="5"/>
        <v>#DIV/0!</v>
      </c>
      <c r="U101" s="81"/>
      <c r="V101" s="84"/>
      <c r="W101" s="84"/>
      <c r="Y101" s="75"/>
      <c r="Z101" s="2"/>
      <c r="AA101" s="2"/>
      <c r="AB101" s="98"/>
      <c r="AE101" s="99"/>
      <c r="AI101" s="69"/>
      <c r="AJ101" s="69"/>
      <c r="AL101" s="69"/>
      <c r="AM101" s="69"/>
      <c r="AQ101" s="75"/>
      <c r="AR101" s="2"/>
      <c r="AS101" s="2"/>
      <c r="AT101" s="98"/>
      <c r="AV101" s="88"/>
      <c r="AW101" s="99"/>
      <c r="AX101" s="69"/>
      <c r="AY101" s="15"/>
      <c r="AZ101" s="15"/>
      <c r="BA101" s="69"/>
      <c r="BB101" s="69"/>
      <c r="BD101" s="69"/>
      <c r="BE101" s="69"/>
      <c r="BL101" s="93"/>
    </row>
    <row r="102" spans="1:70" x14ac:dyDescent="0.4">
      <c r="A102" s="85" t="s">
        <v>280</v>
      </c>
      <c r="B102" s="109" t="s">
        <v>174</v>
      </c>
      <c r="C102" s="133"/>
      <c r="D102" s="133"/>
      <c r="E102" s="133"/>
      <c r="F102" s="133"/>
      <c r="G102" s="133"/>
      <c r="H102" s="133"/>
      <c r="I102" s="111"/>
      <c r="J102" s="77"/>
      <c r="K102" s="84"/>
      <c r="L102" s="84"/>
      <c r="M102" s="80"/>
      <c r="N102" s="84"/>
      <c r="O102" s="84"/>
      <c r="Q102" s="81" t="e">
        <f t="shared" si="3"/>
        <v>#DIV/0!</v>
      </c>
      <c r="R102" s="81" t="e">
        <f t="shared" si="4"/>
        <v>#DIV/0!</v>
      </c>
      <c r="S102" s="81">
        <v>5</v>
      </c>
      <c r="T102" s="81" t="e">
        <f t="shared" si="5"/>
        <v>#DIV/0!</v>
      </c>
      <c r="U102" s="81"/>
      <c r="V102" s="84"/>
      <c r="W102" s="84"/>
      <c r="Y102" s="75"/>
      <c r="Z102" s="2"/>
      <c r="AA102" s="2"/>
      <c r="AB102" s="98"/>
      <c r="AE102" s="99"/>
      <c r="AI102" s="69"/>
      <c r="AJ102" s="69"/>
      <c r="AL102" s="69"/>
      <c r="AM102" s="69"/>
      <c r="AQ102" s="75"/>
      <c r="AR102" s="2"/>
      <c r="AS102" s="2"/>
      <c r="AT102" s="98"/>
      <c r="AV102" s="88"/>
      <c r="AW102" s="99"/>
      <c r="AX102" s="69"/>
      <c r="AY102" s="15"/>
      <c r="AZ102" s="15"/>
      <c r="BA102" s="69"/>
      <c r="BB102" s="69"/>
      <c r="BD102" s="69"/>
      <c r="BE102" s="69"/>
    </row>
    <row r="103" spans="1:70" x14ac:dyDescent="0.4">
      <c r="A103" s="85" t="s">
        <v>281</v>
      </c>
      <c r="B103" s="109" t="s">
        <v>174</v>
      </c>
      <c r="C103" s="133"/>
      <c r="D103" s="133"/>
      <c r="E103" s="133"/>
      <c r="F103" s="133"/>
      <c r="G103" s="133"/>
      <c r="H103" s="133"/>
      <c r="I103" s="111"/>
      <c r="J103" s="77"/>
      <c r="K103" s="84"/>
      <c r="L103" s="84"/>
      <c r="M103" s="80"/>
      <c r="N103" s="84"/>
      <c r="O103" s="84"/>
      <c r="Q103" s="81" t="e">
        <f t="shared" si="3"/>
        <v>#DIV/0!</v>
      </c>
      <c r="R103" s="81" t="e">
        <f t="shared" si="4"/>
        <v>#DIV/0!</v>
      </c>
      <c r="S103" s="81">
        <v>5</v>
      </c>
      <c r="T103" s="81" t="e">
        <f t="shared" si="5"/>
        <v>#DIV/0!</v>
      </c>
      <c r="U103" s="81" t="e">
        <f>AVERAGE(T101:T103)</f>
        <v>#DIV/0!</v>
      </c>
      <c r="V103" s="81" t="e">
        <f>_xlfn.STDEV.S(T101:T103)</f>
        <v>#DIV/0!</v>
      </c>
      <c r="W103" s="81">
        <f>MAX(K101:K103)-MIN(K101:K103)</f>
        <v>0</v>
      </c>
      <c r="Y103" s="75"/>
      <c r="Z103" s="2"/>
      <c r="AA103" s="2"/>
      <c r="AB103" s="98"/>
      <c r="AE103" s="99"/>
      <c r="AI103" s="69"/>
      <c r="AJ103" s="69"/>
      <c r="AL103" s="69"/>
      <c r="AM103" s="69"/>
      <c r="AN103" s="69"/>
      <c r="AO103" s="69"/>
      <c r="AQ103" s="75"/>
      <c r="AR103" s="2"/>
      <c r="AS103" s="2"/>
      <c r="AT103" s="98"/>
      <c r="AV103" s="88"/>
      <c r="AW103" s="99"/>
      <c r="AX103" s="69"/>
      <c r="AY103" s="15"/>
      <c r="AZ103" s="15"/>
      <c r="BA103" s="69"/>
      <c r="BB103" s="69"/>
      <c r="BD103" s="69"/>
      <c r="BE103" s="69"/>
      <c r="BF103" s="69"/>
      <c r="BG103" s="69"/>
      <c r="BL103" s="93"/>
      <c r="BR103" s="88"/>
    </row>
    <row r="104" spans="1:70" x14ac:dyDescent="0.4">
      <c r="A104" s="85" t="s">
        <v>282</v>
      </c>
      <c r="B104" s="109" t="s">
        <v>174</v>
      </c>
      <c r="C104" s="133"/>
      <c r="D104" s="133"/>
      <c r="E104" s="133"/>
      <c r="F104" s="133"/>
      <c r="G104" s="133"/>
      <c r="H104" s="133"/>
      <c r="I104" s="111"/>
      <c r="J104" s="77"/>
      <c r="K104" s="84"/>
      <c r="L104" s="84"/>
      <c r="M104" s="80"/>
      <c r="N104" s="84"/>
      <c r="O104" s="84"/>
      <c r="Q104" s="81" t="e">
        <f t="shared" si="3"/>
        <v>#DIV/0!</v>
      </c>
      <c r="R104" s="81" t="e">
        <f t="shared" si="4"/>
        <v>#DIV/0!</v>
      </c>
      <c r="S104" s="81">
        <v>5</v>
      </c>
      <c r="T104" s="81" t="e">
        <f t="shared" si="5"/>
        <v>#DIV/0!</v>
      </c>
      <c r="U104" s="81"/>
      <c r="V104" s="84"/>
      <c r="W104" s="84"/>
      <c r="Y104" s="75"/>
      <c r="Z104" s="2"/>
      <c r="AA104" s="2"/>
      <c r="AB104" s="98"/>
      <c r="AE104" s="99"/>
      <c r="AI104" s="69"/>
      <c r="AJ104" s="69"/>
      <c r="AL104" s="69"/>
      <c r="AM104" s="69"/>
      <c r="AQ104" s="75"/>
      <c r="AR104" s="2"/>
      <c r="AS104" s="75"/>
      <c r="AT104" s="98"/>
      <c r="AV104" s="88"/>
      <c r="AW104" s="99"/>
      <c r="AZ104" s="15"/>
      <c r="BA104" s="69"/>
      <c r="BB104" s="69"/>
      <c r="BD104" s="69"/>
      <c r="BE104" s="69"/>
      <c r="BR104" s="88"/>
    </row>
    <row r="105" spans="1:70" x14ac:dyDescent="0.4">
      <c r="A105" s="85" t="s">
        <v>283</v>
      </c>
      <c r="B105" s="109" t="s">
        <v>174</v>
      </c>
      <c r="C105" s="133"/>
      <c r="D105" s="133"/>
      <c r="E105" s="133"/>
      <c r="F105" s="133"/>
      <c r="G105" s="133"/>
      <c r="H105" s="133"/>
      <c r="I105" s="111"/>
      <c r="J105" s="77"/>
      <c r="K105" s="84"/>
      <c r="L105" s="84"/>
      <c r="M105" s="80"/>
      <c r="N105" s="84"/>
      <c r="O105" s="84"/>
      <c r="Q105" s="81" t="e">
        <f t="shared" si="3"/>
        <v>#DIV/0!</v>
      </c>
      <c r="R105" s="81" t="e">
        <f t="shared" si="4"/>
        <v>#DIV/0!</v>
      </c>
      <c r="S105" s="81">
        <v>5</v>
      </c>
      <c r="T105" s="81" t="e">
        <f t="shared" si="5"/>
        <v>#DIV/0!</v>
      </c>
      <c r="U105" s="81"/>
      <c r="V105" s="84"/>
      <c r="W105" s="84"/>
      <c r="Y105" s="75"/>
      <c r="Z105" s="2"/>
      <c r="AA105" s="2"/>
      <c r="AB105" s="98"/>
      <c r="AE105" s="99"/>
      <c r="AI105" s="69"/>
      <c r="AJ105" s="69"/>
      <c r="AL105" s="69"/>
      <c r="AM105" s="69"/>
      <c r="AQ105" s="75"/>
      <c r="AR105" s="2"/>
      <c r="AS105" s="75"/>
      <c r="AT105" s="98"/>
      <c r="AV105" s="88"/>
      <c r="AW105" s="99"/>
      <c r="AZ105" s="15"/>
      <c r="BA105" s="69"/>
      <c r="BB105" s="69"/>
      <c r="BD105" s="69"/>
      <c r="BE105" s="69"/>
      <c r="BR105" s="88"/>
    </row>
    <row r="106" spans="1:70" x14ac:dyDescent="0.4">
      <c r="A106" s="85" t="s">
        <v>284</v>
      </c>
      <c r="B106" s="109" t="s">
        <v>174</v>
      </c>
      <c r="C106" s="133"/>
      <c r="D106" s="133"/>
      <c r="E106" s="133"/>
      <c r="F106" s="133"/>
      <c r="G106" s="133"/>
      <c r="H106" s="133"/>
      <c r="I106" s="111"/>
      <c r="J106" s="77"/>
      <c r="K106" s="84"/>
      <c r="L106" s="84"/>
      <c r="M106" s="80"/>
      <c r="N106" s="84"/>
      <c r="O106" s="84"/>
      <c r="P106" s="84"/>
      <c r="Q106" s="81" t="e">
        <f t="shared" si="3"/>
        <v>#DIV/0!</v>
      </c>
      <c r="R106" s="81" t="e">
        <f t="shared" si="4"/>
        <v>#DIV/0!</v>
      </c>
      <c r="S106" s="81">
        <v>5</v>
      </c>
      <c r="T106" s="81" t="e">
        <f t="shared" si="5"/>
        <v>#DIV/0!</v>
      </c>
      <c r="U106" s="81" t="e">
        <f>AVERAGE(T104:T106)</f>
        <v>#DIV/0!</v>
      </c>
      <c r="V106" s="81" t="e">
        <f>_xlfn.STDEV.S(T104:T106)</f>
        <v>#DIV/0!</v>
      </c>
      <c r="W106" s="81">
        <f>MAX(K104:K106)-MIN(K104:K106)</f>
        <v>0</v>
      </c>
      <c r="Y106" s="75"/>
      <c r="Z106" s="2"/>
      <c r="AA106" s="2"/>
      <c r="AB106" s="98"/>
      <c r="AE106" s="99"/>
      <c r="AI106" s="69"/>
      <c r="AJ106" s="69"/>
      <c r="AL106" s="69"/>
      <c r="AM106" s="69"/>
      <c r="AN106" s="69"/>
      <c r="AO106" s="69"/>
      <c r="AQ106" s="75"/>
      <c r="AR106" s="2"/>
      <c r="AS106" s="75"/>
      <c r="AT106" s="98"/>
      <c r="AV106" s="88"/>
      <c r="AW106" s="99"/>
      <c r="AZ106" s="15"/>
      <c r="BA106" s="69"/>
      <c r="BB106" s="69"/>
      <c r="BD106" s="69"/>
      <c r="BE106" s="69"/>
      <c r="BF106" s="69"/>
      <c r="BG106" s="69"/>
      <c r="BR106" s="88"/>
    </row>
    <row r="107" spans="1:70" x14ac:dyDescent="0.4">
      <c r="A107" s="76" t="s">
        <v>285</v>
      </c>
      <c r="B107" s="107" t="s">
        <v>75</v>
      </c>
      <c r="C107" s="129" t="s">
        <v>4</v>
      </c>
      <c r="D107" s="129" t="s">
        <v>485</v>
      </c>
      <c r="E107" s="129" t="s">
        <v>485</v>
      </c>
      <c r="F107" s="129" t="s">
        <v>484</v>
      </c>
      <c r="G107" s="129" t="s">
        <v>485</v>
      </c>
      <c r="H107" s="129" t="s">
        <v>484</v>
      </c>
      <c r="I107" s="112">
        <v>4.8</v>
      </c>
      <c r="J107" s="77" t="s">
        <v>81</v>
      </c>
      <c r="K107" s="84">
        <v>11.6</v>
      </c>
      <c r="L107" s="86">
        <v>3390000</v>
      </c>
      <c r="M107" s="80">
        <v>0.4</v>
      </c>
      <c r="N107" s="81">
        <v>50</v>
      </c>
      <c r="O107" s="84">
        <v>26.61</v>
      </c>
      <c r="P107" s="94">
        <v>8.0369421590000005</v>
      </c>
      <c r="Q107" s="81">
        <f t="shared" si="3"/>
        <v>3.3109607452134453</v>
      </c>
      <c r="R107" s="81">
        <f t="shared" si="4"/>
        <v>1403019615.7841973</v>
      </c>
      <c r="S107" s="81">
        <v>5</v>
      </c>
      <c r="T107" s="81">
        <f t="shared" si="5"/>
        <v>280603923.15683949</v>
      </c>
      <c r="U107" s="81"/>
      <c r="V107" s="81"/>
      <c r="W107" s="81"/>
      <c r="BR107" s="88"/>
    </row>
    <row r="108" spans="1:70" x14ac:dyDescent="0.4">
      <c r="A108" s="85" t="s">
        <v>286</v>
      </c>
      <c r="B108" s="108" t="s">
        <v>75</v>
      </c>
      <c r="C108" s="129" t="s">
        <v>4</v>
      </c>
      <c r="D108" s="129" t="s">
        <v>485</v>
      </c>
      <c r="E108" s="129" t="s">
        <v>485</v>
      </c>
      <c r="F108" s="129" t="s">
        <v>484</v>
      </c>
      <c r="G108" s="129" t="s">
        <v>485</v>
      </c>
      <c r="H108" s="129" t="s">
        <v>484</v>
      </c>
      <c r="I108" s="112">
        <v>4.8</v>
      </c>
      <c r="J108" s="77" t="s">
        <v>81</v>
      </c>
      <c r="K108" s="84">
        <v>11.53</v>
      </c>
      <c r="L108" s="86">
        <v>3530000</v>
      </c>
      <c r="M108" s="80">
        <v>0.4</v>
      </c>
      <c r="N108" s="81">
        <v>50</v>
      </c>
      <c r="O108" s="84">
        <v>26.61</v>
      </c>
      <c r="P108" s="94">
        <v>8.0369421590000005</v>
      </c>
      <c r="Q108" s="81">
        <f t="shared" si="3"/>
        <v>3.3109607452134453</v>
      </c>
      <c r="R108" s="81">
        <f t="shared" si="4"/>
        <v>1460961428.8254325</v>
      </c>
      <c r="S108" s="81">
        <v>5</v>
      </c>
      <c r="T108" s="81">
        <f t="shared" si="5"/>
        <v>292192285.76508653</v>
      </c>
      <c r="U108" s="87"/>
      <c r="V108" s="87"/>
      <c r="W108" s="87"/>
      <c r="BR108" s="88"/>
    </row>
    <row r="109" spans="1:70" x14ac:dyDescent="0.4">
      <c r="A109" s="85" t="s">
        <v>287</v>
      </c>
      <c r="B109" s="107" t="s">
        <v>75</v>
      </c>
      <c r="C109" s="129" t="s">
        <v>4</v>
      </c>
      <c r="D109" s="129" t="s">
        <v>485</v>
      </c>
      <c r="E109" s="129" t="s">
        <v>485</v>
      </c>
      <c r="F109" s="129" t="s">
        <v>484</v>
      </c>
      <c r="G109" s="129" t="s">
        <v>485</v>
      </c>
      <c r="H109" s="129" t="s">
        <v>484</v>
      </c>
      <c r="I109" s="112">
        <v>4.8</v>
      </c>
      <c r="J109" s="77" t="s">
        <v>81</v>
      </c>
      <c r="K109" s="84">
        <v>11.54</v>
      </c>
      <c r="L109" s="86">
        <v>3510000</v>
      </c>
      <c r="M109" s="80">
        <v>0.4</v>
      </c>
      <c r="N109" s="81">
        <v>50</v>
      </c>
      <c r="O109" s="84">
        <v>26.61</v>
      </c>
      <c r="P109" s="94">
        <v>8.0369421590000005</v>
      </c>
      <c r="Q109" s="81">
        <f t="shared" si="3"/>
        <v>3.3109607452134453</v>
      </c>
      <c r="R109" s="81">
        <f t="shared" si="4"/>
        <v>1452684026.962399</v>
      </c>
      <c r="S109" s="81">
        <v>5</v>
      </c>
      <c r="T109" s="81">
        <f t="shared" si="5"/>
        <v>290536805.39247978</v>
      </c>
      <c r="U109" s="81">
        <f>AVERAGE(T107:T109)</f>
        <v>287777671.43813527</v>
      </c>
      <c r="V109" s="81">
        <f>_xlfn.STDEV.S(T107:T109)</f>
        <v>6267547.5362032261</v>
      </c>
      <c r="W109" s="81">
        <f>MAX(K107:K109)-MIN(K107:K109)</f>
        <v>7.0000000000000284E-2</v>
      </c>
    </row>
    <row r="110" spans="1:70" x14ac:dyDescent="0.4">
      <c r="A110" s="85" t="s">
        <v>288</v>
      </c>
      <c r="B110" s="107" t="s">
        <v>76</v>
      </c>
      <c r="C110" s="129" t="s">
        <v>5</v>
      </c>
      <c r="D110" s="129" t="s">
        <v>485</v>
      </c>
      <c r="E110" s="129" t="s">
        <v>484</v>
      </c>
      <c r="F110" s="129" t="s">
        <v>484</v>
      </c>
      <c r="G110" s="129" t="s">
        <v>485</v>
      </c>
      <c r="H110" s="129" t="s">
        <v>485</v>
      </c>
      <c r="I110" s="112">
        <v>4.8</v>
      </c>
      <c r="J110" s="77" t="s">
        <v>81</v>
      </c>
      <c r="K110" s="84">
        <v>16.649999999999999</v>
      </c>
      <c r="L110" s="86">
        <v>125000</v>
      </c>
      <c r="M110" s="80">
        <v>0.4</v>
      </c>
      <c r="N110" s="81">
        <v>50</v>
      </c>
      <c r="O110" s="84">
        <v>6.43</v>
      </c>
      <c r="P110" s="94">
        <v>6.3685568080000001</v>
      </c>
      <c r="Q110" s="81">
        <f t="shared" si="3"/>
        <v>1.0096478988650641</v>
      </c>
      <c r="R110" s="81">
        <f t="shared" si="4"/>
        <v>15775748.419766625</v>
      </c>
      <c r="S110" s="81">
        <v>5</v>
      </c>
      <c r="T110" s="81">
        <f t="shared" si="5"/>
        <v>3155149.6839533253</v>
      </c>
      <c r="U110" s="81"/>
      <c r="V110" s="87"/>
      <c r="W110" s="87"/>
    </row>
    <row r="111" spans="1:70" x14ac:dyDescent="0.4">
      <c r="A111" s="85" t="s">
        <v>289</v>
      </c>
      <c r="B111" s="108" t="s">
        <v>76</v>
      </c>
      <c r="C111" s="129" t="s">
        <v>5</v>
      </c>
      <c r="D111" s="129" t="s">
        <v>485</v>
      </c>
      <c r="E111" s="129" t="s">
        <v>484</v>
      </c>
      <c r="F111" s="129" t="s">
        <v>484</v>
      </c>
      <c r="G111" s="129" t="s">
        <v>485</v>
      </c>
      <c r="H111" s="129" t="s">
        <v>485</v>
      </c>
      <c r="I111" s="112">
        <v>4.8</v>
      </c>
      <c r="J111" s="77" t="s">
        <v>81</v>
      </c>
      <c r="K111" s="84">
        <v>16.670000000000002</v>
      </c>
      <c r="L111" s="86">
        <v>124000</v>
      </c>
      <c r="M111" s="80">
        <v>0.4</v>
      </c>
      <c r="N111" s="81">
        <v>50</v>
      </c>
      <c r="O111">
        <v>6.43</v>
      </c>
      <c r="P111" s="94">
        <v>6.3685568080000001</v>
      </c>
      <c r="Q111" s="81">
        <f t="shared" si="3"/>
        <v>1.0096478988650641</v>
      </c>
      <c r="R111" s="81">
        <f t="shared" si="4"/>
        <v>15649542.432408493</v>
      </c>
      <c r="S111" s="81">
        <v>5</v>
      </c>
      <c r="T111" s="81">
        <f t="shared" si="5"/>
        <v>3129908.4864816987</v>
      </c>
      <c r="U111" s="81"/>
      <c r="V111" s="81"/>
      <c r="W111" s="81"/>
    </row>
    <row r="112" spans="1:70" x14ac:dyDescent="0.4">
      <c r="A112" s="85" t="s">
        <v>290</v>
      </c>
      <c r="B112" s="107" t="s">
        <v>76</v>
      </c>
      <c r="C112" s="129" t="s">
        <v>5</v>
      </c>
      <c r="D112" s="129" t="s">
        <v>485</v>
      </c>
      <c r="E112" s="129" t="s">
        <v>484</v>
      </c>
      <c r="F112" s="129" t="s">
        <v>484</v>
      </c>
      <c r="G112" s="129" t="s">
        <v>485</v>
      </c>
      <c r="H112" s="129" t="s">
        <v>485</v>
      </c>
      <c r="I112" s="112">
        <v>4.8</v>
      </c>
      <c r="J112" s="77" t="s">
        <v>81</v>
      </c>
      <c r="K112" s="84">
        <v>16.7</v>
      </c>
      <c r="L112" s="86">
        <v>122000</v>
      </c>
      <c r="M112" s="80">
        <v>0.4</v>
      </c>
      <c r="N112" s="81">
        <v>50</v>
      </c>
      <c r="O112">
        <v>6.43</v>
      </c>
      <c r="P112" s="94">
        <v>6.3685568080000001</v>
      </c>
      <c r="Q112" s="81">
        <f t="shared" si="3"/>
        <v>1.0096478988650641</v>
      </c>
      <c r="R112" s="81">
        <f t="shared" si="4"/>
        <v>15397130.457692226</v>
      </c>
      <c r="S112" s="81">
        <v>5</v>
      </c>
      <c r="T112" s="81">
        <f t="shared" si="5"/>
        <v>3079426.0915384451</v>
      </c>
      <c r="U112" s="81">
        <f>AVERAGE(T110:T112)</f>
        <v>3121494.7539911568</v>
      </c>
      <c r="V112" s="81">
        <f>_xlfn.STDEV.S(T110:T112)</f>
        <v>38556.566015019162</v>
      </c>
      <c r="W112" s="81">
        <f>MAX(K110:K112)-MIN(K110:K112)</f>
        <v>5.0000000000000711E-2</v>
      </c>
    </row>
    <row r="113" spans="1:23" x14ac:dyDescent="0.4">
      <c r="A113" s="85" t="s">
        <v>291</v>
      </c>
      <c r="B113" s="107" t="s">
        <v>77</v>
      </c>
      <c r="C113" s="129" t="s">
        <v>6</v>
      </c>
      <c r="D113" s="129" t="s">
        <v>485</v>
      </c>
      <c r="E113" s="129" t="s">
        <v>485</v>
      </c>
      <c r="F113" s="129" t="s">
        <v>484</v>
      </c>
      <c r="G113" s="129" t="s">
        <v>485</v>
      </c>
      <c r="H113" s="129" t="s">
        <v>485</v>
      </c>
      <c r="I113" s="112">
        <v>4.8</v>
      </c>
      <c r="J113" s="77" t="s">
        <v>81</v>
      </c>
      <c r="K113" s="84">
        <v>16.809999999999999</v>
      </c>
      <c r="L113" s="86">
        <v>113000</v>
      </c>
      <c r="M113" s="80">
        <v>0.4</v>
      </c>
      <c r="N113" s="81">
        <v>50</v>
      </c>
      <c r="O113">
        <v>2.38</v>
      </c>
      <c r="P113" s="94">
        <v>4.0712730739999996</v>
      </c>
      <c r="Q113" s="81">
        <f t="shared" si="3"/>
        <v>0.58458373013571041</v>
      </c>
      <c r="R113" s="81">
        <f t="shared" si="4"/>
        <v>8257245.1881669099</v>
      </c>
      <c r="S113" s="81">
        <v>5</v>
      </c>
      <c r="T113" s="81">
        <f t="shared" si="5"/>
        <v>1651449.037633382</v>
      </c>
      <c r="U113" s="81"/>
      <c r="V113" s="81"/>
      <c r="W113" s="81"/>
    </row>
    <row r="114" spans="1:23" x14ac:dyDescent="0.4">
      <c r="A114" s="85" t="s">
        <v>292</v>
      </c>
      <c r="B114" s="108" t="s">
        <v>77</v>
      </c>
      <c r="C114" s="129" t="s">
        <v>6</v>
      </c>
      <c r="D114" s="129" t="s">
        <v>485</v>
      </c>
      <c r="E114" s="129" t="s">
        <v>485</v>
      </c>
      <c r="F114" s="129" t="s">
        <v>484</v>
      </c>
      <c r="G114" s="129" t="s">
        <v>485</v>
      </c>
      <c r="H114" s="129" t="s">
        <v>485</v>
      </c>
      <c r="I114" s="112">
        <v>4.8</v>
      </c>
      <c r="J114" s="77" t="s">
        <v>81</v>
      </c>
      <c r="K114" s="84">
        <v>16.87</v>
      </c>
      <c r="L114" s="86">
        <v>109000</v>
      </c>
      <c r="M114" s="80">
        <v>0.4</v>
      </c>
      <c r="N114" s="81">
        <v>50</v>
      </c>
      <c r="O114">
        <v>2.38</v>
      </c>
      <c r="P114" s="94">
        <v>4.0712730739999996</v>
      </c>
      <c r="Q114" s="81">
        <f t="shared" si="3"/>
        <v>0.58458373013571041</v>
      </c>
      <c r="R114" s="81">
        <f t="shared" si="4"/>
        <v>7964953.3230990544</v>
      </c>
      <c r="S114" s="81">
        <v>5</v>
      </c>
      <c r="T114" s="81">
        <f t="shared" si="5"/>
        <v>1592990.6646198109</v>
      </c>
      <c r="U114" s="81"/>
      <c r="V114" s="87"/>
      <c r="W114" s="87"/>
    </row>
    <row r="115" spans="1:23" x14ac:dyDescent="0.4">
      <c r="A115" s="85" t="s">
        <v>293</v>
      </c>
      <c r="B115" s="107" t="s">
        <v>77</v>
      </c>
      <c r="C115" s="129" t="s">
        <v>6</v>
      </c>
      <c r="D115" s="129" t="s">
        <v>485</v>
      </c>
      <c r="E115" s="129" t="s">
        <v>485</v>
      </c>
      <c r="F115" s="129" t="s">
        <v>484</v>
      </c>
      <c r="G115" s="129" t="s">
        <v>485</v>
      </c>
      <c r="H115" s="129" t="s">
        <v>485</v>
      </c>
      <c r="I115" s="112">
        <v>4.8</v>
      </c>
      <c r="J115" s="77" t="s">
        <v>81</v>
      </c>
      <c r="K115" s="84">
        <v>16.940000000000001</v>
      </c>
      <c r="L115" s="86">
        <v>104000</v>
      </c>
      <c r="M115" s="80">
        <v>0.4</v>
      </c>
      <c r="N115" s="81">
        <v>50</v>
      </c>
      <c r="O115">
        <v>2.38</v>
      </c>
      <c r="P115" s="94">
        <v>4.0712730739999996</v>
      </c>
      <c r="Q115" s="81">
        <f t="shared" si="3"/>
        <v>0.58458373013571041</v>
      </c>
      <c r="R115" s="81">
        <f t="shared" si="4"/>
        <v>7599588.4917642344</v>
      </c>
      <c r="S115" s="81">
        <v>5</v>
      </c>
      <c r="T115" s="81">
        <f t="shared" si="5"/>
        <v>1519917.6983528468</v>
      </c>
      <c r="U115" s="81">
        <f>AVERAGE(T113:T115)</f>
        <v>1588119.1335353467</v>
      </c>
      <c r="V115" s="81">
        <f>_xlfn.STDEV.S(T113:T115)</f>
        <v>65900.851015468637</v>
      </c>
      <c r="W115" s="81">
        <f>MAX(K113:K115)-MIN(K113:K115)</f>
        <v>0.13000000000000256</v>
      </c>
    </row>
    <row r="116" spans="1:23" x14ac:dyDescent="0.4">
      <c r="A116" s="85" t="s">
        <v>294</v>
      </c>
      <c r="B116" s="108" t="s">
        <v>78</v>
      </c>
      <c r="C116" s="129" t="s">
        <v>7</v>
      </c>
      <c r="D116" s="129" t="s">
        <v>485</v>
      </c>
      <c r="E116" s="129" t="s">
        <v>485</v>
      </c>
      <c r="F116" s="129" t="s">
        <v>485</v>
      </c>
      <c r="G116" s="129" t="s">
        <v>485</v>
      </c>
      <c r="H116" s="129" t="s">
        <v>485</v>
      </c>
      <c r="I116" s="112">
        <v>4.8</v>
      </c>
      <c r="J116" s="77" t="s">
        <v>81</v>
      </c>
      <c r="K116" s="84">
        <v>17.07</v>
      </c>
      <c r="L116" s="86">
        <v>95400</v>
      </c>
      <c r="M116" s="80">
        <v>0.4</v>
      </c>
      <c r="N116" s="81">
        <v>50</v>
      </c>
      <c r="O116">
        <v>11.52</v>
      </c>
      <c r="P116" s="94">
        <v>7.2943195989999996</v>
      </c>
      <c r="Q116" s="81">
        <f t="shared" si="3"/>
        <v>1.5793111123865906</v>
      </c>
      <c r="R116" s="81">
        <f t="shared" si="4"/>
        <v>18833285.015210092</v>
      </c>
      <c r="S116" s="81">
        <v>5</v>
      </c>
      <c r="T116" s="81">
        <f t="shared" si="5"/>
        <v>3766657.0030420185</v>
      </c>
      <c r="U116" s="81"/>
      <c r="V116" s="87"/>
      <c r="W116" s="87"/>
    </row>
    <row r="117" spans="1:23" x14ac:dyDescent="0.4">
      <c r="A117" s="85" t="s">
        <v>295</v>
      </c>
      <c r="B117" s="110" t="s">
        <v>78</v>
      </c>
      <c r="C117" s="129" t="s">
        <v>7</v>
      </c>
      <c r="D117" s="129" t="s">
        <v>485</v>
      </c>
      <c r="E117" s="129" t="s">
        <v>485</v>
      </c>
      <c r="F117" s="129" t="s">
        <v>485</v>
      </c>
      <c r="G117" s="129" t="s">
        <v>485</v>
      </c>
      <c r="H117" s="129" t="s">
        <v>485</v>
      </c>
      <c r="I117" s="112">
        <v>4.8</v>
      </c>
      <c r="J117" s="77" t="s">
        <v>81</v>
      </c>
      <c r="K117" s="84">
        <v>17.04</v>
      </c>
      <c r="L117" s="86">
        <v>97300</v>
      </c>
      <c r="M117" s="80">
        <v>0.4</v>
      </c>
      <c r="N117" s="81">
        <v>50</v>
      </c>
      <c r="O117">
        <v>11.52</v>
      </c>
      <c r="P117" s="94">
        <v>7.2943195989999996</v>
      </c>
      <c r="Q117" s="81">
        <f t="shared" si="3"/>
        <v>1.5793111123865906</v>
      </c>
      <c r="R117" s="81">
        <f t="shared" si="4"/>
        <v>19208371.40440191</v>
      </c>
      <c r="S117" s="81">
        <v>5</v>
      </c>
      <c r="T117" s="81">
        <f t="shared" si="5"/>
        <v>3841674.2808803818</v>
      </c>
      <c r="U117" s="81"/>
      <c r="V117" s="91"/>
      <c r="W117" s="91"/>
    </row>
    <row r="118" spans="1:23" x14ac:dyDescent="0.4">
      <c r="A118" s="85" t="s">
        <v>296</v>
      </c>
      <c r="B118" s="109" t="s">
        <v>78</v>
      </c>
      <c r="C118" s="129" t="s">
        <v>7</v>
      </c>
      <c r="D118" s="129" t="s">
        <v>485</v>
      </c>
      <c r="E118" s="129" t="s">
        <v>485</v>
      </c>
      <c r="F118" s="129" t="s">
        <v>485</v>
      </c>
      <c r="G118" s="129" t="s">
        <v>485</v>
      </c>
      <c r="H118" s="129" t="s">
        <v>485</v>
      </c>
      <c r="I118" s="112">
        <v>4.8</v>
      </c>
      <c r="J118" s="77" t="s">
        <v>81</v>
      </c>
      <c r="K118" s="84">
        <v>17.29</v>
      </c>
      <c r="L118" s="86">
        <v>82900</v>
      </c>
      <c r="M118" s="80">
        <v>0.4</v>
      </c>
      <c r="N118" s="81">
        <v>50</v>
      </c>
      <c r="O118">
        <v>11.52</v>
      </c>
      <c r="P118" s="94">
        <v>7.2943195989999996</v>
      </c>
      <c r="Q118" s="81">
        <f t="shared" si="3"/>
        <v>1.5793111123865906</v>
      </c>
      <c r="R118" s="81">
        <f t="shared" si="4"/>
        <v>16365611.402106045</v>
      </c>
      <c r="S118" s="81">
        <v>5</v>
      </c>
      <c r="T118" s="81">
        <f t="shared" si="5"/>
        <v>3273122.2804212091</v>
      </c>
      <c r="U118" s="81">
        <f>AVERAGE(T116:T118)</f>
        <v>3627151.1881145365</v>
      </c>
      <c r="V118" s="81">
        <f>_xlfn.STDEV.S(T116:T118)</f>
        <v>308883.87559966196</v>
      </c>
      <c r="W118" s="81">
        <f>MAX(K116:K118)-MIN(K116:K118)</f>
        <v>0.25</v>
      </c>
    </row>
    <row r="119" spans="1:23" x14ac:dyDescent="0.4">
      <c r="A119" s="85" t="s">
        <v>297</v>
      </c>
      <c r="B119" s="109" t="s">
        <v>86</v>
      </c>
      <c r="C119" s="129" t="s">
        <v>4</v>
      </c>
      <c r="D119" s="129" t="s">
        <v>485</v>
      </c>
      <c r="E119" s="129" t="s">
        <v>485</v>
      </c>
      <c r="F119" s="129" t="s">
        <v>484</v>
      </c>
      <c r="G119" s="129" t="s">
        <v>485</v>
      </c>
      <c r="H119" s="129" t="s">
        <v>484</v>
      </c>
      <c r="I119" s="112">
        <v>5.8</v>
      </c>
      <c r="J119" s="77" t="s">
        <v>81</v>
      </c>
      <c r="K119" s="84">
        <v>10.65</v>
      </c>
      <c r="L119" s="86">
        <v>6300000</v>
      </c>
      <c r="M119" s="80">
        <v>0.4</v>
      </c>
      <c r="N119" s="81">
        <v>50</v>
      </c>
      <c r="O119">
        <v>95.65</v>
      </c>
      <c r="P119" s="94">
        <v>6.8781001929999999</v>
      </c>
      <c r="Q119" s="81">
        <f t="shared" si="3"/>
        <v>13.906456334751448</v>
      </c>
      <c r="R119" s="81">
        <f t="shared" si="4"/>
        <v>10951334363.616764</v>
      </c>
      <c r="S119" s="81">
        <v>5</v>
      </c>
      <c r="T119" s="81">
        <f t="shared" si="5"/>
        <v>2190266872.7233529</v>
      </c>
      <c r="U119" s="81"/>
      <c r="V119" s="84"/>
      <c r="W119" s="84"/>
    </row>
    <row r="120" spans="1:23" x14ac:dyDescent="0.4">
      <c r="A120" s="85" t="s">
        <v>298</v>
      </c>
      <c r="B120" s="109" t="s">
        <v>86</v>
      </c>
      <c r="C120" s="129" t="s">
        <v>4</v>
      </c>
      <c r="D120" s="129" t="s">
        <v>485</v>
      </c>
      <c r="E120" s="129" t="s">
        <v>485</v>
      </c>
      <c r="F120" s="129" t="s">
        <v>484</v>
      </c>
      <c r="G120" s="129" t="s">
        <v>485</v>
      </c>
      <c r="H120" s="129" t="s">
        <v>484</v>
      </c>
      <c r="I120" s="112">
        <v>5.8</v>
      </c>
      <c r="J120" s="77" t="s">
        <v>81</v>
      </c>
      <c r="K120" s="84">
        <v>10.69</v>
      </c>
      <c r="L120" s="86">
        <v>6140000</v>
      </c>
      <c r="M120" s="80">
        <v>0.4</v>
      </c>
      <c r="N120" s="81">
        <v>50</v>
      </c>
      <c r="O120">
        <v>95.65</v>
      </c>
      <c r="P120" s="94">
        <v>6.8781001929999999</v>
      </c>
      <c r="Q120" s="81">
        <f t="shared" si="3"/>
        <v>13.906456334751448</v>
      </c>
      <c r="R120" s="81">
        <f t="shared" si="4"/>
        <v>10673205236.921736</v>
      </c>
      <c r="S120" s="81">
        <v>5</v>
      </c>
      <c r="T120" s="81">
        <f t="shared" si="5"/>
        <v>2134641047.3843472</v>
      </c>
      <c r="U120" s="81"/>
      <c r="V120" s="84"/>
      <c r="W120" s="84"/>
    </row>
    <row r="121" spans="1:23" x14ac:dyDescent="0.4">
      <c r="A121" s="85" t="s">
        <v>299</v>
      </c>
      <c r="B121" s="109" t="s">
        <v>86</v>
      </c>
      <c r="C121" s="129" t="s">
        <v>4</v>
      </c>
      <c r="D121" s="129" t="s">
        <v>485</v>
      </c>
      <c r="E121" s="129" t="s">
        <v>485</v>
      </c>
      <c r="F121" s="129" t="s">
        <v>484</v>
      </c>
      <c r="G121" s="129" t="s">
        <v>485</v>
      </c>
      <c r="H121" s="129" t="s">
        <v>484</v>
      </c>
      <c r="I121" s="112">
        <v>5.8</v>
      </c>
      <c r="J121" s="77" t="s">
        <v>81</v>
      </c>
      <c r="K121" s="84">
        <v>10.71</v>
      </c>
      <c r="L121" s="86">
        <v>6050000</v>
      </c>
      <c r="M121" s="80">
        <v>0.4</v>
      </c>
      <c r="N121" s="81">
        <v>50</v>
      </c>
      <c r="O121">
        <v>95.65</v>
      </c>
      <c r="P121" s="94">
        <v>6.8781001929999999</v>
      </c>
      <c r="Q121" s="81">
        <f t="shared" si="3"/>
        <v>13.906456334751448</v>
      </c>
      <c r="R121" s="81">
        <f t="shared" si="4"/>
        <v>10516757603.155781</v>
      </c>
      <c r="S121" s="81">
        <v>5</v>
      </c>
      <c r="T121" s="81">
        <f t="shared" si="5"/>
        <v>2103351520.6311562</v>
      </c>
      <c r="U121" s="81">
        <f>AVERAGE(T119:T121)</f>
        <v>2142753146.9129522</v>
      </c>
      <c r="V121" s="81">
        <f>_xlfn.STDEV.S(T119:T121)</f>
        <v>44021860.778471462</v>
      </c>
      <c r="W121" s="81">
        <f>MAX(K119:K121)-MIN(K119:K121)</f>
        <v>6.0000000000000497E-2</v>
      </c>
    </row>
    <row r="122" spans="1:23" x14ac:dyDescent="0.4">
      <c r="A122" s="85" t="s">
        <v>300</v>
      </c>
      <c r="B122" s="109" t="s">
        <v>87</v>
      </c>
      <c r="C122" s="129" t="s">
        <v>5</v>
      </c>
      <c r="D122" s="129" t="s">
        <v>485</v>
      </c>
      <c r="E122" s="129" t="s">
        <v>484</v>
      </c>
      <c r="F122" s="129" t="s">
        <v>484</v>
      </c>
      <c r="G122" s="129" t="s">
        <v>485</v>
      </c>
      <c r="H122" s="129" t="s">
        <v>485</v>
      </c>
      <c r="I122" s="112">
        <v>5.8</v>
      </c>
      <c r="J122" s="77" t="s">
        <v>81</v>
      </c>
      <c r="K122" s="84">
        <v>10.68</v>
      </c>
      <c r="L122" s="86">
        <v>6170000</v>
      </c>
      <c r="M122" s="80">
        <v>0.4</v>
      </c>
      <c r="N122" s="81">
        <v>50</v>
      </c>
      <c r="O122">
        <v>35.979999999999997</v>
      </c>
      <c r="P122" s="94">
        <v>5.4665173229999997</v>
      </c>
      <c r="Q122" s="81">
        <f t="shared" si="3"/>
        <v>6.5818871274068034</v>
      </c>
      <c r="R122" s="81">
        <f t="shared" si="4"/>
        <v>5076280447.0124969</v>
      </c>
      <c r="S122" s="81">
        <v>5</v>
      </c>
      <c r="T122" s="81">
        <f t="shared" si="5"/>
        <v>1015256089.4024994</v>
      </c>
      <c r="U122" s="81"/>
      <c r="V122" s="84"/>
      <c r="W122" s="84"/>
    </row>
    <row r="123" spans="1:23" x14ac:dyDescent="0.4">
      <c r="A123" s="85" t="s">
        <v>301</v>
      </c>
      <c r="B123" s="109" t="s">
        <v>87</v>
      </c>
      <c r="C123" s="129" t="s">
        <v>5</v>
      </c>
      <c r="D123" s="129" t="s">
        <v>485</v>
      </c>
      <c r="E123" s="129" t="s">
        <v>484</v>
      </c>
      <c r="F123" s="129" t="s">
        <v>484</v>
      </c>
      <c r="G123" s="129" t="s">
        <v>485</v>
      </c>
      <c r="H123" s="129" t="s">
        <v>485</v>
      </c>
      <c r="I123" s="112">
        <v>5.8</v>
      </c>
      <c r="J123" s="77" t="s">
        <v>81</v>
      </c>
      <c r="K123" s="84">
        <v>10.78</v>
      </c>
      <c r="L123" s="86">
        <v>5770000</v>
      </c>
      <c r="M123" s="80">
        <v>0.4</v>
      </c>
      <c r="N123" s="81">
        <v>50</v>
      </c>
      <c r="O123">
        <v>35.979999999999997</v>
      </c>
      <c r="P123" s="94">
        <v>5.4665173229999997</v>
      </c>
      <c r="Q123" s="81">
        <f t="shared" si="3"/>
        <v>6.5818871274068034</v>
      </c>
      <c r="R123" s="81">
        <f t="shared" si="4"/>
        <v>4747186090.6421566</v>
      </c>
      <c r="S123" s="81">
        <v>5</v>
      </c>
      <c r="T123" s="81">
        <f t="shared" si="5"/>
        <v>949437218.12843132</v>
      </c>
      <c r="U123" s="81"/>
      <c r="V123" s="84"/>
      <c r="W123" s="84"/>
    </row>
    <row r="124" spans="1:23" x14ac:dyDescent="0.4">
      <c r="A124" s="85" t="s">
        <v>302</v>
      </c>
      <c r="B124" s="109" t="s">
        <v>87</v>
      </c>
      <c r="C124" s="129" t="s">
        <v>5</v>
      </c>
      <c r="D124" s="129" t="s">
        <v>485</v>
      </c>
      <c r="E124" s="129" t="s">
        <v>484</v>
      </c>
      <c r="F124" s="129" t="s">
        <v>484</v>
      </c>
      <c r="G124" s="129" t="s">
        <v>485</v>
      </c>
      <c r="H124" s="129" t="s">
        <v>485</v>
      </c>
      <c r="I124" s="112">
        <v>5.8</v>
      </c>
      <c r="J124" s="77" t="s">
        <v>81</v>
      </c>
      <c r="K124" s="84">
        <v>10.72</v>
      </c>
      <c r="L124" s="86">
        <v>6020000</v>
      </c>
      <c r="M124" s="80">
        <v>0.4</v>
      </c>
      <c r="N124" s="81">
        <v>50</v>
      </c>
      <c r="O124">
        <v>35.979999999999997</v>
      </c>
      <c r="P124" s="94">
        <v>5.4665173229999997</v>
      </c>
      <c r="Q124" s="81">
        <f t="shared" si="3"/>
        <v>6.5818871274068034</v>
      </c>
      <c r="R124" s="81">
        <f t="shared" si="4"/>
        <v>4952870063.3736191</v>
      </c>
      <c r="S124" s="81">
        <v>5</v>
      </c>
      <c r="T124" s="81">
        <f t="shared" si="5"/>
        <v>990574012.67472386</v>
      </c>
      <c r="U124" s="81">
        <f>AVERAGE(T122:T124)</f>
        <v>985089106.73521817</v>
      </c>
      <c r="V124" s="81">
        <f>_xlfn.STDEV.S(T122:T124)</f>
        <v>33250475.166860484</v>
      </c>
      <c r="W124" s="81">
        <f>MAX(K122:K124)-MIN(K122:K124)</f>
        <v>9.9999999999999645E-2</v>
      </c>
    </row>
    <row r="125" spans="1:23" x14ac:dyDescent="0.4">
      <c r="A125" s="85" t="s">
        <v>303</v>
      </c>
      <c r="B125" s="109" t="s">
        <v>88</v>
      </c>
      <c r="C125" s="129" t="s">
        <v>6</v>
      </c>
      <c r="D125" s="129" t="s">
        <v>485</v>
      </c>
      <c r="E125" s="129" t="s">
        <v>485</v>
      </c>
      <c r="F125" s="129" t="s">
        <v>484</v>
      </c>
      <c r="G125" s="129" t="s">
        <v>485</v>
      </c>
      <c r="H125" s="129" t="s">
        <v>485</v>
      </c>
      <c r="I125" s="112">
        <v>5.8</v>
      </c>
      <c r="J125" s="77" t="s">
        <v>81</v>
      </c>
      <c r="K125" s="84">
        <v>11.05</v>
      </c>
      <c r="L125" s="86">
        <v>4850000</v>
      </c>
      <c r="M125" s="80">
        <v>0.4</v>
      </c>
      <c r="N125" s="81">
        <v>50</v>
      </c>
      <c r="O125">
        <v>40.32</v>
      </c>
      <c r="P125" s="94">
        <v>4.7812183939999997</v>
      </c>
      <c r="Q125" s="81">
        <f t="shared" si="3"/>
        <v>8.4329969219975354</v>
      </c>
      <c r="R125" s="81">
        <f t="shared" si="4"/>
        <v>5112504383.9610052</v>
      </c>
      <c r="S125" s="81">
        <v>5</v>
      </c>
      <c r="T125" s="81">
        <f t="shared" si="5"/>
        <v>1022500876.792201</v>
      </c>
      <c r="U125" s="81"/>
      <c r="V125" s="84"/>
      <c r="W125" s="84"/>
    </row>
    <row r="126" spans="1:23" x14ac:dyDescent="0.4">
      <c r="A126" s="85" t="s">
        <v>304</v>
      </c>
      <c r="B126" s="109" t="s">
        <v>88</v>
      </c>
      <c r="C126" s="129" t="s">
        <v>6</v>
      </c>
      <c r="D126" s="129" t="s">
        <v>485</v>
      </c>
      <c r="E126" s="129" t="s">
        <v>485</v>
      </c>
      <c r="F126" s="129" t="s">
        <v>484</v>
      </c>
      <c r="G126" s="129" t="s">
        <v>485</v>
      </c>
      <c r="H126" s="129" t="s">
        <v>485</v>
      </c>
      <c r="I126" s="112">
        <v>5.8</v>
      </c>
      <c r="J126" s="77" t="s">
        <v>81</v>
      </c>
      <c r="K126" s="84">
        <v>11.24</v>
      </c>
      <c r="L126" s="86">
        <v>4270000</v>
      </c>
      <c r="M126" s="80">
        <v>0.4</v>
      </c>
      <c r="N126" s="81">
        <v>50</v>
      </c>
      <c r="O126">
        <v>40.32</v>
      </c>
      <c r="P126" s="94">
        <v>4.7812183939999997</v>
      </c>
      <c r="Q126" s="81">
        <f t="shared" si="3"/>
        <v>8.4329969219975354</v>
      </c>
      <c r="R126" s="81">
        <f t="shared" si="4"/>
        <v>4501112107.1161842</v>
      </c>
      <c r="S126" s="81">
        <v>5</v>
      </c>
      <c r="T126" s="81">
        <f t="shared" si="5"/>
        <v>900222421.42323685</v>
      </c>
      <c r="U126" s="81"/>
      <c r="V126" s="84"/>
      <c r="W126" s="84"/>
    </row>
    <row r="127" spans="1:23" x14ac:dyDescent="0.4">
      <c r="A127" s="85" t="s">
        <v>305</v>
      </c>
      <c r="B127" s="109" t="s">
        <v>88</v>
      </c>
      <c r="C127" s="129" t="s">
        <v>6</v>
      </c>
      <c r="D127" s="129" t="s">
        <v>485</v>
      </c>
      <c r="E127" s="129" t="s">
        <v>485</v>
      </c>
      <c r="F127" s="129" t="s">
        <v>484</v>
      </c>
      <c r="G127" s="129" t="s">
        <v>485</v>
      </c>
      <c r="H127" s="129" t="s">
        <v>485</v>
      </c>
      <c r="I127" s="112">
        <v>5.8</v>
      </c>
      <c r="J127" s="77" t="s">
        <v>81</v>
      </c>
      <c r="K127" s="84">
        <v>11.05</v>
      </c>
      <c r="L127" s="86">
        <v>4830000</v>
      </c>
      <c r="M127" s="80">
        <v>0.4</v>
      </c>
      <c r="N127" s="81">
        <v>50</v>
      </c>
      <c r="O127">
        <v>40.32</v>
      </c>
      <c r="P127" s="94">
        <v>4.7812183939999997</v>
      </c>
      <c r="Q127" s="81">
        <f t="shared" si="3"/>
        <v>8.4329969219975354</v>
      </c>
      <c r="R127" s="81">
        <f t="shared" si="4"/>
        <v>5091421891.6560116</v>
      </c>
      <c r="S127" s="81">
        <v>5</v>
      </c>
      <c r="T127" s="81">
        <f t="shared" si="5"/>
        <v>1018284378.3312023</v>
      </c>
      <c r="U127" s="81">
        <f>AVERAGE(T125:T127)</f>
        <v>980335892.18221343</v>
      </c>
      <c r="V127" s="81">
        <f>_xlfn.STDEV.S(T125:T127)</f>
        <v>69412325.005037427</v>
      </c>
      <c r="W127" s="81">
        <f>MAX(K125:K127)-MIN(K125:K127)</f>
        <v>0.1899999999999995</v>
      </c>
    </row>
    <row r="128" spans="1:23" x14ac:dyDescent="0.4">
      <c r="A128" s="85" t="s">
        <v>306</v>
      </c>
      <c r="B128" s="109" t="s">
        <v>89</v>
      </c>
      <c r="C128" s="129" t="s">
        <v>7</v>
      </c>
      <c r="D128" s="129" t="s">
        <v>485</v>
      </c>
      <c r="E128" s="129" t="s">
        <v>485</v>
      </c>
      <c r="F128" s="129" t="s">
        <v>485</v>
      </c>
      <c r="G128" s="129" t="s">
        <v>485</v>
      </c>
      <c r="H128" s="129" t="s">
        <v>485</v>
      </c>
      <c r="I128" s="112">
        <v>5.8</v>
      </c>
      <c r="J128" s="77" t="s">
        <v>81</v>
      </c>
      <c r="K128" s="84">
        <v>9.99</v>
      </c>
      <c r="L128" s="86">
        <v>9640000</v>
      </c>
      <c r="M128" s="80">
        <v>0.4</v>
      </c>
      <c r="N128" s="81">
        <v>50</v>
      </c>
      <c r="O128">
        <v>41.26</v>
      </c>
      <c r="P128" s="94">
        <v>5.4128860359999997</v>
      </c>
      <c r="Q128" s="81">
        <f t="shared" si="3"/>
        <v>7.6225510246452934</v>
      </c>
      <c r="R128" s="81">
        <f t="shared" si="4"/>
        <v>9185173984.6975784</v>
      </c>
      <c r="S128" s="81">
        <v>5</v>
      </c>
      <c r="T128" s="81">
        <f t="shared" si="5"/>
        <v>1837034796.9395156</v>
      </c>
      <c r="U128" s="81"/>
      <c r="V128" s="84"/>
      <c r="W128" s="84"/>
    </row>
    <row r="129" spans="1:23" x14ac:dyDescent="0.4">
      <c r="A129" s="85" t="s">
        <v>307</v>
      </c>
      <c r="B129" s="109" t="s">
        <v>89</v>
      </c>
      <c r="C129" s="129" t="s">
        <v>7</v>
      </c>
      <c r="D129" s="129" t="s">
        <v>485</v>
      </c>
      <c r="E129" s="129" t="s">
        <v>485</v>
      </c>
      <c r="F129" s="129" t="s">
        <v>485</v>
      </c>
      <c r="G129" s="129" t="s">
        <v>485</v>
      </c>
      <c r="H129" s="129" t="s">
        <v>485</v>
      </c>
      <c r="I129" s="112">
        <v>5.8</v>
      </c>
      <c r="J129" s="77" t="s">
        <v>81</v>
      </c>
      <c r="K129" s="84">
        <v>11.05</v>
      </c>
      <c r="L129" s="86">
        <v>4850000</v>
      </c>
      <c r="M129" s="80">
        <v>0.4</v>
      </c>
      <c r="N129" s="81">
        <v>50</v>
      </c>
      <c r="O129">
        <v>41.26</v>
      </c>
      <c r="P129" s="94">
        <v>5.4128860359999997</v>
      </c>
      <c r="Q129" s="81">
        <f t="shared" si="3"/>
        <v>7.6225510246452934</v>
      </c>
      <c r="R129" s="81">
        <f t="shared" si="4"/>
        <v>4621171558.6912088</v>
      </c>
      <c r="S129" s="81">
        <v>5</v>
      </c>
      <c r="T129" s="81">
        <f t="shared" si="5"/>
        <v>924234311.73824179</v>
      </c>
      <c r="U129" s="81"/>
      <c r="V129" s="84"/>
      <c r="W129" s="84"/>
    </row>
    <row r="130" spans="1:23" x14ac:dyDescent="0.4">
      <c r="A130" s="85" t="s">
        <v>308</v>
      </c>
      <c r="B130" s="109" t="s">
        <v>89</v>
      </c>
      <c r="C130" s="129" t="s">
        <v>7</v>
      </c>
      <c r="D130" s="129" t="s">
        <v>485</v>
      </c>
      <c r="E130" s="129" t="s">
        <v>485</v>
      </c>
      <c r="F130" s="129" t="s">
        <v>485</v>
      </c>
      <c r="G130" s="129" t="s">
        <v>485</v>
      </c>
      <c r="H130" s="129" t="s">
        <v>485</v>
      </c>
      <c r="I130" s="112">
        <v>5.8</v>
      </c>
      <c r="J130" s="77" t="s">
        <v>81</v>
      </c>
      <c r="K130" s="84">
        <v>11.23</v>
      </c>
      <c r="L130" s="86">
        <v>4320000</v>
      </c>
      <c r="M130" s="80">
        <v>0.4</v>
      </c>
      <c r="N130" s="81">
        <v>50</v>
      </c>
      <c r="O130">
        <v>41.26</v>
      </c>
      <c r="P130" s="94">
        <v>5.4128860359999997</v>
      </c>
      <c r="Q130" s="81">
        <f t="shared" si="3"/>
        <v>7.6225510246452934</v>
      </c>
      <c r="R130" s="81">
        <f t="shared" si="4"/>
        <v>4116177553.3084583</v>
      </c>
      <c r="S130" s="81">
        <v>5</v>
      </c>
      <c r="T130" s="81">
        <f t="shared" si="5"/>
        <v>823235510.66169167</v>
      </c>
      <c r="U130" s="81">
        <f>AVERAGE(T128:T130)</f>
        <v>1194834873.1131496</v>
      </c>
      <c r="V130" s="81">
        <f>_xlfn.STDEV.S(T128:T130)</f>
        <v>558449412.28070772</v>
      </c>
      <c r="W130" s="81">
        <f>MAX(K128:K130)-MIN(K128:K130)</f>
        <v>1.2400000000000002</v>
      </c>
    </row>
    <row r="131" spans="1:23" x14ac:dyDescent="0.4">
      <c r="A131" s="85" t="s">
        <v>309</v>
      </c>
      <c r="B131" s="109" t="s">
        <v>96</v>
      </c>
      <c r="C131" s="129" t="s">
        <v>4</v>
      </c>
      <c r="D131" s="129" t="s">
        <v>485</v>
      </c>
      <c r="E131" s="129" t="s">
        <v>485</v>
      </c>
      <c r="F131" s="129" t="s">
        <v>484</v>
      </c>
      <c r="G131" s="129" t="s">
        <v>485</v>
      </c>
      <c r="H131" s="129" t="s">
        <v>484</v>
      </c>
      <c r="I131" s="112">
        <v>4.8</v>
      </c>
      <c r="J131" s="77" t="s">
        <v>132</v>
      </c>
      <c r="K131" s="84">
        <v>13.56</v>
      </c>
      <c r="L131" s="86">
        <v>942000</v>
      </c>
      <c r="M131" s="80">
        <v>0.4</v>
      </c>
      <c r="N131" s="81">
        <v>50</v>
      </c>
      <c r="O131">
        <v>3.1</v>
      </c>
      <c r="P131" s="94">
        <v>0.85496507499999996</v>
      </c>
      <c r="Q131" s="81">
        <f t="shared" si="3"/>
        <v>3.6258791038920513</v>
      </c>
      <c r="R131" s="81">
        <f t="shared" si="4"/>
        <v>426947264.483289</v>
      </c>
      <c r="S131" s="81">
        <v>5</v>
      </c>
      <c r="T131" s="81">
        <f t="shared" si="5"/>
        <v>85389452.896657795</v>
      </c>
      <c r="U131" s="81"/>
      <c r="V131" s="84"/>
      <c r="W131" s="84"/>
    </row>
    <row r="132" spans="1:23" x14ac:dyDescent="0.4">
      <c r="A132" s="85" t="s">
        <v>310</v>
      </c>
      <c r="B132" s="109" t="s">
        <v>96</v>
      </c>
      <c r="C132" s="129" t="s">
        <v>4</v>
      </c>
      <c r="D132" s="129" t="s">
        <v>485</v>
      </c>
      <c r="E132" s="129" t="s">
        <v>485</v>
      </c>
      <c r="F132" s="129" t="s">
        <v>484</v>
      </c>
      <c r="G132" s="129" t="s">
        <v>485</v>
      </c>
      <c r="H132" s="129" t="s">
        <v>484</v>
      </c>
      <c r="I132" s="112">
        <v>4.8</v>
      </c>
      <c r="J132" s="77" t="s">
        <v>132</v>
      </c>
      <c r="K132" s="84">
        <v>13.73</v>
      </c>
      <c r="L132" s="86">
        <v>845000</v>
      </c>
      <c r="M132" s="80">
        <v>0.4</v>
      </c>
      <c r="N132" s="81">
        <v>50</v>
      </c>
      <c r="O132">
        <v>3.1</v>
      </c>
      <c r="P132" s="94">
        <v>0.85496507499999996</v>
      </c>
      <c r="Q132" s="81">
        <f t="shared" si="3"/>
        <v>3.6258791038920513</v>
      </c>
      <c r="R132" s="81">
        <f t="shared" si="4"/>
        <v>382983480.34859788</v>
      </c>
      <c r="S132" s="81">
        <v>5</v>
      </c>
      <c r="T132" s="81">
        <f t="shared" si="5"/>
        <v>76596696.069719583</v>
      </c>
      <c r="U132" s="81"/>
      <c r="V132" s="84"/>
      <c r="W132" s="84"/>
    </row>
    <row r="133" spans="1:23" x14ac:dyDescent="0.4">
      <c r="A133" s="85" t="s">
        <v>311</v>
      </c>
      <c r="B133" s="109" t="s">
        <v>96</v>
      </c>
      <c r="C133" s="129" t="s">
        <v>4</v>
      </c>
      <c r="D133" s="129" t="s">
        <v>485</v>
      </c>
      <c r="E133" s="129" t="s">
        <v>485</v>
      </c>
      <c r="F133" s="129" t="s">
        <v>484</v>
      </c>
      <c r="G133" s="129" t="s">
        <v>485</v>
      </c>
      <c r="H133" s="129" t="s">
        <v>484</v>
      </c>
      <c r="I133" s="112">
        <v>4.8</v>
      </c>
      <c r="J133" s="77" t="s">
        <v>132</v>
      </c>
      <c r="K133" s="84">
        <v>13.75</v>
      </c>
      <c r="L133" s="86">
        <v>833000</v>
      </c>
      <c r="M133" s="80">
        <v>0.4</v>
      </c>
      <c r="N133" s="81">
        <v>50</v>
      </c>
      <c r="O133">
        <v>3.1</v>
      </c>
      <c r="P133" s="94">
        <v>0.85496507499999996</v>
      </c>
      <c r="Q133" s="81">
        <f t="shared" si="3"/>
        <v>3.6258791038920513</v>
      </c>
      <c r="R133" s="81">
        <f t="shared" si="4"/>
        <v>377544661.69275981</v>
      </c>
      <c r="S133" s="81">
        <v>5</v>
      </c>
      <c r="T133" s="81">
        <f t="shared" si="5"/>
        <v>75508932.338551968</v>
      </c>
      <c r="U133" s="81">
        <f>AVERAGE(T131:T133)</f>
        <v>79165027.101643115</v>
      </c>
      <c r="V133" s="81">
        <f>_xlfn.STDEV.S(T131:T133)</f>
        <v>5417879.1830331562</v>
      </c>
      <c r="W133" s="81">
        <f>MAX(K131:K133)-MIN(K131:K133)</f>
        <v>0.1899999999999995</v>
      </c>
    </row>
    <row r="134" spans="1:23" x14ac:dyDescent="0.4">
      <c r="A134" s="85" t="s">
        <v>312</v>
      </c>
      <c r="B134" s="109" t="s">
        <v>97</v>
      </c>
      <c r="C134" s="129" t="s">
        <v>5</v>
      </c>
      <c r="D134" s="129" t="s">
        <v>485</v>
      </c>
      <c r="E134" s="129" t="s">
        <v>484</v>
      </c>
      <c r="F134" s="129" t="s">
        <v>484</v>
      </c>
      <c r="G134" s="129" t="s">
        <v>485</v>
      </c>
      <c r="H134" s="129" t="s">
        <v>485</v>
      </c>
      <c r="I134" s="112">
        <v>4.8</v>
      </c>
      <c r="J134" s="77" t="s">
        <v>132</v>
      </c>
      <c r="K134" s="84">
        <v>17.510000000000002</v>
      </c>
      <c r="L134" s="86">
        <v>71900</v>
      </c>
      <c r="M134" s="80">
        <v>0.4</v>
      </c>
      <c r="N134" s="81">
        <v>50</v>
      </c>
      <c r="O134">
        <v>0.28000000000000003</v>
      </c>
      <c r="P134" s="94">
        <v>-0.12202898</v>
      </c>
      <c r="Q134" s="81">
        <f t="shared" si="3"/>
        <v>-2.2945369206560611</v>
      </c>
      <c r="R134" s="81">
        <f t="shared" si="4"/>
        <v>-20622150.574396346</v>
      </c>
      <c r="S134" s="81">
        <v>5</v>
      </c>
      <c r="T134" s="81">
        <f t="shared" si="5"/>
        <v>-4124430.1148792692</v>
      </c>
      <c r="U134" s="81"/>
      <c r="V134" s="84"/>
      <c r="W134" s="84"/>
    </row>
    <row r="135" spans="1:23" x14ac:dyDescent="0.4">
      <c r="A135" s="85" t="s">
        <v>313</v>
      </c>
      <c r="B135" s="109" t="s">
        <v>97</v>
      </c>
      <c r="C135" s="129" t="s">
        <v>5</v>
      </c>
      <c r="D135" s="129" t="s">
        <v>485</v>
      </c>
      <c r="E135" s="129" t="s">
        <v>484</v>
      </c>
      <c r="F135" s="129" t="s">
        <v>484</v>
      </c>
      <c r="G135" s="129" t="s">
        <v>485</v>
      </c>
      <c r="H135" s="129" t="s">
        <v>485</v>
      </c>
      <c r="I135" s="112">
        <v>4.8</v>
      </c>
      <c r="J135" s="77" t="s">
        <v>132</v>
      </c>
      <c r="K135" s="84">
        <v>17.54</v>
      </c>
      <c r="L135" s="86">
        <v>70100</v>
      </c>
      <c r="M135" s="80">
        <v>0.4</v>
      </c>
      <c r="N135" s="81">
        <v>50</v>
      </c>
      <c r="O135">
        <v>0.28000000000000003</v>
      </c>
      <c r="P135" s="94">
        <v>-0.12202898</v>
      </c>
      <c r="Q135" s="81">
        <f t="shared" si="3"/>
        <v>-2.2945369206560611</v>
      </c>
      <c r="R135" s="81">
        <f t="shared" si="4"/>
        <v>-20105879.767248735</v>
      </c>
      <c r="S135" s="81">
        <v>5</v>
      </c>
      <c r="T135" s="81">
        <f t="shared" si="5"/>
        <v>-4021175.9534497471</v>
      </c>
      <c r="U135" s="81"/>
      <c r="V135" s="84"/>
      <c r="W135" s="84"/>
    </row>
    <row r="136" spans="1:23" x14ac:dyDescent="0.4">
      <c r="A136" s="85" t="s">
        <v>314</v>
      </c>
      <c r="B136" s="109" t="s">
        <v>97</v>
      </c>
      <c r="C136" s="129" t="s">
        <v>5</v>
      </c>
      <c r="D136" s="129" t="s">
        <v>485</v>
      </c>
      <c r="E136" s="129" t="s">
        <v>484</v>
      </c>
      <c r="F136" s="129" t="s">
        <v>484</v>
      </c>
      <c r="G136" s="129" t="s">
        <v>485</v>
      </c>
      <c r="H136" s="129" t="s">
        <v>485</v>
      </c>
      <c r="I136" s="112">
        <v>4.8</v>
      </c>
      <c r="J136" s="77" t="s">
        <v>132</v>
      </c>
      <c r="K136" s="84">
        <v>17.5</v>
      </c>
      <c r="L136" s="86">
        <v>72300</v>
      </c>
      <c r="M136" s="80">
        <v>0.4</v>
      </c>
      <c r="N136" s="81">
        <v>50</v>
      </c>
      <c r="O136">
        <v>0.28000000000000003</v>
      </c>
      <c r="P136" s="94">
        <v>-0.12202898</v>
      </c>
      <c r="Q136" s="81">
        <f t="shared" si="3"/>
        <v>-2.2945369206560611</v>
      </c>
      <c r="R136" s="81">
        <f t="shared" si="4"/>
        <v>-20736877.420429152</v>
      </c>
      <c r="S136" s="81">
        <v>5</v>
      </c>
      <c r="T136" s="81">
        <f t="shared" si="5"/>
        <v>-4147375.4840858304</v>
      </c>
      <c r="U136" s="81">
        <f>AVERAGE(T134:T136)</f>
        <v>-4097660.5174716152</v>
      </c>
      <c r="V136" s="81">
        <f>_xlfn.STDEV.S(T134:T136)</f>
        <v>67223.797067837717</v>
      </c>
      <c r="W136" s="81">
        <f>MAX(K134:K136)-MIN(K134:K136)</f>
        <v>3.9999999999999147E-2</v>
      </c>
    </row>
    <row r="137" spans="1:23" x14ac:dyDescent="0.4">
      <c r="A137" s="85" t="s">
        <v>315</v>
      </c>
      <c r="B137" s="109" t="s">
        <v>98</v>
      </c>
      <c r="C137" s="129" t="s">
        <v>6</v>
      </c>
      <c r="D137" s="129" t="s">
        <v>485</v>
      </c>
      <c r="E137" s="129" t="s">
        <v>485</v>
      </c>
      <c r="F137" s="129" t="s">
        <v>484</v>
      </c>
      <c r="G137" s="129" t="s">
        <v>485</v>
      </c>
      <c r="H137" s="129" t="s">
        <v>485</v>
      </c>
      <c r="I137" s="112">
        <v>4.8</v>
      </c>
      <c r="J137" s="77" t="s">
        <v>132</v>
      </c>
      <c r="K137" s="84">
        <v>13.84</v>
      </c>
      <c r="L137" s="86">
        <v>786000</v>
      </c>
      <c r="M137" s="80">
        <v>0.4</v>
      </c>
      <c r="N137" s="81">
        <v>50</v>
      </c>
      <c r="O137">
        <v>2.39</v>
      </c>
      <c r="P137" s="94">
        <v>0.61274735000000002</v>
      </c>
      <c r="Q137" s="81">
        <f t="shared" si="3"/>
        <v>3.9004656650085878</v>
      </c>
      <c r="R137" s="81">
        <f t="shared" si="4"/>
        <v>383220751.58709377</v>
      </c>
      <c r="S137" s="81">
        <v>5</v>
      </c>
      <c r="T137" s="81">
        <f t="shared" si="5"/>
        <v>76644150.317418754</v>
      </c>
      <c r="U137" s="81"/>
      <c r="V137" s="84"/>
      <c r="W137" s="84"/>
    </row>
    <row r="138" spans="1:23" x14ac:dyDescent="0.4">
      <c r="A138" s="85" t="s">
        <v>316</v>
      </c>
      <c r="B138" s="109" t="s">
        <v>98</v>
      </c>
      <c r="C138" s="129" t="s">
        <v>6</v>
      </c>
      <c r="D138" s="129" t="s">
        <v>485</v>
      </c>
      <c r="E138" s="129" t="s">
        <v>485</v>
      </c>
      <c r="F138" s="129" t="s">
        <v>484</v>
      </c>
      <c r="G138" s="129" t="s">
        <v>485</v>
      </c>
      <c r="H138" s="129" t="s">
        <v>485</v>
      </c>
      <c r="I138" s="112">
        <v>4.8</v>
      </c>
      <c r="J138" s="77" t="s">
        <v>132</v>
      </c>
      <c r="K138" s="84">
        <v>13.93</v>
      </c>
      <c r="L138" s="86">
        <v>741000</v>
      </c>
      <c r="M138" s="80">
        <v>0.4</v>
      </c>
      <c r="N138" s="81">
        <v>50</v>
      </c>
      <c r="O138">
        <v>2.39</v>
      </c>
      <c r="P138" s="94">
        <v>0.61274735000000002</v>
      </c>
      <c r="Q138" s="81">
        <f t="shared" si="3"/>
        <v>3.9004656650085878</v>
      </c>
      <c r="R138" s="81">
        <f t="shared" si="4"/>
        <v>361280632.22142047</v>
      </c>
      <c r="S138" s="81">
        <v>5</v>
      </c>
      <c r="T138" s="81">
        <f t="shared" si="5"/>
        <v>72256126.444284096</v>
      </c>
      <c r="U138" s="81"/>
      <c r="V138" s="84"/>
      <c r="W138" s="84"/>
    </row>
    <row r="139" spans="1:23" x14ac:dyDescent="0.4">
      <c r="A139" s="85" t="s">
        <v>317</v>
      </c>
      <c r="B139" s="109" t="s">
        <v>98</v>
      </c>
      <c r="C139" s="129" t="s">
        <v>6</v>
      </c>
      <c r="D139" s="129" t="s">
        <v>485</v>
      </c>
      <c r="E139" s="129" t="s">
        <v>485</v>
      </c>
      <c r="F139" s="129" t="s">
        <v>484</v>
      </c>
      <c r="G139" s="129" t="s">
        <v>485</v>
      </c>
      <c r="H139" s="129" t="s">
        <v>485</v>
      </c>
      <c r="I139" s="112">
        <v>4.8</v>
      </c>
      <c r="J139" s="77" t="s">
        <v>132</v>
      </c>
      <c r="K139" s="84">
        <v>13.91</v>
      </c>
      <c r="L139" s="86">
        <v>750000</v>
      </c>
      <c r="M139" s="80">
        <v>0.4</v>
      </c>
      <c r="N139" s="81">
        <v>50</v>
      </c>
      <c r="O139">
        <v>2.39</v>
      </c>
      <c r="P139" s="94">
        <v>0.61274735000000002</v>
      </c>
      <c r="Q139" s="81">
        <f t="shared" ref="Q139:Q202" si="6">O139/P139</f>
        <v>3.9004656650085878</v>
      </c>
      <c r="R139" s="81">
        <f t="shared" ref="R139:R202" si="7">(L139*N139*Q139)/M139</f>
        <v>365668656.09455508</v>
      </c>
      <c r="S139" s="81">
        <v>5</v>
      </c>
      <c r="T139" s="81">
        <f t="shared" ref="T139:T202" si="8">R139/S139</f>
        <v>73133731.218911022</v>
      </c>
      <c r="U139" s="81">
        <f>AVERAGE(T137:T139)</f>
        <v>74011335.993537948</v>
      </c>
      <c r="V139" s="81">
        <f>_xlfn.STDEV.S(T137:T139)</f>
        <v>2321923.9830657495</v>
      </c>
      <c r="W139" s="81">
        <f>MAX(K137:K139)-MIN(K137:K139)</f>
        <v>8.9999999999999858E-2</v>
      </c>
    </row>
    <row r="140" spans="1:23" x14ac:dyDescent="0.4">
      <c r="A140" s="85" t="s">
        <v>318</v>
      </c>
      <c r="B140" s="109" t="s">
        <v>99</v>
      </c>
      <c r="C140" s="129" t="s">
        <v>7</v>
      </c>
      <c r="D140" s="129" t="s">
        <v>485</v>
      </c>
      <c r="E140" s="129" t="s">
        <v>485</v>
      </c>
      <c r="F140" s="129" t="s">
        <v>485</v>
      </c>
      <c r="G140" s="129" t="s">
        <v>485</v>
      </c>
      <c r="H140" s="129" t="s">
        <v>485</v>
      </c>
      <c r="I140" s="112">
        <v>4.8</v>
      </c>
      <c r="J140" s="77" t="s">
        <v>132</v>
      </c>
      <c r="K140" s="84">
        <v>15.7</v>
      </c>
      <c r="L140" s="86">
        <v>233000</v>
      </c>
      <c r="M140" s="80">
        <v>0.4</v>
      </c>
      <c r="N140" s="81">
        <v>50</v>
      </c>
      <c r="O140">
        <v>1.39</v>
      </c>
      <c r="P140" s="94">
        <v>0.146404383</v>
      </c>
      <c r="Q140" s="81">
        <f t="shared" si="6"/>
        <v>9.4942512752504129</v>
      </c>
      <c r="R140" s="81">
        <f t="shared" si="7"/>
        <v>276520068.39166826</v>
      </c>
      <c r="S140" s="81">
        <v>5</v>
      </c>
      <c r="T140" s="81">
        <f t="shared" si="8"/>
        <v>55304013.678333655</v>
      </c>
      <c r="U140" s="81"/>
      <c r="V140" s="84"/>
      <c r="W140" s="84"/>
    </row>
    <row r="141" spans="1:23" x14ac:dyDescent="0.4">
      <c r="A141" s="85" t="s">
        <v>319</v>
      </c>
      <c r="B141" s="109" t="s">
        <v>99</v>
      </c>
      <c r="C141" s="129" t="s">
        <v>7</v>
      </c>
      <c r="D141" s="129" t="s">
        <v>485</v>
      </c>
      <c r="E141" s="129" t="s">
        <v>485</v>
      </c>
      <c r="F141" s="129" t="s">
        <v>485</v>
      </c>
      <c r="G141" s="129" t="s">
        <v>485</v>
      </c>
      <c r="H141" s="129" t="s">
        <v>485</v>
      </c>
      <c r="I141" s="112">
        <v>4.8</v>
      </c>
      <c r="J141" s="77" t="s">
        <v>132</v>
      </c>
      <c r="K141" s="84">
        <v>15.56</v>
      </c>
      <c r="L141" s="86">
        <v>256000</v>
      </c>
      <c r="M141" s="80">
        <v>0.4</v>
      </c>
      <c r="N141" s="81">
        <v>50</v>
      </c>
      <c r="O141">
        <v>1.39</v>
      </c>
      <c r="P141" s="94">
        <v>0.146404383</v>
      </c>
      <c r="Q141" s="81">
        <f t="shared" si="6"/>
        <v>9.4942512752504129</v>
      </c>
      <c r="R141" s="81">
        <f t="shared" si="7"/>
        <v>303816040.8080132</v>
      </c>
      <c r="S141" s="81">
        <v>5</v>
      </c>
      <c r="T141" s="81">
        <f t="shared" si="8"/>
        <v>60763208.161602639</v>
      </c>
      <c r="U141" s="81"/>
      <c r="V141" s="84"/>
      <c r="W141" s="84"/>
    </row>
    <row r="142" spans="1:23" x14ac:dyDescent="0.4">
      <c r="A142" s="85" t="s">
        <v>320</v>
      </c>
      <c r="B142" s="109" t="s">
        <v>99</v>
      </c>
      <c r="C142" s="129" t="s">
        <v>7</v>
      </c>
      <c r="D142" s="129" t="s">
        <v>485</v>
      </c>
      <c r="E142" s="129" t="s">
        <v>485</v>
      </c>
      <c r="F142" s="129" t="s">
        <v>485</v>
      </c>
      <c r="G142" s="129" t="s">
        <v>485</v>
      </c>
      <c r="H142" s="129" t="s">
        <v>485</v>
      </c>
      <c r="I142" s="112">
        <v>4.8</v>
      </c>
      <c r="J142" s="77" t="s">
        <v>132</v>
      </c>
      <c r="K142" s="84">
        <v>15.63</v>
      </c>
      <c r="L142" s="86">
        <v>244000</v>
      </c>
      <c r="M142" s="80">
        <v>0.4</v>
      </c>
      <c r="N142" s="81">
        <v>50</v>
      </c>
      <c r="O142">
        <v>1.39</v>
      </c>
      <c r="P142" s="94">
        <v>0.146404383</v>
      </c>
      <c r="Q142" s="81">
        <f t="shared" si="6"/>
        <v>9.4942512752504129</v>
      </c>
      <c r="R142" s="81">
        <f t="shared" si="7"/>
        <v>289574663.89513761</v>
      </c>
      <c r="S142" s="81">
        <v>5</v>
      </c>
      <c r="T142" s="81">
        <f t="shared" si="8"/>
        <v>57914932.779027522</v>
      </c>
      <c r="U142" s="81">
        <f>AVERAGE(T140:T142)</f>
        <v>57994051.539654605</v>
      </c>
      <c r="V142" s="81">
        <f>_xlfn.STDEV.S(T140:T142)</f>
        <v>2730457.0927320942</v>
      </c>
      <c r="W142" s="81">
        <f>MAX(K140:K142)-MIN(K140:K142)</f>
        <v>0.13999999999999879</v>
      </c>
    </row>
    <row r="143" spans="1:23" x14ac:dyDescent="0.4">
      <c r="A143" s="85" t="s">
        <v>321</v>
      </c>
      <c r="B143" s="109" t="s">
        <v>106</v>
      </c>
      <c r="C143" s="129" t="s">
        <v>4</v>
      </c>
      <c r="D143" s="129" t="s">
        <v>485</v>
      </c>
      <c r="E143" s="129" t="s">
        <v>485</v>
      </c>
      <c r="F143" s="129" t="s">
        <v>484</v>
      </c>
      <c r="G143" s="129" t="s">
        <v>485</v>
      </c>
      <c r="H143" s="129" t="s">
        <v>484</v>
      </c>
      <c r="I143" s="112">
        <v>5.8</v>
      </c>
      <c r="J143" s="77" t="s">
        <v>132</v>
      </c>
      <c r="K143" s="84">
        <v>9.89</v>
      </c>
      <c r="L143" s="86">
        <v>10300000</v>
      </c>
      <c r="M143" s="80">
        <v>0.4</v>
      </c>
      <c r="N143" s="81">
        <v>50</v>
      </c>
      <c r="O143">
        <v>24.45</v>
      </c>
      <c r="P143" s="94">
        <v>7.292473427</v>
      </c>
      <c r="Q143" s="81">
        <f t="shared" si="6"/>
        <v>3.3527719017082953</v>
      </c>
      <c r="R143" s="81">
        <f t="shared" si="7"/>
        <v>4316693823.4494305</v>
      </c>
      <c r="S143" s="81">
        <v>5</v>
      </c>
      <c r="T143" s="81">
        <f t="shared" si="8"/>
        <v>863338764.68988609</v>
      </c>
      <c r="U143" s="81"/>
      <c r="V143" s="84"/>
      <c r="W143" s="84"/>
    </row>
    <row r="144" spans="1:23" x14ac:dyDescent="0.4">
      <c r="A144" s="85" t="s">
        <v>322</v>
      </c>
      <c r="B144" s="109" t="s">
        <v>106</v>
      </c>
      <c r="C144" s="129" t="s">
        <v>4</v>
      </c>
      <c r="D144" s="129" t="s">
        <v>485</v>
      </c>
      <c r="E144" s="129" t="s">
        <v>485</v>
      </c>
      <c r="F144" s="129" t="s">
        <v>484</v>
      </c>
      <c r="G144" s="129" t="s">
        <v>485</v>
      </c>
      <c r="H144" s="129" t="s">
        <v>484</v>
      </c>
      <c r="I144" s="112">
        <v>5.8</v>
      </c>
      <c r="J144" s="77" t="s">
        <v>132</v>
      </c>
      <c r="K144" s="84">
        <v>9.9700000000000006</v>
      </c>
      <c r="L144" s="86">
        <v>9810000</v>
      </c>
      <c r="M144" s="80">
        <v>0.4</v>
      </c>
      <c r="N144" s="81">
        <v>50</v>
      </c>
      <c r="O144">
        <v>24.45</v>
      </c>
      <c r="P144" s="94">
        <v>7.292473427</v>
      </c>
      <c r="Q144" s="81">
        <f t="shared" si="6"/>
        <v>3.3527719017082953</v>
      </c>
      <c r="R144" s="81">
        <f t="shared" si="7"/>
        <v>4111336544.4697967</v>
      </c>
      <c r="S144" s="81">
        <v>5</v>
      </c>
      <c r="T144" s="81">
        <f t="shared" si="8"/>
        <v>822267308.89395928</v>
      </c>
      <c r="U144" s="81"/>
      <c r="V144" s="84"/>
      <c r="W144" s="84"/>
    </row>
    <row r="145" spans="1:23" x14ac:dyDescent="0.4">
      <c r="A145" s="85" t="s">
        <v>323</v>
      </c>
      <c r="B145" s="109" t="s">
        <v>106</v>
      </c>
      <c r="C145" s="129" t="s">
        <v>4</v>
      </c>
      <c r="D145" s="129" t="s">
        <v>485</v>
      </c>
      <c r="E145" s="129" t="s">
        <v>485</v>
      </c>
      <c r="F145" s="129" t="s">
        <v>484</v>
      </c>
      <c r="G145" s="129" t="s">
        <v>485</v>
      </c>
      <c r="H145" s="129" t="s">
        <v>484</v>
      </c>
      <c r="I145" s="112">
        <v>5.8</v>
      </c>
      <c r="J145" s="77" t="s">
        <v>132</v>
      </c>
      <c r="K145" s="84">
        <v>10.11</v>
      </c>
      <c r="L145" s="86">
        <v>8960000</v>
      </c>
      <c r="M145" s="80">
        <v>0.4</v>
      </c>
      <c r="N145" s="81">
        <v>50</v>
      </c>
      <c r="O145">
        <v>24.45</v>
      </c>
      <c r="P145" s="94">
        <v>7.292473427</v>
      </c>
      <c r="Q145" s="81">
        <f t="shared" si="6"/>
        <v>3.3527719017082953</v>
      </c>
      <c r="R145" s="81">
        <f t="shared" si="7"/>
        <v>3755104529.9132905</v>
      </c>
      <c r="S145" s="81">
        <v>5</v>
      </c>
      <c r="T145" s="81">
        <f t="shared" si="8"/>
        <v>751020905.98265815</v>
      </c>
      <c r="U145" s="81">
        <f>AVERAGE(T143:T145)</f>
        <v>812208993.18883455</v>
      </c>
      <c r="V145" s="81">
        <f>_xlfn.STDEV.S(T143:T145)</f>
        <v>56830472.743609786</v>
      </c>
      <c r="W145" s="81">
        <f>MAX(K143:K145)-MIN(K143:K145)</f>
        <v>0.21999999999999886</v>
      </c>
    </row>
    <row r="146" spans="1:23" x14ac:dyDescent="0.4">
      <c r="A146" s="85" t="s">
        <v>324</v>
      </c>
      <c r="B146" s="109" t="s">
        <v>107</v>
      </c>
      <c r="C146" s="129" t="s">
        <v>5</v>
      </c>
      <c r="D146" s="129" t="s">
        <v>485</v>
      </c>
      <c r="E146" s="129" t="s">
        <v>484</v>
      </c>
      <c r="F146" s="129" t="s">
        <v>484</v>
      </c>
      <c r="G146" s="129" t="s">
        <v>485</v>
      </c>
      <c r="H146" s="129" t="s">
        <v>485</v>
      </c>
      <c r="I146" s="112">
        <v>5.8</v>
      </c>
      <c r="J146" s="77" t="s">
        <v>132</v>
      </c>
      <c r="K146" s="84">
        <v>13.13</v>
      </c>
      <c r="L146" s="86">
        <v>1240000</v>
      </c>
      <c r="M146" s="80">
        <v>0.4</v>
      </c>
      <c r="N146" s="81">
        <v>50</v>
      </c>
      <c r="O146">
        <v>3.2</v>
      </c>
      <c r="P146" s="94">
        <v>1.0047819069999999</v>
      </c>
      <c r="Q146" s="81">
        <f t="shared" si="6"/>
        <v>3.1847707225882607</v>
      </c>
      <c r="R146" s="81">
        <f t="shared" si="7"/>
        <v>493639462.00118041</v>
      </c>
      <c r="S146" s="81">
        <v>5</v>
      </c>
      <c r="T146" s="81">
        <f t="shared" si="8"/>
        <v>98727892.400236085</v>
      </c>
      <c r="U146" s="81"/>
      <c r="V146" s="84"/>
      <c r="W146" s="84"/>
    </row>
    <row r="147" spans="1:23" x14ac:dyDescent="0.4">
      <c r="A147" s="85" t="s">
        <v>325</v>
      </c>
      <c r="B147" s="109" t="s">
        <v>107</v>
      </c>
      <c r="C147" s="129" t="s">
        <v>5</v>
      </c>
      <c r="D147" s="129" t="s">
        <v>485</v>
      </c>
      <c r="E147" s="129" t="s">
        <v>484</v>
      </c>
      <c r="F147" s="129" t="s">
        <v>484</v>
      </c>
      <c r="G147" s="129" t="s">
        <v>485</v>
      </c>
      <c r="H147" s="129" t="s">
        <v>485</v>
      </c>
      <c r="I147" s="112">
        <v>5.8</v>
      </c>
      <c r="J147" s="77" t="s">
        <v>132</v>
      </c>
      <c r="K147" s="84">
        <v>13.52</v>
      </c>
      <c r="L147" s="86">
        <v>969000</v>
      </c>
      <c r="M147" s="80">
        <v>0.4</v>
      </c>
      <c r="N147" s="81">
        <v>50</v>
      </c>
      <c r="O147">
        <v>3.2</v>
      </c>
      <c r="P147" s="94">
        <v>1.0047819069999999</v>
      </c>
      <c r="Q147" s="81">
        <f t="shared" si="6"/>
        <v>3.1847707225882607</v>
      </c>
      <c r="R147" s="81">
        <f t="shared" si="7"/>
        <v>385755353.77350307</v>
      </c>
      <c r="S147" s="81">
        <v>5</v>
      </c>
      <c r="T147" s="81">
        <f t="shared" si="8"/>
        <v>77151070.754700616</v>
      </c>
      <c r="U147" s="81"/>
      <c r="V147" s="84"/>
      <c r="W147" s="84"/>
    </row>
    <row r="148" spans="1:23" x14ac:dyDescent="0.4">
      <c r="A148" s="85" t="s">
        <v>326</v>
      </c>
      <c r="B148" s="109" t="s">
        <v>107</v>
      </c>
      <c r="C148" s="129" t="s">
        <v>5</v>
      </c>
      <c r="D148" s="129" t="s">
        <v>485</v>
      </c>
      <c r="E148" s="129" t="s">
        <v>484</v>
      </c>
      <c r="F148" s="129" t="s">
        <v>484</v>
      </c>
      <c r="G148" s="129" t="s">
        <v>485</v>
      </c>
      <c r="H148" s="129" t="s">
        <v>485</v>
      </c>
      <c r="I148" s="112">
        <v>5.8</v>
      </c>
      <c r="J148" s="77" t="s">
        <v>132</v>
      </c>
      <c r="K148" s="84">
        <v>13.17</v>
      </c>
      <c r="L148" s="86">
        <v>1220000</v>
      </c>
      <c r="M148" s="80">
        <v>0.4</v>
      </c>
      <c r="N148" s="81">
        <v>50</v>
      </c>
      <c r="O148">
        <v>3.2</v>
      </c>
      <c r="P148" s="94">
        <v>1.0047819069999999</v>
      </c>
      <c r="Q148" s="81">
        <f t="shared" si="6"/>
        <v>3.1847707225882607</v>
      </c>
      <c r="R148" s="81">
        <f t="shared" si="7"/>
        <v>485677535.19470972</v>
      </c>
      <c r="S148" s="81">
        <v>5</v>
      </c>
      <c r="T148" s="81">
        <f t="shared" si="8"/>
        <v>97135507.03894195</v>
      </c>
      <c r="U148" s="81">
        <f>AVERAGE(T146:T148)</f>
        <v>91004823.397959545</v>
      </c>
      <c r="V148" s="81">
        <f>_xlfn.STDEV.S(T146:T148)</f>
        <v>12024091.213483455</v>
      </c>
      <c r="W148" s="81">
        <f>MAX(K146:K148)-MIN(K146:K148)</f>
        <v>0.38999999999999879</v>
      </c>
    </row>
    <row r="149" spans="1:23" x14ac:dyDescent="0.4">
      <c r="A149" s="85" t="s">
        <v>327</v>
      </c>
      <c r="B149" s="109" t="s">
        <v>108</v>
      </c>
      <c r="C149" s="129" t="s">
        <v>6</v>
      </c>
      <c r="D149" s="129" t="s">
        <v>485</v>
      </c>
      <c r="E149" s="129" t="s">
        <v>485</v>
      </c>
      <c r="F149" s="129" t="s">
        <v>484</v>
      </c>
      <c r="G149" s="129" t="s">
        <v>485</v>
      </c>
      <c r="H149" s="129" t="s">
        <v>485</v>
      </c>
      <c r="I149" s="112">
        <v>5.8</v>
      </c>
      <c r="J149" s="77" t="s">
        <v>132</v>
      </c>
      <c r="K149" s="84">
        <v>12.86</v>
      </c>
      <c r="L149" s="86">
        <v>1490000</v>
      </c>
      <c r="M149" s="80">
        <v>0.4</v>
      </c>
      <c r="N149" s="81">
        <v>50</v>
      </c>
      <c r="O149">
        <v>1.1200000000000001</v>
      </c>
      <c r="P149" s="94">
        <v>1.3449390400000001</v>
      </c>
      <c r="Q149" s="81">
        <f t="shared" si="6"/>
        <v>0.83275149779279223</v>
      </c>
      <c r="R149" s="81">
        <f t="shared" si="7"/>
        <v>155099966.46390754</v>
      </c>
      <c r="S149" s="81">
        <v>5</v>
      </c>
      <c r="T149" s="81">
        <f t="shared" si="8"/>
        <v>31019993.292781509</v>
      </c>
      <c r="U149" s="81"/>
      <c r="V149" s="84"/>
      <c r="W149" s="84"/>
    </row>
    <row r="150" spans="1:23" x14ac:dyDescent="0.4">
      <c r="A150" s="85" t="s">
        <v>328</v>
      </c>
      <c r="B150" s="109" t="s">
        <v>108</v>
      </c>
      <c r="C150" s="129" t="s">
        <v>6</v>
      </c>
      <c r="D150" s="129" t="s">
        <v>485</v>
      </c>
      <c r="E150" s="129" t="s">
        <v>485</v>
      </c>
      <c r="F150" s="129" t="s">
        <v>484</v>
      </c>
      <c r="G150" s="129" t="s">
        <v>485</v>
      </c>
      <c r="H150" s="129" t="s">
        <v>485</v>
      </c>
      <c r="I150" s="112">
        <v>5.8</v>
      </c>
      <c r="J150" s="77" t="s">
        <v>132</v>
      </c>
      <c r="K150" s="84">
        <v>12.98</v>
      </c>
      <c r="L150" s="86">
        <v>1370000</v>
      </c>
      <c r="M150" s="80">
        <v>0.4</v>
      </c>
      <c r="N150" s="81">
        <v>50</v>
      </c>
      <c r="O150">
        <v>1.1200000000000001</v>
      </c>
      <c r="P150" s="94">
        <v>1.3449390400000001</v>
      </c>
      <c r="Q150" s="81">
        <f t="shared" si="6"/>
        <v>0.83275149779279223</v>
      </c>
      <c r="R150" s="81">
        <f t="shared" si="7"/>
        <v>142608693.99701566</v>
      </c>
      <c r="S150" s="81">
        <v>5</v>
      </c>
      <c r="T150" s="81">
        <f t="shared" si="8"/>
        <v>28521738.799403131</v>
      </c>
      <c r="U150" s="81"/>
      <c r="V150" s="84"/>
      <c r="W150" s="84"/>
    </row>
    <row r="151" spans="1:23" x14ac:dyDescent="0.4">
      <c r="A151" s="85" t="s">
        <v>329</v>
      </c>
      <c r="B151" s="109" t="s">
        <v>108</v>
      </c>
      <c r="C151" s="129" t="s">
        <v>6</v>
      </c>
      <c r="D151" s="129" t="s">
        <v>485</v>
      </c>
      <c r="E151" s="129" t="s">
        <v>485</v>
      </c>
      <c r="F151" s="129" t="s">
        <v>484</v>
      </c>
      <c r="G151" s="129" t="s">
        <v>485</v>
      </c>
      <c r="H151" s="129" t="s">
        <v>485</v>
      </c>
      <c r="I151" s="112">
        <v>5.8</v>
      </c>
      <c r="J151" s="77" t="s">
        <v>132</v>
      </c>
      <c r="K151" s="84">
        <v>13.02</v>
      </c>
      <c r="L151" s="86">
        <v>1340000</v>
      </c>
      <c r="M151" s="80">
        <v>0.4</v>
      </c>
      <c r="N151" s="81">
        <v>50</v>
      </c>
      <c r="O151">
        <v>1.1200000000000001</v>
      </c>
      <c r="P151" s="94">
        <v>1.3449390400000001</v>
      </c>
      <c r="Q151" s="81">
        <f t="shared" si="6"/>
        <v>0.83275149779279223</v>
      </c>
      <c r="R151" s="81">
        <f t="shared" si="7"/>
        <v>139485875.88029268</v>
      </c>
      <c r="S151" s="81">
        <v>5</v>
      </c>
      <c r="T151" s="81">
        <f t="shared" si="8"/>
        <v>27897175.176058538</v>
      </c>
      <c r="U151" s="81">
        <f>AVERAGE(T149:T151)</f>
        <v>29146302.422747727</v>
      </c>
      <c r="V151" s="81">
        <f>_xlfn.STDEV.S(T149:T151)</f>
        <v>1652440.0253072116</v>
      </c>
      <c r="W151" s="81">
        <f>MAX(K149:K151)-MIN(K149:K151)</f>
        <v>0.16000000000000014</v>
      </c>
    </row>
    <row r="152" spans="1:23" x14ac:dyDescent="0.4">
      <c r="A152" s="85" t="s">
        <v>330</v>
      </c>
      <c r="B152" s="109" t="s">
        <v>109</v>
      </c>
      <c r="C152" s="129" t="s">
        <v>7</v>
      </c>
      <c r="D152" s="129" t="s">
        <v>485</v>
      </c>
      <c r="E152" s="129" t="s">
        <v>485</v>
      </c>
      <c r="F152" s="129" t="s">
        <v>485</v>
      </c>
      <c r="G152" s="129" t="s">
        <v>485</v>
      </c>
      <c r="H152" s="129" t="s">
        <v>485</v>
      </c>
      <c r="I152" s="112">
        <v>5.8</v>
      </c>
      <c r="J152" s="77" t="s">
        <v>132</v>
      </c>
      <c r="K152" s="84">
        <v>10.31</v>
      </c>
      <c r="L152" s="86">
        <v>7870000</v>
      </c>
      <c r="M152" s="80">
        <v>0.4</v>
      </c>
      <c r="N152" s="81">
        <v>50</v>
      </c>
      <c r="O152">
        <v>13.11</v>
      </c>
      <c r="P152" s="94">
        <v>6.2053552310000004</v>
      </c>
      <c r="Q152" s="81">
        <f t="shared" si="6"/>
        <v>2.1126912983976434</v>
      </c>
      <c r="R152" s="81">
        <f t="shared" si="7"/>
        <v>2078360064.7986817</v>
      </c>
      <c r="S152" s="81">
        <v>5</v>
      </c>
      <c r="T152" s="81">
        <f t="shared" si="8"/>
        <v>415672012.95973635</v>
      </c>
      <c r="U152" s="81"/>
      <c r="V152" s="84"/>
      <c r="W152" s="84"/>
    </row>
    <row r="153" spans="1:23" x14ac:dyDescent="0.4">
      <c r="A153" s="85" t="s">
        <v>331</v>
      </c>
      <c r="B153" s="109" t="s">
        <v>109</v>
      </c>
      <c r="C153" s="129" t="s">
        <v>7</v>
      </c>
      <c r="D153" s="129" t="s">
        <v>485</v>
      </c>
      <c r="E153" s="129" t="s">
        <v>485</v>
      </c>
      <c r="F153" s="129" t="s">
        <v>485</v>
      </c>
      <c r="G153" s="129" t="s">
        <v>485</v>
      </c>
      <c r="H153" s="129" t="s">
        <v>485</v>
      </c>
      <c r="I153" s="112">
        <v>5.8</v>
      </c>
      <c r="J153" s="77" t="s">
        <v>132</v>
      </c>
      <c r="K153" s="84">
        <v>10.23</v>
      </c>
      <c r="L153" s="86">
        <v>8260000</v>
      </c>
      <c r="M153" s="80">
        <v>0.4</v>
      </c>
      <c r="N153" s="81">
        <v>50</v>
      </c>
      <c r="O153">
        <v>13.11</v>
      </c>
      <c r="P153" s="94">
        <v>6.2053552310000004</v>
      </c>
      <c r="Q153" s="81">
        <f t="shared" si="6"/>
        <v>2.1126912983976434</v>
      </c>
      <c r="R153" s="81">
        <f t="shared" si="7"/>
        <v>2181353765.5955663</v>
      </c>
      <c r="S153" s="81">
        <v>5</v>
      </c>
      <c r="T153" s="81">
        <f t="shared" si="8"/>
        <v>436270753.11911327</v>
      </c>
      <c r="U153" s="81"/>
      <c r="V153" s="84"/>
      <c r="W153" s="84"/>
    </row>
    <row r="154" spans="1:23" x14ac:dyDescent="0.4">
      <c r="A154" s="85" t="s">
        <v>332</v>
      </c>
      <c r="B154" s="109" t="s">
        <v>109</v>
      </c>
      <c r="C154" s="129" t="s">
        <v>7</v>
      </c>
      <c r="D154" s="129" t="s">
        <v>485</v>
      </c>
      <c r="E154" s="129" t="s">
        <v>485</v>
      </c>
      <c r="F154" s="129" t="s">
        <v>485</v>
      </c>
      <c r="G154" s="129" t="s">
        <v>485</v>
      </c>
      <c r="H154" s="129" t="s">
        <v>485</v>
      </c>
      <c r="I154" s="112">
        <v>5.8</v>
      </c>
      <c r="J154" s="77" t="s">
        <v>132</v>
      </c>
      <c r="K154" s="84">
        <v>10.23</v>
      </c>
      <c r="L154" s="86">
        <v>8280000</v>
      </c>
      <c r="M154" s="80">
        <v>0.4</v>
      </c>
      <c r="N154" s="81">
        <v>50</v>
      </c>
      <c r="O154">
        <v>13.11</v>
      </c>
      <c r="P154" s="94">
        <v>6.2053552310000004</v>
      </c>
      <c r="Q154" s="81">
        <f t="shared" si="6"/>
        <v>2.1126912983976434</v>
      </c>
      <c r="R154" s="81">
        <f t="shared" si="7"/>
        <v>2186635493.8415608</v>
      </c>
      <c r="S154" s="81">
        <v>5</v>
      </c>
      <c r="T154" s="81">
        <f t="shared" si="8"/>
        <v>437327098.76831216</v>
      </c>
      <c r="U154" s="81">
        <f>AVERAGE(T152:T154)</f>
        <v>429756621.61572057</v>
      </c>
      <c r="V154" s="81">
        <f>_xlfn.STDEV.S(T152:T154)</f>
        <v>12209058.820270097</v>
      </c>
      <c r="W154" s="81">
        <f>MAX(K152:K154)-MIN(K152:K154)</f>
        <v>8.0000000000000071E-2</v>
      </c>
    </row>
    <row r="155" spans="1:23" x14ac:dyDescent="0.4">
      <c r="A155" s="85" t="s">
        <v>333</v>
      </c>
      <c r="B155" s="109" t="s">
        <v>116</v>
      </c>
      <c r="C155" s="129" t="s">
        <v>4</v>
      </c>
      <c r="D155" s="129" t="s">
        <v>485</v>
      </c>
      <c r="E155" s="129" t="s">
        <v>485</v>
      </c>
      <c r="F155" s="129" t="s">
        <v>484</v>
      </c>
      <c r="G155" s="129" t="s">
        <v>485</v>
      </c>
      <c r="H155" s="129" t="s">
        <v>484</v>
      </c>
      <c r="I155" s="112">
        <v>4.8</v>
      </c>
      <c r="J155" s="77" t="s">
        <v>133</v>
      </c>
      <c r="K155" s="84">
        <v>12.67</v>
      </c>
      <c r="L155" s="86">
        <v>1680000</v>
      </c>
      <c r="M155" s="80">
        <v>0.4</v>
      </c>
      <c r="N155" s="81">
        <v>50</v>
      </c>
      <c r="O155">
        <v>14.07</v>
      </c>
      <c r="P155" s="94">
        <v>8.6378710420000004</v>
      </c>
      <c r="Q155" s="81">
        <f t="shared" si="6"/>
        <v>1.6288735883630709</v>
      </c>
      <c r="R155" s="81">
        <f t="shared" si="7"/>
        <v>342063453.55624485</v>
      </c>
      <c r="S155" s="81">
        <v>5</v>
      </c>
      <c r="T155" s="81">
        <f t="shared" si="8"/>
        <v>68412690.711248964</v>
      </c>
      <c r="U155" s="81"/>
      <c r="V155" s="84"/>
      <c r="W155" s="84"/>
    </row>
    <row r="156" spans="1:23" x14ac:dyDescent="0.4">
      <c r="A156" s="85" t="s">
        <v>334</v>
      </c>
      <c r="B156" s="109" t="s">
        <v>116</v>
      </c>
      <c r="C156" s="129" t="s">
        <v>4</v>
      </c>
      <c r="D156" s="129" t="s">
        <v>485</v>
      </c>
      <c r="E156" s="129" t="s">
        <v>485</v>
      </c>
      <c r="F156" s="129" t="s">
        <v>484</v>
      </c>
      <c r="G156" s="129" t="s">
        <v>485</v>
      </c>
      <c r="H156" s="129" t="s">
        <v>484</v>
      </c>
      <c r="I156" s="112">
        <v>4.8</v>
      </c>
      <c r="J156" s="77" t="s">
        <v>133</v>
      </c>
      <c r="K156" s="84">
        <v>12.74</v>
      </c>
      <c r="L156" s="86">
        <v>1610000</v>
      </c>
      <c r="M156" s="80">
        <v>0.4</v>
      </c>
      <c r="N156" s="81">
        <v>50</v>
      </c>
      <c r="O156">
        <v>14.07</v>
      </c>
      <c r="P156" s="94">
        <v>8.6378710420000004</v>
      </c>
      <c r="Q156" s="81">
        <f t="shared" si="6"/>
        <v>1.6288735883630709</v>
      </c>
      <c r="R156" s="81">
        <f t="shared" si="7"/>
        <v>327810809.658068</v>
      </c>
      <c r="S156" s="81">
        <v>5</v>
      </c>
      <c r="T156" s="81">
        <f t="shared" si="8"/>
        <v>65562161.931613602</v>
      </c>
      <c r="U156" s="81"/>
      <c r="V156" s="84"/>
      <c r="W156" s="84"/>
    </row>
    <row r="157" spans="1:23" x14ac:dyDescent="0.4">
      <c r="A157" s="85" t="s">
        <v>335</v>
      </c>
      <c r="B157" s="109" t="s">
        <v>116</v>
      </c>
      <c r="C157" s="129" t="s">
        <v>4</v>
      </c>
      <c r="D157" s="129" t="s">
        <v>485</v>
      </c>
      <c r="E157" s="129" t="s">
        <v>485</v>
      </c>
      <c r="F157" s="129" t="s">
        <v>484</v>
      </c>
      <c r="G157" s="129" t="s">
        <v>485</v>
      </c>
      <c r="H157" s="129" t="s">
        <v>484</v>
      </c>
      <c r="I157" s="112">
        <v>4.8</v>
      </c>
      <c r="J157" s="77" t="s">
        <v>133</v>
      </c>
      <c r="K157" s="84">
        <v>12.81</v>
      </c>
      <c r="L157" s="86">
        <v>1530000</v>
      </c>
      <c r="M157" s="80">
        <v>0.4</v>
      </c>
      <c r="N157" s="81">
        <v>50</v>
      </c>
      <c r="O157">
        <v>14.07</v>
      </c>
      <c r="P157" s="94">
        <v>8.6378710420000004</v>
      </c>
      <c r="Q157" s="81">
        <f t="shared" si="6"/>
        <v>1.6288735883630709</v>
      </c>
      <c r="R157" s="81">
        <f t="shared" si="7"/>
        <v>311522073.77443731</v>
      </c>
      <c r="S157" s="81">
        <v>5</v>
      </c>
      <c r="T157" s="81">
        <f t="shared" si="8"/>
        <v>62304414.754887462</v>
      </c>
      <c r="U157" s="81">
        <f>AVERAGE(T155:T157)</f>
        <v>65426422.465916671</v>
      </c>
      <c r="V157" s="81">
        <f>_xlfn.STDEV.S(T155:T157)</f>
        <v>3056399.4653311879</v>
      </c>
      <c r="W157" s="81">
        <f>MAX(K155:K157)-MIN(K155:K157)</f>
        <v>0.14000000000000057</v>
      </c>
    </row>
    <row r="158" spans="1:23" x14ac:dyDescent="0.4">
      <c r="A158" s="85" t="s">
        <v>336</v>
      </c>
      <c r="B158" s="109" t="s">
        <v>117</v>
      </c>
      <c r="C158" s="129" t="s">
        <v>5</v>
      </c>
      <c r="D158" s="129" t="s">
        <v>485</v>
      </c>
      <c r="E158" s="129" t="s">
        <v>484</v>
      </c>
      <c r="F158" s="129" t="s">
        <v>484</v>
      </c>
      <c r="G158" s="129" t="s">
        <v>485</v>
      </c>
      <c r="H158" s="129" t="s">
        <v>485</v>
      </c>
      <c r="I158" s="112">
        <v>4.8</v>
      </c>
      <c r="J158" s="77" t="s">
        <v>133</v>
      </c>
      <c r="K158" s="84">
        <v>11.57</v>
      </c>
      <c r="L158" s="86">
        <v>3440000</v>
      </c>
      <c r="M158" s="80">
        <v>0.4</v>
      </c>
      <c r="N158" s="81">
        <v>50</v>
      </c>
      <c r="O158">
        <v>5.82</v>
      </c>
      <c r="P158" s="94">
        <v>8.8012572359999997</v>
      </c>
      <c r="Q158" s="81">
        <f t="shared" si="6"/>
        <v>0.66126916234129718</v>
      </c>
      <c r="R158" s="81">
        <f t="shared" si="7"/>
        <v>284345739.80675775</v>
      </c>
      <c r="S158" s="81">
        <v>5</v>
      </c>
      <c r="T158" s="81">
        <f t="shared" si="8"/>
        <v>56869147.961351551</v>
      </c>
      <c r="U158" s="81"/>
      <c r="V158" s="84"/>
      <c r="W158" s="84"/>
    </row>
    <row r="159" spans="1:23" x14ac:dyDescent="0.4">
      <c r="A159" s="85" t="s">
        <v>337</v>
      </c>
      <c r="B159" s="109" t="s">
        <v>117</v>
      </c>
      <c r="C159" s="129" t="s">
        <v>5</v>
      </c>
      <c r="D159" s="129" t="s">
        <v>485</v>
      </c>
      <c r="E159" s="129" t="s">
        <v>484</v>
      </c>
      <c r="F159" s="129" t="s">
        <v>484</v>
      </c>
      <c r="G159" s="129" t="s">
        <v>485</v>
      </c>
      <c r="H159" s="129" t="s">
        <v>485</v>
      </c>
      <c r="I159" s="112">
        <v>4.8</v>
      </c>
      <c r="J159" s="77" t="s">
        <v>133</v>
      </c>
      <c r="K159" s="84">
        <v>11.6</v>
      </c>
      <c r="L159" s="86">
        <v>3380000</v>
      </c>
      <c r="M159" s="80">
        <v>0.4</v>
      </c>
      <c r="N159" s="81">
        <v>50</v>
      </c>
      <c r="O159">
        <v>5.82</v>
      </c>
      <c r="P159" s="94">
        <v>8.8012572359999997</v>
      </c>
      <c r="Q159" s="81">
        <f t="shared" si="6"/>
        <v>0.66126916234129718</v>
      </c>
      <c r="R159" s="81">
        <f t="shared" si="7"/>
        <v>279386221.08919805</v>
      </c>
      <c r="S159" s="81">
        <v>5</v>
      </c>
      <c r="T159" s="81">
        <f t="shared" si="8"/>
        <v>55877244.217839614</v>
      </c>
      <c r="U159" s="81"/>
      <c r="V159" s="84"/>
      <c r="W159" s="84"/>
    </row>
    <row r="160" spans="1:23" x14ac:dyDescent="0.4">
      <c r="A160" s="85" t="s">
        <v>338</v>
      </c>
      <c r="B160" s="109" t="s">
        <v>117</v>
      </c>
      <c r="C160" s="129" t="s">
        <v>5</v>
      </c>
      <c r="D160" s="129" t="s">
        <v>485</v>
      </c>
      <c r="E160" s="129" t="s">
        <v>484</v>
      </c>
      <c r="F160" s="129" t="s">
        <v>484</v>
      </c>
      <c r="G160" s="129" t="s">
        <v>485</v>
      </c>
      <c r="H160" s="129" t="s">
        <v>485</v>
      </c>
      <c r="I160" s="112">
        <v>4.8</v>
      </c>
      <c r="J160" s="77" t="s">
        <v>133</v>
      </c>
      <c r="K160" s="84">
        <v>11.6</v>
      </c>
      <c r="L160" s="86">
        <v>3370000</v>
      </c>
      <c r="M160" s="80">
        <v>0.4</v>
      </c>
      <c r="N160" s="81">
        <v>50</v>
      </c>
      <c r="O160">
        <v>5.82</v>
      </c>
      <c r="P160" s="94">
        <v>8.8012572359999997</v>
      </c>
      <c r="Q160" s="81">
        <f t="shared" si="6"/>
        <v>0.66126916234129718</v>
      </c>
      <c r="R160" s="81">
        <f t="shared" si="7"/>
        <v>278559634.63627142</v>
      </c>
      <c r="S160" s="81">
        <v>5</v>
      </c>
      <c r="T160" s="81">
        <f t="shared" si="8"/>
        <v>55711926.927254282</v>
      </c>
      <c r="U160" s="81">
        <f>AVERAGE(T158:T160)</f>
        <v>56152773.035481818</v>
      </c>
      <c r="V160" s="81">
        <f>_xlfn.STDEV.S(T158:T160)</f>
        <v>625881.16080672271</v>
      </c>
      <c r="W160" s="81">
        <f>MAX(K158:K160)-MIN(K158:K160)</f>
        <v>2.9999999999999361E-2</v>
      </c>
    </row>
    <row r="161" spans="1:23" x14ac:dyDescent="0.4">
      <c r="A161" s="85" t="s">
        <v>339</v>
      </c>
      <c r="B161" s="109" t="s">
        <v>118</v>
      </c>
      <c r="C161" s="129" t="s">
        <v>6</v>
      </c>
      <c r="D161" s="129" t="s">
        <v>485</v>
      </c>
      <c r="E161" s="129" t="s">
        <v>485</v>
      </c>
      <c r="F161" s="129" t="s">
        <v>484</v>
      </c>
      <c r="G161" s="129" t="s">
        <v>485</v>
      </c>
      <c r="H161" s="129" t="s">
        <v>485</v>
      </c>
      <c r="I161" s="112">
        <v>4.8</v>
      </c>
      <c r="J161" s="77" t="s">
        <v>133</v>
      </c>
      <c r="K161" s="84">
        <v>10.24</v>
      </c>
      <c r="L161" s="86">
        <v>8210000</v>
      </c>
      <c r="M161" s="80">
        <v>0.4</v>
      </c>
      <c r="N161" s="81">
        <v>50</v>
      </c>
      <c r="O161">
        <v>26.22</v>
      </c>
      <c r="P161" s="94">
        <v>7.5380142609999998</v>
      </c>
      <c r="Q161" s="81">
        <f t="shared" si="6"/>
        <v>3.4783696464540292</v>
      </c>
      <c r="R161" s="81">
        <f t="shared" si="7"/>
        <v>3569676849.6734476</v>
      </c>
      <c r="S161" s="81">
        <v>5</v>
      </c>
      <c r="T161" s="81">
        <f t="shared" si="8"/>
        <v>713935369.93468952</v>
      </c>
      <c r="U161" s="81"/>
      <c r="V161" s="84"/>
      <c r="W161" s="84"/>
    </row>
    <row r="162" spans="1:23" x14ac:dyDescent="0.4">
      <c r="A162" s="85" t="s">
        <v>340</v>
      </c>
      <c r="B162" s="109" t="s">
        <v>118</v>
      </c>
      <c r="C162" s="129" t="s">
        <v>6</v>
      </c>
      <c r="D162" s="129" t="s">
        <v>485</v>
      </c>
      <c r="E162" s="129" t="s">
        <v>485</v>
      </c>
      <c r="F162" s="129" t="s">
        <v>484</v>
      </c>
      <c r="G162" s="129" t="s">
        <v>485</v>
      </c>
      <c r="H162" s="129" t="s">
        <v>485</v>
      </c>
      <c r="I162" s="112">
        <v>4.8</v>
      </c>
      <c r="J162" s="77" t="s">
        <v>133</v>
      </c>
      <c r="K162" s="84">
        <v>10.42</v>
      </c>
      <c r="L162" s="86">
        <v>7280000</v>
      </c>
      <c r="M162" s="80">
        <v>0.4</v>
      </c>
      <c r="N162" s="81">
        <v>50</v>
      </c>
      <c r="O162">
        <v>26.22</v>
      </c>
      <c r="P162" s="94">
        <v>7.5380142609999998</v>
      </c>
      <c r="Q162" s="81">
        <f t="shared" si="6"/>
        <v>3.4783696464540292</v>
      </c>
      <c r="R162" s="81">
        <f t="shared" si="7"/>
        <v>3165316378.2731662</v>
      </c>
      <c r="S162" s="81">
        <v>5</v>
      </c>
      <c r="T162" s="81">
        <f t="shared" si="8"/>
        <v>633063275.65463328</v>
      </c>
      <c r="U162" s="81"/>
      <c r="V162" s="84"/>
      <c r="W162" s="84"/>
    </row>
    <row r="163" spans="1:23" x14ac:dyDescent="0.4">
      <c r="A163" s="85" t="s">
        <v>341</v>
      </c>
      <c r="B163" s="109" t="s">
        <v>118</v>
      </c>
      <c r="C163" s="129" t="s">
        <v>6</v>
      </c>
      <c r="D163" s="129" t="s">
        <v>485</v>
      </c>
      <c r="E163" s="129" t="s">
        <v>485</v>
      </c>
      <c r="F163" s="129" t="s">
        <v>484</v>
      </c>
      <c r="G163" s="129" t="s">
        <v>485</v>
      </c>
      <c r="H163" s="129" t="s">
        <v>485</v>
      </c>
      <c r="I163" s="112">
        <v>4.8</v>
      </c>
      <c r="J163" s="77" t="s">
        <v>133</v>
      </c>
      <c r="K163" s="84">
        <v>10.34</v>
      </c>
      <c r="L163" s="86">
        <v>7670000</v>
      </c>
      <c r="M163" s="80">
        <v>0.4</v>
      </c>
      <c r="N163" s="81">
        <v>50</v>
      </c>
      <c r="O163">
        <v>26.22</v>
      </c>
      <c r="P163" s="94">
        <v>7.5380142609999998</v>
      </c>
      <c r="Q163" s="81">
        <f t="shared" si="6"/>
        <v>3.4783696464540292</v>
      </c>
      <c r="R163" s="81">
        <f t="shared" si="7"/>
        <v>3334886898.5378003</v>
      </c>
      <c r="S163" s="81">
        <v>5</v>
      </c>
      <c r="T163" s="81">
        <f t="shared" si="8"/>
        <v>666977379.70756006</v>
      </c>
      <c r="U163" s="81">
        <f>AVERAGE(T161:T163)</f>
        <v>671325341.76562762</v>
      </c>
      <c r="V163" s="81">
        <f>_xlfn.STDEV.S(T161:T163)</f>
        <v>40610989.754675671</v>
      </c>
      <c r="W163" s="81">
        <f>MAX(K161:K163)-MIN(K161:K163)</f>
        <v>0.17999999999999972</v>
      </c>
    </row>
    <row r="164" spans="1:23" x14ac:dyDescent="0.4">
      <c r="A164" s="85" t="s">
        <v>342</v>
      </c>
      <c r="B164" s="109" t="s">
        <v>119</v>
      </c>
      <c r="C164" s="129" t="s">
        <v>7</v>
      </c>
      <c r="D164" s="129" t="s">
        <v>485</v>
      </c>
      <c r="E164" s="129" t="s">
        <v>485</v>
      </c>
      <c r="F164" s="129" t="s">
        <v>485</v>
      </c>
      <c r="G164" s="129" t="s">
        <v>485</v>
      </c>
      <c r="H164" s="129" t="s">
        <v>485</v>
      </c>
      <c r="I164" s="112">
        <v>4.8</v>
      </c>
      <c r="J164" s="77" t="s">
        <v>133</v>
      </c>
      <c r="K164" s="84">
        <v>9.9499999999999993</v>
      </c>
      <c r="L164" s="86">
        <v>9930000</v>
      </c>
      <c r="M164" s="80">
        <v>0.4</v>
      </c>
      <c r="N164" s="81">
        <v>50</v>
      </c>
      <c r="O164">
        <v>27.24</v>
      </c>
      <c r="P164" s="94">
        <v>6.8811463760000002</v>
      </c>
      <c r="Q164" s="81">
        <f t="shared" si="6"/>
        <v>3.9586427190398714</v>
      </c>
      <c r="R164" s="81">
        <f t="shared" si="7"/>
        <v>4913665275.0082397</v>
      </c>
      <c r="S164" s="81">
        <v>5</v>
      </c>
      <c r="T164" s="81">
        <f t="shared" si="8"/>
        <v>982733055.00164795</v>
      </c>
      <c r="U164" s="81"/>
      <c r="V164" s="84"/>
      <c r="W164" s="84"/>
    </row>
    <row r="165" spans="1:23" x14ac:dyDescent="0.4">
      <c r="A165" s="85" t="s">
        <v>343</v>
      </c>
      <c r="B165" s="109" t="s">
        <v>119</v>
      </c>
      <c r="C165" s="129" t="s">
        <v>7</v>
      </c>
      <c r="D165" s="129" t="s">
        <v>485</v>
      </c>
      <c r="E165" s="129" t="s">
        <v>485</v>
      </c>
      <c r="F165" s="129" t="s">
        <v>485</v>
      </c>
      <c r="G165" s="129" t="s">
        <v>485</v>
      </c>
      <c r="H165" s="129" t="s">
        <v>485</v>
      </c>
      <c r="I165" s="112">
        <v>4.8</v>
      </c>
      <c r="J165" s="77" t="s">
        <v>133</v>
      </c>
      <c r="K165" s="84">
        <v>9.92</v>
      </c>
      <c r="L165" s="86">
        <v>10100000</v>
      </c>
      <c r="M165" s="80">
        <v>0.4</v>
      </c>
      <c r="N165" s="81">
        <v>50</v>
      </c>
      <c r="O165">
        <v>27.24</v>
      </c>
      <c r="P165" s="94">
        <v>6.8811463760000002</v>
      </c>
      <c r="Q165" s="81">
        <f t="shared" si="6"/>
        <v>3.9586427190398714</v>
      </c>
      <c r="R165" s="81">
        <f t="shared" si="7"/>
        <v>4997786432.787837</v>
      </c>
      <c r="S165" s="81">
        <v>5</v>
      </c>
      <c r="T165" s="81">
        <f t="shared" si="8"/>
        <v>999557286.55756736</v>
      </c>
      <c r="U165" s="81"/>
      <c r="V165" s="84"/>
      <c r="W165" s="84"/>
    </row>
    <row r="166" spans="1:23" x14ac:dyDescent="0.4">
      <c r="A166" s="85" t="s">
        <v>344</v>
      </c>
      <c r="B166" s="109" t="s">
        <v>119</v>
      </c>
      <c r="C166" s="129" t="s">
        <v>7</v>
      </c>
      <c r="D166" s="129" t="s">
        <v>485</v>
      </c>
      <c r="E166" s="129" t="s">
        <v>485</v>
      </c>
      <c r="F166" s="129" t="s">
        <v>485</v>
      </c>
      <c r="G166" s="129" t="s">
        <v>485</v>
      </c>
      <c r="H166" s="129" t="s">
        <v>485</v>
      </c>
      <c r="I166" s="112">
        <v>4.8</v>
      </c>
      <c r="J166" s="77" t="s">
        <v>133</v>
      </c>
      <c r="K166" s="84">
        <v>9.84</v>
      </c>
      <c r="L166" s="86">
        <v>10700000</v>
      </c>
      <c r="M166" s="80">
        <v>0.4</v>
      </c>
      <c r="N166" s="81">
        <v>50</v>
      </c>
      <c r="O166">
        <v>27.24</v>
      </c>
      <c r="P166" s="94">
        <v>6.8811463760000002</v>
      </c>
      <c r="Q166" s="81">
        <f t="shared" si="6"/>
        <v>3.9586427190398714</v>
      </c>
      <c r="R166" s="81">
        <f t="shared" si="7"/>
        <v>5294684636.7158279</v>
      </c>
      <c r="S166" s="81">
        <v>5</v>
      </c>
      <c r="T166" s="81">
        <f t="shared" si="8"/>
        <v>1058936927.3431656</v>
      </c>
      <c r="U166" s="81">
        <f>AVERAGE(T164:T166)</f>
        <v>1013742422.9674603</v>
      </c>
      <c r="V166" s="81">
        <f>_xlfn.STDEV.S(T164:T166)</f>
        <v>40033374.966220796</v>
      </c>
      <c r="W166" s="81">
        <f>MAX(K164:K166)-MIN(K164:K166)</f>
        <v>0.10999999999999943</v>
      </c>
    </row>
    <row r="167" spans="1:23" x14ac:dyDescent="0.4">
      <c r="A167" s="85" t="s">
        <v>345</v>
      </c>
      <c r="B167" s="109" t="s">
        <v>126</v>
      </c>
      <c r="C167" s="129" t="s">
        <v>4</v>
      </c>
      <c r="D167" s="129" t="s">
        <v>485</v>
      </c>
      <c r="E167" s="129" t="s">
        <v>485</v>
      </c>
      <c r="F167" s="129" t="s">
        <v>484</v>
      </c>
      <c r="G167" s="129" t="s">
        <v>485</v>
      </c>
      <c r="H167" s="129" t="s">
        <v>484</v>
      </c>
      <c r="I167" s="112">
        <v>5.8</v>
      </c>
      <c r="J167" s="77" t="s">
        <v>133</v>
      </c>
      <c r="K167" s="84">
        <v>9.52</v>
      </c>
      <c r="L167" s="86">
        <v>13100000</v>
      </c>
      <c r="M167" s="80">
        <v>0.4</v>
      </c>
      <c r="N167" s="81">
        <v>50</v>
      </c>
      <c r="O167">
        <v>54.4</v>
      </c>
      <c r="P167" s="94">
        <v>8.1022966360000002</v>
      </c>
      <c r="Q167" s="81">
        <f t="shared" si="6"/>
        <v>6.714145685346887</v>
      </c>
      <c r="R167" s="81">
        <f t="shared" si="7"/>
        <v>10994413559.755527</v>
      </c>
      <c r="S167" s="81">
        <v>5</v>
      </c>
      <c r="T167" s="81">
        <f t="shared" si="8"/>
        <v>2198882711.9511056</v>
      </c>
      <c r="U167" s="81"/>
      <c r="V167" s="84"/>
      <c r="W167" s="84"/>
    </row>
    <row r="168" spans="1:23" x14ac:dyDescent="0.4">
      <c r="A168" s="85" t="s">
        <v>346</v>
      </c>
      <c r="B168" s="109" t="s">
        <v>126</v>
      </c>
      <c r="C168" s="129" t="s">
        <v>4</v>
      </c>
      <c r="D168" s="129" t="s">
        <v>485</v>
      </c>
      <c r="E168" s="129" t="s">
        <v>485</v>
      </c>
      <c r="F168" s="129" t="s">
        <v>484</v>
      </c>
      <c r="G168" s="129" t="s">
        <v>485</v>
      </c>
      <c r="H168" s="129" t="s">
        <v>484</v>
      </c>
      <c r="I168" s="112">
        <v>5.8</v>
      </c>
      <c r="J168" s="77" t="s">
        <v>133</v>
      </c>
      <c r="K168" s="84">
        <v>9.6</v>
      </c>
      <c r="L168" s="86">
        <v>12500000</v>
      </c>
      <c r="M168" s="80">
        <v>0.4</v>
      </c>
      <c r="N168" s="81">
        <v>50</v>
      </c>
      <c r="O168">
        <v>54.4</v>
      </c>
      <c r="P168" s="94">
        <v>8.1022966360000002</v>
      </c>
      <c r="Q168" s="81">
        <f t="shared" si="6"/>
        <v>6.714145685346887</v>
      </c>
      <c r="R168" s="81">
        <f t="shared" si="7"/>
        <v>10490852633.354511</v>
      </c>
      <c r="S168" s="81">
        <v>5</v>
      </c>
      <c r="T168" s="81">
        <f t="shared" si="8"/>
        <v>2098170526.6709023</v>
      </c>
      <c r="U168" s="81"/>
      <c r="V168" s="84"/>
      <c r="W168" s="84"/>
    </row>
    <row r="169" spans="1:23" x14ac:dyDescent="0.4">
      <c r="A169" s="85" t="s">
        <v>347</v>
      </c>
      <c r="B169" s="109" t="s">
        <v>126</v>
      </c>
      <c r="C169" s="129" t="s">
        <v>4</v>
      </c>
      <c r="D169" s="129" t="s">
        <v>485</v>
      </c>
      <c r="E169" s="129" t="s">
        <v>485</v>
      </c>
      <c r="F169" s="129" t="s">
        <v>484</v>
      </c>
      <c r="G169" s="129" t="s">
        <v>485</v>
      </c>
      <c r="H169" s="129" t="s">
        <v>484</v>
      </c>
      <c r="I169" s="112">
        <v>5.8</v>
      </c>
      <c r="J169" s="77" t="s">
        <v>133</v>
      </c>
      <c r="K169" s="84">
        <v>9.6</v>
      </c>
      <c r="L169" s="86">
        <v>12500000</v>
      </c>
      <c r="M169" s="80">
        <v>0.4</v>
      </c>
      <c r="N169" s="81">
        <v>50</v>
      </c>
      <c r="O169">
        <v>54.4</v>
      </c>
      <c r="P169" s="94">
        <v>8.1022966360000002</v>
      </c>
      <c r="Q169" s="81">
        <f t="shared" si="6"/>
        <v>6.714145685346887</v>
      </c>
      <c r="R169" s="81">
        <f t="shared" si="7"/>
        <v>10490852633.354511</v>
      </c>
      <c r="S169" s="81">
        <v>5</v>
      </c>
      <c r="T169" s="81">
        <f t="shared" si="8"/>
        <v>2098170526.6709023</v>
      </c>
      <c r="U169" s="81">
        <f>AVERAGE(T167:T169)</f>
        <v>2131741255.0976365</v>
      </c>
      <c r="V169" s="81">
        <f>_xlfn.STDEV.S(T167:T169)</f>
        <v>58146207.282200858</v>
      </c>
      <c r="W169" s="81">
        <f>MAX(K167:K169)-MIN(K167:K169)</f>
        <v>8.0000000000000071E-2</v>
      </c>
    </row>
    <row r="170" spans="1:23" x14ac:dyDescent="0.4">
      <c r="A170" s="85" t="s">
        <v>348</v>
      </c>
      <c r="B170" s="109" t="s">
        <v>127</v>
      </c>
      <c r="C170" s="129" t="s">
        <v>5</v>
      </c>
      <c r="D170" s="129" t="s">
        <v>485</v>
      </c>
      <c r="E170" s="129" t="s">
        <v>484</v>
      </c>
      <c r="F170" s="129" t="s">
        <v>484</v>
      </c>
      <c r="G170" s="129" t="s">
        <v>485</v>
      </c>
      <c r="H170" s="129" t="s">
        <v>485</v>
      </c>
      <c r="I170" s="112">
        <v>5.8</v>
      </c>
      <c r="J170" s="77" t="s">
        <v>133</v>
      </c>
      <c r="K170" s="84">
        <v>9.76</v>
      </c>
      <c r="L170" s="86">
        <v>11200000</v>
      </c>
      <c r="M170" s="80">
        <v>0.4</v>
      </c>
      <c r="N170" s="81">
        <v>50</v>
      </c>
      <c r="O170">
        <v>37.869999999999997</v>
      </c>
      <c r="P170" s="94">
        <v>7.7065697359999996</v>
      </c>
      <c r="Q170" s="81">
        <f t="shared" si="6"/>
        <v>4.913989141381073</v>
      </c>
      <c r="R170" s="81">
        <f t="shared" si="7"/>
        <v>6879584797.9335022</v>
      </c>
      <c r="S170" s="81">
        <v>5</v>
      </c>
      <c r="T170" s="81">
        <f t="shared" si="8"/>
        <v>1375916959.5867004</v>
      </c>
      <c r="U170" s="81"/>
      <c r="V170" s="84"/>
      <c r="W170" s="84"/>
    </row>
    <row r="171" spans="1:23" x14ac:dyDescent="0.4">
      <c r="A171" s="85" t="s">
        <v>349</v>
      </c>
      <c r="B171" s="109" t="s">
        <v>127</v>
      </c>
      <c r="C171" s="129" t="s">
        <v>5</v>
      </c>
      <c r="D171" s="129" t="s">
        <v>485</v>
      </c>
      <c r="E171" s="129" t="s">
        <v>484</v>
      </c>
      <c r="F171" s="129" t="s">
        <v>484</v>
      </c>
      <c r="G171" s="129" t="s">
        <v>485</v>
      </c>
      <c r="H171" s="129" t="s">
        <v>485</v>
      </c>
      <c r="I171" s="112">
        <v>5.8</v>
      </c>
      <c r="J171" s="77" t="s">
        <v>133</v>
      </c>
      <c r="K171" s="84">
        <v>9.77</v>
      </c>
      <c r="L171" s="86">
        <v>11100000</v>
      </c>
      <c r="M171" s="80">
        <v>0.4</v>
      </c>
      <c r="N171" s="81">
        <v>50</v>
      </c>
      <c r="O171">
        <v>37.869999999999997</v>
      </c>
      <c r="P171" s="94">
        <v>7.7065697359999996</v>
      </c>
      <c r="Q171" s="81">
        <f t="shared" si="6"/>
        <v>4.913989141381073</v>
      </c>
      <c r="R171" s="81">
        <f t="shared" si="7"/>
        <v>6818159933.6662388</v>
      </c>
      <c r="S171" s="81">
        <v>5</v>
      </c>
      <c r="T171" s="81">
        <f t="shared" si="8"/>
        <v>1363631986.7332478</v>
      </c>
      <c r="U171" s="81"/>
      <c r="V171" s="84"/>
      <c r="W171" s="84"/>
    </row>
    <row r="172" spans="1:23" x14ac:dyDescent="0.4">
      <c r="A172" s="85" t="s">
        <v>350</v>
      </c>
      <c r="B172" s="109" t="s">
        <v>127</v>
      </c>
      <c r="C172" s="129" t="s">
        <v>5</v>
      </c>
      <c r="D172" s="129" t="s">
        <v>485</v>
      </c>
      <c r="E172" s="129" t="s">
        <v>484</v>
      </c>
      <c r="F172" s="129" t="s">
        <v>484</v>
      </c>
      <c r="G172" s="129" t="s">
        <v>485</v>
      </c>
      <c r="H172" s="129" t="s">
        <v>485</v>
      </c>
      <c r="I172" s="112">
        <v>5.8</v>
      </c>
      <c r="J172" s="77" t="s">
        <v>133</v>
      </c>
      <c r="K172" s="84">
        <v>9.7799999999999994</v>
      </c>
      <c r="L172" s="86">
        <v>11100000</v>
      </c>
      <c r="M172" s="80">
        <v>0.4</v>
      </c>
      <c r="N172" s="81">
        <v>50</v>
      </c>
      <c r="O172">
        <v>37.869999999999997</v>
      </c>
      <c r="P172" s="94">
        <v>7.7065697359999996</v>
      </c>
      <c r="Q172" s="81">
        <f t="shared" si="6"/>
        <v>4.913989141381073</v>
      </c>
      <c r="R172" s="81">
        <f t="shared" si="7"/>
        <v>6818159933.6662388</v>
      </c>
      <c r="S172" s="81">
        <v>5</v>
      </c>
      <c r="T172" s="81">
        <f t="shared" si="8"/>
        <v>1363631986.7332478</v>
      </c>
      <c r="U172" s="81">
        <f>AVERAGE(T170:T172)</f>
        <v>1367726977.6843987</v>
      </c>
      <c r="V172" s="81">
        <f>_xlfn.STDEV.S(T170:T172)</f>
        <v>7092732.3839281518</v>
      </c>
      <c r="W172" s="81">
        <f>MAX(K170:K172)-MIN(K170:K172)</f>
        <v>1.9999999999999574E-2</v>
      </c>
    </row>
    <row r="173" spans="1:23" x14ac:dyDescent="0.4">
      <c r="A173" s="85" t="s">
        <v>351</v>
      </c>
      <c r="B173" s="109" t="s">
        <v>128</v>
      </c>
      <c r="C173" s="129" t="s">
        <v>6</v>
      </c>
      <c r="D173" s="129" t="s">
        <v>485</v>
      </c>
      <c r="E173" s="129" t="s">
        <v>485</v>
      </c>
      <c r="F173" s="129" t="s">
        <v>484</v>
      </c>
      <c r="G173" s="129" t="s">
        <v>485</v>
      </c>
      <c r="H173" s="129" t="s">
        <v>485</v>
      </c>
      <c r="I173" s="112">
        <v>5.8</v>
      </c>
      <c r="J173" s="77" t="s">
        <v>133</v>
      </c>
      <c r="K173" s="84">
        <v>10.49</v>
      </c>
      <c r="L173" s="86">
        <v>6970000</v>
      </c>
      <c r="M173" s="80">
        <v>0.4</v>
      </c>
      <c r="N173" s="81">
        <v>50</v>
      </c>
      <c r="O173">
        <v>33.76</v>
      </c>
      <c r="P173" s="94">
        <v>6.602282143</v>
      </c>
      <c r="Q173" s="81">
        <f t="shared" si="6"/>
        <v>5.113383413308636</v>
      </c>
      <c r="R173" s="81">
        <f t="shared" si="7"/>
        <v>4455035298.845149</v>
      </c>
      <c r="S173" s="81">
        <v>5</v>
      </c>
      <c r="T173" s="81">
        <f t="shared" si="8"/>
        <v>891007059.76902986</v>
      </c>
      <c r="U173" s="81"/>
      <c r="V173" s="84"/>
      <c r="W173" s="84"/>
    </row>
    <row r="174" spans="1:23" x14ac:dyDescent="0.4">
      <c r="A174" s="85" t="s">
        <v>352</v>
      </c>
      <c r="B174" s="109" t="s">
        <v>128</v>
      </c>
      <c r="C174" s="129" t="s">
        <v>6</v>
      </c>
      <c r="D174" s="129" t="s">
        <v>485</v>
      </c>
      <c r="E174" s="129" t="s">
        <v>485</v>
      </c>
      <c r="F174" s="129" t="s">
        <v>484</v>
      </c>
      <c r="G174" s="129" t="s">
        <v>485</v>
      </c>
      <c r="H174" s="129" t="s">
        <v>485</v>
      </c>
      <c r="I174" s="112">
        <v>5.8</v>
      </c>
      <c r="J174" s="77" t="s">
        <v>133</v>
      </c>
      <c r="K174" s="84">
        <v>10.67</v>
      </c>
      <c r="L174" s="86">
        <v>6200000</v>
      </c>
      <c r="M174" s="80">
        <v>0.4</v>
      </c>
      <c r="N174" s="81">
        <v>50</v>
      </c>
      <c r="O174">
        <v>33.76</v>
      </c>
      <c r="P174" s="94">
        <v>6.602282143</v>
      </c>
      <c r="Q174" s="81">
        <f t="shared" si="6"/>
        <v>5.113383413308636</v>
      </c>
      <c r="R174" s="81">
        <f t="shared" si="7"/>
        <v>3962872145.3141928</v>
      </c>
      <c r="S174" s="81">
        <v>5</v>
      </c>
      <c r="T174" s="81">
        <f t="shared" si="8"/>
        <v>792574429.06283855</v>
      </c>
      <c r="U174" s="81"/>
      <c r="V174" s="84"/>
      <c r="W174" s="84"/>
    </row>
    <row r="175" spans="1:23" x14ac:dyDescent="0.4">
      <c r="A175" s="85" t="s">
        <v>353</v>
      </c>
      <c r="B175" s="109" t="s">
        <v>128</v>
      </c>
      <c r="C175" s="129" t="s">
        <v>6</v>
      </c>
      <c r="D175" s="129" t="s">
        <v>485</v>
      </c>
      <c r="E175" s="129" t="s">
        <v>485</v>
      </c>
      <c r="F175" s="129" t="s">
        <v>484</v>
      </c>
      <c r="G175" s="129" t="s">
        <v>485</v>
      </c>
      <c r="H175" s="129" t="s">
        <v>485</v>
      </c>
      <c r="I175" s="112">
        <v>5.8</v>
      </c>
      <c r="J175" s="77" t="s">
        <v>133</v>
      </c>
      <c r="K175" s="84">
        <v>10.61</v>
      </c>
      <c r="L175" s="86">
        <v>6460000</v>
      </c>
      <c r="M175" s="80">
        <v>0.4</v>
      </c>
      <c r="N175" s="81">
        <v>50</v>
      </c>
      <c r="O175">
        <v>33.76</v>
      </c>
      <c r="P175" s="94">
        <v>6.602282143</v>
      </c>
      <c r="Q175" s="81">
        <f t="shared" si="6"/>
        <v>5.113383413308636</v>
      </c>
      <c r="R175" s="81">
        <f t="shared" si="7"/>
        <v>4129057106.2467232</v>
      </c>
      <c r="S175" s="81">
        <v>5</v>
      </c>
      <c r="T175" s="81">
        <f t="shared" si="8"/>
        <v>825811421.24934459</v>
      </c>
      <c r="U175" s="81">
        <f>AVERAGE(T173:T175)</f>
        <v>836464303.36040437</v>
      </c>
      <c r="V175" s="81">
        <f>_xlfn.STDEV.S(T173:T175)</f>
        <v>50073532.129154436</v>
      </c>
      <c r="W175" s="81">
        <f>MAX(K173:K175)-MIN(K173:K175)</f>
        <v>0.17999999999999972</v>
      </c>
    </row>
    <row r="176" spans="1:23" x14ac:dyDescent="0.4">
      <c r="A176" s="85" t="s">
        <v>354</v>
      </c>
      <c r="B176" s="109" t="s">
        <v>129</v>
      </c>
      <c r="C176" s="129" t="s">
        <v>7</v>
      </c>
      <c r="D176" s="129" t="s">
        <v>485</v>
      </c>
      <c r="E176" s="129" t="s">
        <v>485</v>
      </c>
      <c r="F176" s="129" t="s">
        <v>485</v>
      </c>
      <c r="G176" s="129" t="s">
        <v>485</v>
      </c>
      <c r="H176" s="129" t="s">
        <v>485</v>
      </c>
      <c r="I176" s="112">
        <v>5.8</v>
      </c>
      <c r="J176" s="77" t="s">
        <v>133</v>
      </c>
      <c r="K176" s="84">
        <v>9.99</v>
      </c>
      <c r="L176" s="86">
        <v>9640000</v>
      </c>
      <c r="M176" s="80">
        <v>0.4</v>
      </c>
      <c r="N176" s="81">
        <v>50</v>
      </c>
      <c r="O176">
        <v>18.75</v>
      </c>
      <c r="P176" s="94">
        <v>7.148379727</v>
      </c>
      <c r="Q176" s="81">
        <f t="shared" si="6"/>
        <v>2.6229720182854521</v>
      </c>
      <c r="R176" s="81">
        <f t="shared" si="7"/>
        <v>3160681282.0339694</v>
      </c>
      <c r="S176" s="81">
        <v>5</v>
      </c>
      <c r="T176" s="81">
        <f t="shared" si="8"/>
        <v>632136256.40679383</v>
      </c>
      <c r="U176" s="81"/>
      <c r="V176" s="84"/>
      <c r="W176" s="84"/>
    </row>
    <row r="177" spans="1:23" x14ac:dyDescent="0.4">
      <c r="A177" s="85" t="s">
        <v>355</v>
      </c>
      <c r="B177" s="109" t="s">
        <v>129</v>
      </c>
      <c r="C177" s="129" t="s">
        <v>7</v>
      </c>
      <c r="D177" s="129" t="s">
        <v>485</v>
      </c>
      <c r="E177" s="129" t="s">
        <v>485</v>
      </c>
      <c r="F177" s="129" t="s">
        <v>485</v>
      </c>
      <c r="G177" s="129" t="s">
        <v>485</v>
      </c>
      <c r="H177" s="129" t="s">
        <v>485</v>
      </c>
      <c r="I177" s="112">
        <v>5.8</v>
      </c>
      <c r="J177" s="77" t="s">
        <v>133</v>
      </c>
      <c r="K177" s="84">
        <v>10.01</v>
      </c>
      <c r="L177" s="86">
        <v>9530000</v>
      </c>
      <c r="M177" s="80">
        <v>0.4</v>
      </c>
      <c r="N177" s="81">
        <v>50</v>
      </c>
      <c r="O177">
        <v>18.75</v>
      </c>
      <c r="P177" s="94">
        <v>7.148379727</v>
      </c>
      <c r="Q177" s="81">
        <f t="shared" si="6"/>
        <v>2.6229720182854521</v>
      </c>
      <c r="R177" s="81">
        <f t="shared" si="7"/>
        <v>3124615416.7825446</v>
      </c>
      <c r="S177" s="81">
        <v>5</v>
      </c>
      <c r="T177" s="81">
        <f t="shared" si="8"/>
        <v>624923083.35650897</v>
      </c>
      <c r="U177" s="81"/>
      <c r="V177" s="84"/>
      <c r="W177" s="84"/>
    </row>
    <row r="178" spans="1:23" x14ac:dyDescent="0.4">
      <c r="A178" s="85" t="s">
        <v>356</v>
      </c>
      <c r="B178" s="109" t="s">
        <v>129</v>
      </c>
      <c r="C178" s="129" t="s">
        <v>7</v>
      </c>
      <c r="D178" s="129" t="s">
        <v>485</v>
      </c>
      <c r="E178" s="129" t="s">
        <v>485</v>
      </c>
      <c r="F178" s="129" t="s">
        <v>485</v>
      </c>
      <c r="G178" s="129" t="s">
        <v>485</v>
      </c>
      <c r="H178" s="129" t="s">
        <v>485</v>
      </c>
      <c r="I178" s="112">
        <v>5.8</v>
      </c>
      <c r="J178" s="77" t="s">
        <v>133</v>
      </c>
      <c r="K178" s="84">
        <v>10.02</v>
      </c>
      <c r="L178" s="86">
        <v>9450000</v>
      </c>
      <c r="M178" s="80">
        <v>0.4</v>
      </c>
      <c r="N178" s="81">
        <v>50</v>
      </c>
      <c r="O178">
        <v>18.75</v>
      </c>
      <c r="P178" s="94">
        <v>7.148379727</v>
      </c>
      <c r="Q178" s="81">
        <f t="shared" si="6"/>
        <v>2.6229720182854521</v>
      </c>
      <c r="R178" s="81">
        <f t="shared" si="7"/>
        <v>3098385696.59969</v>
      </c>
      <c r="S178" s="81">
        <v>5</v>
      </c>
      <c r="T178" s="81">
        <f t="shared" si="8"/>
        <v>619677139.31993794</v>
      </c>
      <c r="U178" s="81">
        <f>AVERAGE(T176:T178)</f>
        <v>625578826.36108029</v>
      </c>
      <c r="V178" s="81">
        <f>_xlfn.STDEV.S(T176:T178)</f>
        <v>6255389.5811555339</v>
      </c>
      <c r="W178" s="81">
        <f>MAX(K176:K178)-MIN(K176:K178)</f>
        <v>2.9999999999999361E-2</v>
      </c>
    </row>
    <row r="179" spans="1:23" x14ac:dyDescent="0.4">
      <c r="A179" s="85" t="s">
        <v>357</v>
      </c>
      <c r="B179" s="109" t="s">
        <v>136</v>
      </c>
      <c r="C179" s="131" t="s">
        <v>480</v>
      </c>
      <c r="D179" s="131"/>
      <c r="E179" s="129"/>
      <c r="F179" s="131"/>
      <c r="G179" s="131"/>
      <c r="H179" s="131"/>
      <c r="I179" s="111" t="s">
        <v>480</v>
      </c>
      <c r="J179" s="77" t="s">
        <v>133</v>
      </c>
      <c r="K179" s="84">
        <v>13.65</v>
      </c>
      <c r="L179" s="86">
        <v>889000</v>
      </c>
      <c r="M179" s="80">
        <v>0.4</v>
      </c>
      <c r="N179" s="81">
        <v>50</v>
      </c>
      <c r="O179">
        <v>52.24</v>
      </c>
      <c r="P179" s="94">
        <v>6.6045898579999998</v>
      </c>
      <c r="Q179" s="81">
        <f t="shared" si="6"/>
        <v>7.909650882669542</v>
      </c>
      <c r="R179" s="81">
        <f t="shared" si="7"/>
        <v>878959954.33665287</v>
      </c>
      <c r="S179" s="81">
        <v>5</v>
      </c>
      <c r="T179" s="81">
        <f t="shared" si="8"/>
        <v>175791990.86733058</v>
      </c>
      <c r="U179" s="81"/>
      <c r="V179" s="84"/>
      <c r="W179" s="84"/>
    </row>
    <row r="180" spans="1:23" x14ac:dyDescent="0.4">
      <c r="A180" s="85" t="s">
        <v>358</v>
      </c>
      <c r="B180" s="109" t="s">
        <v>136</v>
      </c>
      <c r="C180" s="131" t="s">
        <v>480</v>
      </c>
      <c r="D180" s="131"/>
      <c r="E180" s="131"/>
      <c r="F180" s="131"/>
      <c r="G180" s="131"/>
      <c r="H180" s="131"/>
      <c r="I180" s="111" t="s">
        <v>480</v>
      </c>
      <c r="J180" s="77" t="s">
        <v>133</v>
      </c>
      <c r="K180" s="84">
        <v>13.8</v>
      </c>
      <c r="L180" s="86">
        <v>805000</v>
      </c>
      <c r="M180" s="80">
        <v>0.4</v>
      </c>
      <c r="N180" s="81">
        <v>50</v>
      </c>
      <c r="O180">
        <v>52.24</v>
      </c>
      <c r="P180" s="94">
        <v>6.6045898579999998</v>
      </c>
      <c r="Q180" s="81">
        <f t="shared" si="6"/>
        <v>7.909650882669542</v>
      </c>
      <c r="R180" s="81">
        <f t="shared" si="7"/>
        <v>795908620.06862259</v>
      </c>
      <c r="S180" s="81">
        <v>5</v>
      </c>
      <c r="T180" s="81">
        <f t="shared" si="8"/>
        <v>159181724.01372451</v>
      </c>
      <c r="U180" s="81"/>
      <c r="V180" s="84"/>
      <c r="W180" s="84"/>
    </row>
    <row r="181" spans="1:23" x14ac:dyDescent="0.4">
      <c r="A181" s="85" t="s">
        <v>359</v>
      </c>
      <c r="B181" s="109" t="s">
        <v>136</v>
      </c>
      <c r="C181" s="131" t="s">
        <v>480</v>
      </c>
      <c r="D181" s="131"/>
      <c r="E181" s="131"/>
      <c r="F181" s="131"/>
      <c r="G181" s="131"/>
      <c r="H181" s="131"/>
      <c r="I181" s="111" t="s">
        <v>480</v>
      </c>
      <c r="J181" s="77" t="s">
        <v>133</v>
      </c>
      <c r="K181" s="84">
        <v>13.79</v>
      </c>
      <c r="L181" s="86">
        <v>811000</v>
      </c>
      <c r="M181" s="80">
        <v>0.4</v>
      </c>
      <c r="N181" s="81">
        <v>50</v>
      </c>
      <c r="O181">
        <v>52.24</v>
      </c>
      <c r="P181" s="94">
        <v>6.6045898579999998</v>
      </c>
      <c r="Q181" s="81">
        <f t="shared" si="6"/>
        <v>7.909650882669542</v>
      </c>
      <c r="R181" s="81">
        <f t="shared" si="7"/>
        <v>801840858.23062479</v>
      </c>
      <c r="S181" s="81">
        <v>5</v>
      </c>
      <c r="T181" s="81">
        <f t="shared" si="8"/>
        <v>160368171.64612496</v>
      </c>
      <c r="U181" s="81">
        <f>AVERAGE(T179:T181)</f>
        <v>165113962.17572668</v>
      </c>
      <c r="V181" s="81">
        <f>_xlfn.STDEV.S(T179:T181)</f>
        <v>9266452.2364357021</v>
      </c>
      <c r="W181" s="81">
        <f>MAX(K179:K181)-MIN(K179:K181)</f>
        <v>0.15000000000000036</v>
      </c>
    </row>
    <row r="182" spans="1:23" x14ac:dyDescent="0.4">
      <c r="A182" s="85" t="s">
        <v>360</v>
      </c>
      <c r="B182" s="109" t="s">
        <v>136</v>
      </c>
      <c r="C182" s="131" t="s">
        <v>480</v>
      </c>
      <c r="D182" s="131"/>
      <c r="E182" s="131"/>
      <c r="F182" s="131"/>
      <c r="G182" s="131"/>
      <c r="H182" s="131"/>
      <c r="I182" s="111" t="s">
        <v>480</v>
      </c>
      <c r="J182" s="77" t="s">
        <v>133</v>
      </c>
      <c r="K182" s="84">
        <v>14.16</v>
      </c>
      <c r="L182" s="86">
        <v>636000</v>
      </c>
      <c r="M182" s="80">
        <v>0.4</v>
      </c>
      <c r="N182" s="81">
        <v>50</v>
      </c>
      <c r="O182">
        <v>43.38</v>
      </c>
      <c r="P182" s="94">
        <v>5.7012580530000001</v>
      </c>
      <c r="Q182" s="81">
        <f t="shared" si="6"/>
        <v>7.6088469591678036</v>
      </c>
      <c r="R182" s="81">
        <f t="shared" si="7"/>
        <v>604903333.25384033</v>
      </c>
      <c r="S182" s="81">
        <v>5</v>
      </c>
      <c r="T182" s="81">
        <f t="shared" si="8"/>
        <v>120980666.65076807</v>
      </c>
      <c r="U182" s="81"/>
      <c r="V182" s="84"/>
      <c r="W182" s="84"/>
    </row>
    <row r="183" spans="1:23" x14ac:dyDescent="0.4">
      <c r="A183" s="85" t="s">
        <v>361</v>
      </c>
      <c r="B183" s="109" t="s">
        <v>136</v>
      </c>
      <c r="C183" s="131" t="s">
        <v>480</v>
      </c>
      <c r="D183" s="131"/>
      <c r="E183" s="131"/>
      <c r="F183" s="131"/>
      <c r="G183" s="131"/>
      <c r="H183" s="131"/>
      <c r="I183" s="111" t="s">
        <v>480</v>
      </c>
      <c r="J183" s="77" t="s">
        <v>133</v>
      </c>
      <c r="K183" s="84">
        <v>14.26</v>
      </c>
      <c r="L183" s="86">
        <v>597000</v>
      </c>
      <c r="M183" s="80">
        <v>0.4</v>
      </c>
      <c r="N183" s="81">
        <v>50</v>
      </c>
      <c r="O183">
        <v>43.38</v>
      </c>
      <c r="P183" s="94">
        <v>5.7012580530000001</v>
      </c>
      <c r="Q183" s="81">
        <f t="shared" si="6"/>
        <v>7.6088469591678036</v>
      </c>
      <c r="R183" s="81">
        <f t="shared" si="7"/>
        <v>567810204.32789731</v>
      </c>
      <c r="S183" s="81">
        <v>5</v>
      </c>
      <c r="T183" s="81">
        <f t="shared" si="8"/>
        <v>113562040.86557946</v>
      </c>
      <c r="U183" s="81"/>
      <c r="V183" s="84"/>
      <c r="W183" s="84"/>
    </row>
    <row r="184" spans="1:23" x14ac:dyDescent="0.4">
      <c r="A184" s="85" t="s">
        <v>362</v>
      </c>
      <c r="B184" s="109" t="s">
        <v>136</v>
      </c>
      <c r="C184" s="131" t="s">
        <v>480</v>
      </c>
      <c r="D184" s="131"/>
      <c r="E184" s="131"/>
      <c r="F184" s="131"/>
      <c r="G184" s="131"/>
      <c r="H184" s="131"/>
      <c r="I184" s="111" t="s">
        <v>480</v>
      </c>
      <c r="J184" s="77" t="s">
        <v>133</v>
      </c>
      <c r="K184" s="84">
        <v>14.04</v>
      </c>
      <c r="L184" s="86">
        <v>690000</v>
      </c>
      <c r="M184" s="80">
        <v>0.4</v>
      </c>
      <c r="N184" s="81">
        <v>50</v>
      </c>
      <c r="O184">
        <v>43.38</v>
      </c>
      <c r="P184" s="94">
        <v>5.7012580530000001</v>
      </c>
      <c r="Q184" s="81">
        <f t="shared" si="6"/>
        <v>7.6088469591678036</v>
      </c>
      <c r="R184" s="81">
        <f t="shared" si="7"/>
        <v>656263050.22822297</v>
      </c>
      <c r="S184" s="81">
        <v>5</v>
      </c>
      <c r="T184" s="81">
        <f t="shared" si="8"/>
        <v>131252610.0456446</v>
      </c>
      <c r="U184" s="81">
        <f>AVERAGE(T182:T184)</f>
        <v>121931772.52066404</v>
      </c>
      <c r="V184" s="81">
        <f>_xlfn.STDEV.S(T182:T184)</f>
        <v>8883552.8512234669</v>
      </c>
      <c r="W184" s="81">
        <f>MAX(K182:K184)-MIN(K182:K184)</f>
        <v>0.22000000000000064</v>
      </c>
    </row>
    <row r="185" spans="1:23" x14ac:dyDescent="0.4">
      <c r="A185" s="85" t="s">
        <v>363</v>
      </c>
      <c r="B185" s="109" t="s">
        <v>137</v>
      </c>
      <c r="C185" s="131" t="s">
        <v>182</v>
      </c>
      <c r="D185" s="131"/>
      <c r="E185" s="131"/>
      <c r="F185" s="131"/>
      <c r="G185" s="131"/>
      <c r="H185" s="131"/>
      <c r="I185" s="112"/>
      <c r="J185" s="77"/>
      <c r="K185" s="84">
        <v>27.8</v>
      </c>
      <c r="L185" s="86">
        <v>87.4</v>
      </c>
      <c r="M185" s="80">
        <v>0.4</v>
      </c>
      <c r="N185" s="81">
        <v>50</v>
      </c>
      <c r="O185">
        <v>-0.88</v>
      </c>
      <c r="P185" s="94">
        <v>-0.25910722800000002</v>
      </c>
      <c r="Q185" s="81">
        <f t="shared" si="6"/>
        <v>3.3962773126498806</v>
      </c>
      <c r="R185" s="81">
        <f t="shared" si="7"/>
        <v>37104.329640699943</v>
      </c>
      <c r="S185" s="81">
        <v>5</v>
      </c>
      <c r="T185" s="81">
        <f t="shared" si="8"/>
        <v>7420.8659281399887</v>
      </c>
      <c r="U185" s="81"/>
      <c r="V185" s="84"/>
      <c r="W185" s="84"/>
    </row>
    <row r="186" spans="1:23" x14ac:dyDescent="0.4">
      <c r="A186" s="85" t="s">
        <v>364</v>
      </c>
      <c r="B186" s="109" t="s">
        <v>137</v>
      </c>
      <c r="C186" s="131" t="s">
        <v>182</v>
      </c>
      <c r="D186" s="131"/>
      <c r="E186" s="131"/>
      <c r="F186" s="131"/>
      <c r="G186" s="131"/>
      <c r="H186" s="131"/>
      <c r="I186" s="112"/>
      <c r="J186" s="77"/>
      <c r="K186" s="84">
        <v>28.01</v>
      </c>
      <c r="L186" s="86">
        <v>75.900000000000006</v>
      </c>
      <c r="M186" s="80">
        <v>0.4</v>
      </c>
      <c r="N186" s="81">
        <v>50</v>
      </c>
      <c r="O186">
        <v>-0.88</v>
      </c>
      <c r="P186" s="94">
        <v>-0.25910722800000002</v>
      </c>
      <c r="Q186" s="81">
        <f t="shared" si="6"/>
        <v>3.3962773126498806</v>
      </c>
      <c r="R186" s="81">
        <f t="shared" si="7"/>
        <v>32222.181003765745</v>
      </c>
      <c r="S186" s="81">
        <v>5</v>
      </c>
      <c r="T186" s="81">
        <f t="shared" si="8"/>
        <v>6444.436200753149</v>
      </c>
      <c r="U186" s="81"/>
      <c r="V186" s="84"/>
      <c r="W186" s="84"/>
    </row>
    <row r="187" spans="1:23" x14ac:dyDescent="0.4">
      <c r="A187" s="85" t="s">
        <v>365</v>
      </c>
      <c r="B187" s="109" t="s">
        <v>137</v>
      </c>
      <c r="C187" s="131" t="s">
        <v>182</v>
      </c>
      <c r="D187" s="131"/>
      <c r="E187" s="131"/>
      <c r="F187" s="131"/>
      <c r="G187" s="131"/>
      <c r="H187" s="131"/>
      <c r="I187" s="112"/>
      <c r="J187" s="77"/>
      <c r="K187" s="84">
        <v>27.99</v>
      </c>
      <c r="L187" s="86">
        <v>77</v>
      </c>
      <c r="M187" s="80">
        <v>0.4</v>
      </c>
      <c r="N187" s="81">
        <v>50</v>
      </c>
      <c r="O187">
        <v>-0.88</v>
      </c>
      <c r="P187" s="94">
        <v>-0.25910722800000002</v>
      </c>
      <c r="Q187" s="81">
        <f t="shared" si="6"/>
        <v>3.3962773126498806</v>
      </c>
      <c r="R187" s="81">
        <f t="shared" si="7"/>
        <v>32689.169134255102</v>
      </c>
      <c r="S187" s="81">
        <v>5</v>
      </c>
      <c r="T187" s="81">
        <f t="shared" si="8"/>
        <v>6537.8338268510206</v>
      </c>
      <c r="U187" s="81">
        <f>AVERAGE(T185:T187)</f>
        <v>6801.0453185813858</v>
      </c>
      <c r="V187" s="81">
        <f>_xlfn.STDEV.S(T185:T187)</f>
        <v>538.807915833999</v>
      </c>
      <c r="W187" s="81">
        <f>MAX(K185:K187)-MIN(K185:K187)</f>
        <v>0.21000000000000085</v>
      </c>
    </row>
    <row r="188" spans="1:23" x14ac:dyDescent="0.4">
      <c r="A188" s="85" t="s">
        <v>366</v>
      </c>
      <c r="B188" s="109" t="s">
        <v>137</v>
      </c>
      <c r="C188" s="131" t="s">
        <v>182</v>
      </c>
      <c r="D188" s="131"/>
      <c r="E188" s="131"/>
      <c r="F188" s="131"/>
      <c r="G188" s="131"/>
      <c r="H188" s="131"/>
      <c r="I188" s="112"/>
      <c r="J188" s="77"/>
      <c r="K188" s="84">
        <v>28.23</v>
      </c>
      <c r="L188" s="86">
        <v>66.099999999999994</v>
      </c>
      <c r="M188" s="80">
        <v>0.4</v>
      </c>
      <c r="N188" s="81">
        <v>50</v>
      </c>
      <c r="O188">
        <v>-0.92</v>
      </c>
      <c r="P188" s="94">
        <v>-0.25523026700000001</v>
      </c>
      <c r="Q188" s="81">
        <f t="shared" si="6"/>
        <v>3.604588165869842</v>
      </c>
      <c r="R188" s="81">
        <f t="shared" si="7"/>
        <v>29782.909720499563</v>
      </c>
      <c r="S188" s="81">
        <v>5</v>
      </c>
      <c r="T188" s="81">
        <f t="shared" si="8"/>
        <v>5956.581944099913</v>
      </c>
      <c r="U188" s="81"/>
      <c r="V188" s="84"/>
      <c r="W188" s="84"/>
    </row>
    <row r="189" spans="1:23" x14ac:dyDescent="0.4">
      <c r="A189" s="85" t="s">
        <v>367</v>
      </c>
      <c r="B189" s="109" t="s">
        <v>137</v>
      </c>
      <c r="C189" s="131" t="s">
        <v>182</v>
      </c>
      <c r="D189" s="131"/>
      <c r="E189" s="131"/>
      <c r="F189" s="131"/>
      <c r="G189" s="131"/>
      <c r="H189" s="131"/>
      <c r="I189" s="112"/>
      <c r="J189" s="77"/>
      <c r="K189" s="84">
        <v>28.49</v>
      </c>
      <c r="L189" s="86">
        <v>55.6</v>
      </c>
      <c r="M189" s="80">
        <v>0.4</v>
      </c>
      <c r="N189" s="81">
        <v>50</v>
      </c>
      <c r="O189">
        <v>-0.92</v>
      </c>
      <c r="P189" s="94">
        <v>-0.25523026700000001</v>
      </c>
      <c r="Q189" s="81">
        <f t="shared" si="6"/>
        <v>3.604588165869842</v>
      </c>
      <c r="R189" s="81">
        <f t="shared" si="7"/>
        <v>25051.887752795399</v>
      </c>
      <c r="S189" s="81">
        <v>5</v>
      </c>
      <c r="T189" s="81">
        <f t="shared" si="8"/>
        <v>5010.3775505590802</v>
      </c>
      <c r="U189" s="81"/>
      <c r="V189" s="84"/>
      <c r="W189" s="84"/>
    </row>
    <row r="190" spans="1:23" x14ac:dyDescent="0.4">
      <c r="A190" s="85" t="s">
        <v>368</v>
      </c>
      <c r="B190" s="109" t="s">
        <v>137</v>
      </c>
      <c r="C190" s="131" t="s">
        <v>182</v>
      </c>
      <c r="D190" s="131"/>
      <c r="E190" s="131"/>
      <c r="F190" s="131"/>
      <c r="G190" s="131"/>
      <c r="H190" s="131"/>
      <c r="I190" s="112"/>
      <c r="J190" s="77"/>
      <c r="K190" s="84">
        <v>28.24</v>
      </c>
      <c r="L190" s="86">
        <v>65.599999999999994</v>
      </c>
      <c r="M190" s="80">
        <v>0.4</v>
      </c>
      <c r="N190" s="81">
        <v>50</v>
      </c>
      <c r="O190">
        <v>-0.92</v>
      </c>
      <c r="P190" s="94">
        <v>-0.25523026700000001</v>
      </c>
      <c r="Q190" s="81">
        <f t="shared" si="6"/>
        <v>3.604588165869842</v>
      </c>
      <c r="R190" s="81">
        <f t="shared" si="7"/>
        <v>29557.622960132696</v>
      </c>
      <c r="S190" s="81">
        <v>5</v>
      </c>
      <c r="T190" s="81">
        <f t="shared" si="8"/>
        <v>5911.5245920265388</v>
      </c>
      <c r="U190" s="81">
        <f>AVERAGE(T188:T190)</f>
        <v>5626.1613622285104</v>
      </c>
      <c r="V190" s="81">
        <f>_xlfn.STDEV.S(T188:T190)</f>
        <v>533.76007557662592</v>
      </c>
      <c r="W190" s="81">
        <f>MAX(K188:K190)-MIN(K188:K190)</f>
        <v>0.25999999999999801</v>
      </c>
    </row>
    <row r="191" spans="1:23" x14ac:dyDescent="0.4">
      <c r="A191" s="85" t="s">
        <v>369</v>
      </c>
      <c r="B191" s="109" t="s">
        <v>145</v>
      </c>
      <c r="C191" s="131" t="s">
        <v>185</v>
      </c>
      <c r="D191" s="131"/>
      <c r="E191" s="131"/>
      <c r="F191" s="131"/>
      <c r="G191" s="131"/>
      <c r="H191" s="131"/>
      <c r="I191" s="112"/>
      <c r="J191" s="77"/>
      <c r="K191" s="84">
        <v>32.19</v>
      </c>
      <c r="L191" s="86">
        <v>4.99</v>
      </c>
      <c r="M191" s="80"/>
      <c r="N191" s="81"/>
      <c r="O191" s="84"/>
      <c r="P191" s="84"/>
      <c r="Q191" s="81" t="e">
        <f t="shared" si="6"/>
        <v>#DIV/0!</v>
      </c>
      <c r="R191" s="81" t="e">
        <f t="shared" si="7"/>
        <v>#DIV/0!</v>
      </c>
      <c r="S191" s="81">
        <v>5</v>
      </c>
      <c r="T191" s="81" t="e">
        <f t="shared" si="8"/>
        <v>#DIV/0!</v>
      </c>
      <c r="U191" s="81"/>
      <c r="V191" s="84"/>
      <c r="W191" s="84"/>
    </row>
    <row r="192" spans="1:23" x14ac:dyDescent="0.4">
      <c r="A192" s="85" t="s">
        <v>370</v>
      </c>
      <c r="B192" s="109" t="s">
        <v>145</v>
      </c>
      <c r="C192" s="131" t="s">
        <v>185</v>
      </c>
      <c r="D192" s="131"/>
      <c r="E192" s="131"/>
      <c r="F192" s="131"/>
      <c r="G192" s="131"/>
      <c r="H192" s="131"/>
      <c r="I192" s="112"/>
      <c r="J192" s="77"/>
      <c r="K192" s="84">
        <v>35</v>
      </c>
      <c r="L192" s="86">
        <v>0.79600000000000004</v>
      </c>
      <c r="M192" s="80"/>
      <c r="N192" s="81"/>
      <c r="O192" s="84"/>
      <c r="P192" s="84"/>
      <c r="Q192" s="81" t="e">
        <f t="shared" si="6"/>
        <v>#DIV/0!</v>
      </c>
      <c r="R192" s="81" t="e">
        <f t="shared" si="7"/>
        <v>#DIV/0!</v>
      </c>
      <c r="S192" s="81">
        <v>5</v>
      </c>
      <c r="T192" s="81" t="e">
        <f t="shared" si="8"/>
        <v>#DIV/0!</v>
      </c>
      <c r="U192" s="81"/>
      <c r="V192" s="84"/>
      <c r="W192" s="84"/>
    </row>
    <row r="193" spans="1:23" x14ac:dyDescent="0.4">
      <c r="A193" s="85" t="s">
        <v>371</v>
      </c>
      <c r="B193" s="109" t="s">
        <v>145</v>
      </c>
      <c r="C193" s="131" t="s">
        <v>185</v>
      </c>
      <c r="D193" s="131"/>
      <c r="E193" s="131"/>
      <c r="F193" s="131"/>
      <c r="G193" s="131"/>
      <c r="H193" s="131"/>
      <c r="I193" s="112"/>
      <c r="J193" s="77"/>
      <c r="K193" s="84">
        <v>35</v>
      </c>
      <c r="L193" s="86">
        <v>0.79600000000000004</v>
      </c>
      <c r="M193" s="80"/>
      <c r="N193" s="81"/>
      <c r="O193" s="84"/>
      <c r="P193" s="84"/>
      <c r="Q193" s="81" t="e">
        <f t="shared" si="6"/>
        <v>#DIV/0!</v>
      </c>
      <c r="R193" s="81" t="e">
        <f t="shared" si="7"/>
        <v>#DIV/0!</v>
      </c>
      <c r="S193" s="81">
        <v>5</v>
      </c>
      <c r="T193" s="81" t="e">
        <f t="shared" si="8"/>
        <v>#DIV/0!</v>
      </c>
      <c r="U193" s="81" t="e">
        <f>AVERAGE(T191:T193)</f>
        <v>#DIV/0!</v>
      </c>
      <c r="V193" s="81" t="e">
        <f>_xlfn.STDEV.S(T191:T193)</f>
        <v>#DIV/0!</v>
      </c>
      <c r="W193" s="81">
        <f>MAX(K191:K193)-MIN(K191:K193)</f>
        <v>2.8100000000000023</v>
      </c>
    </row>
    <row r="194" spans="1:23" x14ac:dyDescent="0.4">
      <c r="A194" s="85" t="s">
        <v>372</v>
      </c>
      <c r="B194" s="109" t="s">
        <v>146</v>
      </c>
      <c r="C194" s="131" t="s">
        <v>177</v>
      </c>
      <c r="D194" s="131"/>
      <c r="E194" s="131"/>
      <c r="F194" s="131"/>
      <c r="G194" s="131"/>
      <c r="H194" s="131"/>
      <c r="I194" s="112"/>
      <c r="J194" s="77"/>
      <c r="K194" s="84">
        <v>26.78</v>
      </c>
      <c r="L194" s="86">
        <v>170</v>
      </c>
      <c r="M194" s="80"/>
      <c r="N194" s="81"/>
      <c r="O194" s="84"/>
      <c r="P194" s="84"/>
      <c r="Q194" s="81" t="e">
        <f t="shared" si="6"/>
        <v>#DIV/0!</v>
      </c>
      <c r="R194" s="81" t="e">
        <f t="shared" si="7"/>
        <v>#DIV/0!</v>
      </c>
      <c r="S194" s="81">
        <v>5</v>
      </c>
      <c r="T194" s="81" t="e">
        <f t="shared" si="8"/>
        <v>#DIV/0!</v>
      </c>
      <c r="U194" s="81"/>
      <c r="V194" s="84"/>
      <c r="W194" s="84"/>
    </row>
    <row r="195" spans="1:23" x14ac:dyDescent="0.4">
      <c r="A195" s="85" t="s">
        <v>373</v>
      </c>
      <c r="B195" s="109" t="s">
        <v>146</v>
      </c>
      <c r="C195" s="131" t="s">
        <v>177</v>
      </c>
      <c r="D195" s="131"/>
      <c r="E195" s="131"/>
      <c r="F195" s="131"/>
      <c r="G195" s="131"/>
      <c r="H195" s="131"/>
      <c r="I195" s="112"/>
      <c r="J195" s="77"/>
      <c r="K195" s="84">
        <v>27.06</v>
      </c>
      <c r="L195" s="86">
        <v>142</v>
      </c>
      <c r="M195" s="80"/>
      <c r="N195" s="81"/>
      <c r="O195" s="84"/>
      <c r="P195" s="84"/>
      <c r="Q195" s="81" t="e">
        <f t="shared" si="6"/>
        <v>#DIV/0!</v>
      </c>
      <c r="R195" s="81" t="e">
        <f t="shared" si="7"/>
        <v>#DIV/0!</v>
      </c>
      <c r="S195" s="81">
        <v>5</v>
      </c>
      <c r="T195" s="81" t="e">
        <f t="shared" si="8"/>
        <v>#DIV/0!</v>
      </c>
      <c r="U195" s="81"/>
      <c r="V195" s="84"/>
      <c r="W195" s="84"/>
    </row>
    <row r="196" spans="1:23" x14ac:dyDescent="0.4">
      <c r="A196" s="85" t="s">
        <v>374</v>
      </c>
      <c r="B196" s="109" t="s">
        <v>146</v>
      </c>
      <c r="C196" s="131" t="s">
        <v>177</v>
      </c>
      <c r="D196" s="131"/>
      <c r="E196" s="131"/>
      <c r="F196" s="131"/>
      <c r="G196" s="131"/>
      <c r="H196" s="131"/>
      <c r="I196" s="112"/>
      <c r="J196" s="77"/>
      <c r="K196" s="84">
        <v>26.58</v>
      </c>
      <c r="L196" s="86">
        <v>194</v>
      </c>
      <c r="M196" s="80"/>
      <c r="N196" s="81"/>
      <c r="O196" s="84"/>
      <c r="P196" s="84"/>
      <c r="Q196" s="81" t="e">
        <f t="shared" si="6"/>
        <v>#DIV/0!</v>
      </c>
      <c r="R196" s="81" t="e">
        <f t="shared" si="7"/>
        <v>#DIV/0!</v>
      </c>
      <c r="S196" s="81">
        <v>5</v>
      </c>
      <c r="T196" s="81" t="e">
        <f t="shared" si="8"/>
        <v>#DIV/0!</v>
      </c>
      <c r="U196" s="81" t="e">
        <f>AVERAGE(T194:T196)</f>
        <v>#DIV/0!</v>
      </c>
      <c r="V196" s="81" t="e">
        <f>_xlfn.STDEV.S(T194:T196)</f>
        <v>#DIV/0!</v>
      </c>
      <c r="W196" s="81">
        <f>MAX(K194:K196)-MIN(K194:K196)</f>
        <v>0.48000000000000043</v>
      </c>
    </row>
    <row r="197" spans="1:23" x14ac:dyDescent="0.4">
      <c r="A197" s="85" t="s">
        <v>375</v>
      </c>
      <c r="B197" s="109" t="s">
        <v>174</v>
      </c>
      <c r="C197" s="133"/>
      <c r="D197" s="133"/>
      <c r="E197" s="133"/>
      <c r="F197" s="133"/>
      <c r="G197" s="133"/>
      <c r="H197" s="133"/>
      <c r="I197" s="112"/>
      <c r="J197" s="77"/>
      <c r="K197" s="84"/>
      <c r="L197" s="84"/>
      <c r="M197" s="80"/>
      <c r="N197" s="84"/>
      <c r="O197" s="84"/>
      <c r="P197" s="84"/>
      <c r="Q197" s="81" t="e">
        <f t="shared" si="6"/>
        <v>#DIV/0!</v>
      </c>
      <c r="R197" s="81" t="e">
        <f t="shared" si="7"/>
        <v>#DIV/0!</v>
      </c>
      <c r="S197" s="81">
        <v>5</v>
      </c>
      <c r="T197" s="81" t="e">
        <f t="shared" si="8"/>
        <v>#DIV/0!</v>
      </c>
      <c r="U197" s="81"/>
      <c r="V197" s="84"/>
      <c r="W197" s="84"/>
    </row>
    <row r="198" spans="1:23" x14ac:dyDescent="0.4">
      <c r="A198" s="85" t="s">
        <v>376</v>
      </c>
      <c r="B198" s="109" t="s">
        <v>174</v>
      </c>
      <c r="C198" s="133"/>
      <c r="D198" s="133"/>
      <c r="E198" s="133"/>
      <c r="F198" s="133"/>
      <c r="G198" s="133"/>
      <c r="H198" s="133"/>
      <c r="I198" s="112"/>
      <c r="J198" s="77"/>
      <c r="K198" s="84"/>
      <c r="L198" s="84"/>
      <c r="M198" s="80"/>
      <c r="N198" s="84"/>
      <c r="O198" s="84"/>
      <c r="P198" s="84"/>
      <c r="Q198" s="81" t="e">
        <f t="shared" si="6"/>
        <v>#DIV/0!</v>
      </c>
      <c r="R198" s="81" t="e">
        <f t="shared" si="7"/>
        <v>#DIV/0!</v>
      </c>
      <c r="S198" s="81">
        <v>5</v>
      </c>
      <c r="T198" s="81" t="e">
        <f t="shared" si="8"/>
        <v>#DIV/0!</v>
      </c>
      <c r="U198" s="81"/>
      <c r="V198" s="84"/>
      <c r="W198" s="84"/>
    </row>
    <row r="199" spans="1:23" x14ac:dyDescent="0.4">
      <c r="A199" s="85" t="s">
        <v>377</v>
      </c>
      <c r="B199" s="109" t="s">
        <v>174</v>
      </c>
      <c r="C199" s="133"/>
      <c r="D199" s="133"/>
      <c r="E199" s="133"/>
      <c r="F199" s="133"/>
      <c r="G199" s="133"/>
      <c r="H199" s="133"/>
      <c r="I199" s="112"/>
      <c r="J199" s="77"/>
      <c r="K199" s="84"/>
      <c r="L199" s="84"/>
      <c r="M199" s="80"/>
      <c r="N199" s="84"/>
      <c r="O199" s="84"/>
      <c r="P199" s="84"/>
      <c r="Q199" s="81" t="e">
        <f t="shared" si="6"/>
        <v>#DIV/0!</v>
      </c>
      <c r="R199" s="81" t="e">
        <f t="shared" si="7"/>
        <v>#DIV/0!</v>
      </c>
      <c r="S199" s="81">
        <v>5</v>
      </c>
      <c r="T199" s="81" t="e">
        <f t="shared" si="8"/>
        <v>#DIV/0!</v>
      </c>
      <c r="U199" s="81" t="e">
        <f>AVERAGE(T197:T199)</f>
        <v>#DIV/0!</v>
      </c>
      <c r="V199" s="81" t="e">
        <f>_xlfn.STDEV.S(T197:T199)</f>
        <v>#DIV/0!</v>
      </c>
      <c r="W199" s="81">
        <f>MAX(K197:K199)-MIN(K197:K199)</f>
        <v>0</v>
      </c>
    </row>
    <row r="200" spans="1:23" x14ac:dyDescent="0.4">
      <c r="A200" s="85" t="s">
        <v>378</v>
      </c>
      <c r="B200" s="109" t="s">
        <v>174</v>
      </c>
      <c r="C200" s="133"/>
      <c r="D200" s="133"/>
      <c r="E200" s="133"/>
      <c r="F200" s="133"/>
      <c r="G200" s="133"/>
      <c r="H200" s="133"/>
      <c r="I200" s="112"/>
      <c r="J200" s="77"/>
      <c r="K200" s="84"/>
      <c r="L200" s="84"/>
      <c r="M200" s="80"/>
      <c r="N200" s="84"/>
      <c r="O200" s="84"/>
      <c r="P200" s="84"/>
      <c r="Q200" s="81" t="e">
        <f t="shared" si="6"/>
        <v>#DIV/0!</v>
      </c>
      <c r="R200" s="81" t="e">
        <f t="shared" si="7"/>
        <v>#DIV/0!</v>
      </c>
      <c r="S200" s="81">
        <v>5</v>
      </c>
      <c r="T200" s="81" t="e">
        <f t="shared" si="8"/>
        <v>#DIV/0!</v>
      </c>
      <c r="U200" s="81"/>
      <c r="V200" s="84"/>
      <c r="W200" s="84"/>
    </row>
    <row r="201" spans="1:23" x14ac:dyDescent="0.4">
      <c r="A201" s="85" t="s">
        <v>379</v>
      </c>
      <c r="B201" s="109" t="s">
        <v>174</v>
      </c>
      <c r="C201" s="133"/>
      <c r="D201" s="133"/>
      <c r="E201" s="133"/>
      <c r="F201" s="133"/>
      <c r="G201" s="133"/>
      <c r="H201" s="133"/>
      <c r="I201" s="112"/>
      <c r="J201" s="77"/>
      <c r="K201" s="84"/>
      <c r="L201" s="84"/>
      <c r="M201" s="80"/>
      <c r="N201" s="84"/>
      <c r="O201" s="84"/>
      <c r="P201" s="84"/>
      <c r="Q201" s="81" t="e">
        <f t="shared" si="6"/>
        <v>#DIV/0!</v>
      </c>
      <c r="R201" s="81" t="e">
        <f t="shared" si="7"/>
        <v>#DIV/0!</v>
      </c>
      <c r="S201" s="81">
        <v>5</v>
      </c>
      <c r="T201" s="81" t="e">
        <f t="shared" si="8"/>
        <v>#DIV/0!</v>
      </c>
      <c r="U201" s="81"/>
      <c r="V201" s="84"/>
      <c r="W201" s="84"/>
    </row>
    <row r="202" spans="1:23" x14ac:dyDescent="0.4">
      <c r="A202" s="85" t="s">
        <v>380</v>
      </c>
      <c r="B202" s="109" t="s">
        <v>174</v>
      </c>
      <c r="C202" s="133"/>
      <c r="D202" s="133"/>
      <c r="E202" s="133"/>
      <c r="F202" s="133"/>
      <c r="G202" s="133"/>
      <c r="H202" s="133"/>
      <c r="I202" s="112"/>
      <c r="J202" s="77"/>
      <c r="K202" s="84"/>
      <c r="L202" s="84"/>
      <c r="M202" s="80"/>
      <c r="N202" s="84"/>
      <c r="O202" s="84"/>
      <c r="P202" s="84"/>
      <c r="Q202" s="81" t="e">
        <f t="shared" si="6"/>
        <v>#DIV/0!</v>
      </c>
      <c r="R202" s="81" t="e">
        <f t="shared" si="7"/>
        <v>#DIV/0!</v>
      </c>
      <c r="S202" s="81">
        <v>5</v>
      </c>
      <c r="T202" s="81" t="e">
        <f t="shared" si="8"/>
        <v>#DIV/0!</v>
      </c>
      <c r="U202" s="81" t="e">
        <f>AVERAGE(T200:T202)</f>
        <v>#DIV/0!</v>
      </c>
      <c r="V202" s="81" t="e">
        <f>_xlfn.STDEV.S(T200:T202)</f>
        <v>#DIV/0!</v>
      </c>
      <c r="W202" s="81">
        <f>MAX(K200:K202)-MIN(K200:K202)</f>
        <v>0</v>
      </c>
    </row>
    <row r="203" spans="1:23" x14ac:dyDescent="0.4">
      <c r="A203" s="76" t="s">
        <v>381</v>
      </c>
      <c r="B203" s="107" t="s">
        <v>79</v>
      </c>
      <c r="C203" s="129" t="s">
        <v>8</v>
      </c>
      <c r="D203" s="129" t="s">
        <v>485</v>
      </c>
      <c r="E203" s="129" t="s">
        <v>484</v>
      </c>
      <c r="F203" s="129" t="s">
        <v>485</v>
      </c>
      <c r="G203" s="129" t="s">
        <v>484</v>
      </c>
      <c r="H203" s="129" t="s">
        <v>484</v>
      </c>
      <c r="I203" s="112">
        <v>4.8</v>
      </c>
      <c r="J203" s="77" t="s">
        <v>81</v>
      </c>
      <c r="K203" s="84">
        <v>19.850000000000001</v>
      </c>
      <c r="L203" s="86">
        <v>15800</v>
      </c>
      <c r="M203" s="80">
        <v>0.4</v>
      </c>
      <c r="N203" s="81">
        <v>50</v>
      </c>
      <c r="O203">
        <v>3.97</v>
      </c>
      <c r="P203" s="94">
        <v>4.2664134210000002</v>
      </c>
      <c r="Q203" s="81">
        <f t="shared" ref="Q203:Q266" si="9">O203/P203</f>
        <v>0.9305239807419966</v>
      </c>
      <c r="R203" s="81">
        <f t="shared" ref="R203:R266" si="10">(L203*N203*Q203)/M203</f>
        <v>1837784.8619654432</v>
      </c>
      <c r="S203" s="81">
        <v>5</v>
      </c>
      <c r="T203" s="81">
        <f t="shared" ref="T203:T266" si="11">R203/S203</f>
        <v>367556.97239308862</v>
      </c>
      <c r="U203" s="81"/>
      <c r="V203" s="81"/>
      <c r="W203" s="81"/>
    </row>
    <row r="204" spans="1:23" x14ac:dyDescent="0.4">
      <c r="A204" s="85" t="s">
        <v>382</v>
      </c>
      <c r="B204" s="108" t="s">
        <v>79</v>
      </c>
      <c r="C204" s="129" t="s">
        <v>8</v>
      </c>
      <c r="D204" s="129" t="s">
        <v>485</v>
      </c>
      <c r="E204" s="129" t="s">
        <v>484</v>
      </c>
      <c r="F204" s="129" t="s">
        <v>485</v>
      </c>
      <c r="G204" s="129" t="s">
        <v>484</v>
      </c>
      <c r="H204" s="129" t="s">
        <v>484</v>
      </c>
      <c r="I204" s="112">
        <v>4.8</v>
      </c>
      <c r="J204" s="77" t="s">
        <v>81</v>
      </c>
      <c r="K204" s="84">
        <v>19.87</v>
      </c>
      <c r="L204" s="86">
        <v>15600</v>
      </c>
      <c r="M204" s="80">
        <v>0.4</v>
      </c>
      <c r="N204" s="81">
        <v>50</v>
      </c>
      <c r="O204">
        <v>3.97</v>
      </c>
      <c r="P204" s="94">
        <v>4.2664134210000002</v>
      </c>
      <c r="Q204" s="81">
        <f t="shared" si="9"/>
        <v>0.9305239807419966</v>
      </c>
      <c r="R204" s="81">
        <f t="shared" si="10"/>
        <v>1814521.7624468931</v>
      </c>
      <c r="S204" s="81">
        <v>5</v>
      </c>
      <c r="T204" s="81">
        <f t="shared" si="11"/>
        <v>362904.35248937865</v>
      </c>
      <c r="U204" s="87"/>
      <c r="V204" s="87"/>
      <c r="W204" s="87"/>
    </row>
    <row r="205" spans="1:23" x14ac:dyDescent="0.4">
      <c r="A205" s="85" t="s">
        <v>383</v>
      </c>
      <c r="B205" s="107" t="s">
        <v>79</v>
      </c>
      <c r="C205" s="129" t="s">
        <v>8</v>
      </c>
      <c r="D205" s="129" t="s">
        <v>485</v>
      </c>
      <c r="E205" s="129" t="s">
        <v>484</v>
      </c>
      <c r="F205" s="129" t="s">
        <v>485</v>
      </c>
      <c r="G205" s="129" t="s">
        <v>484</v>
      </c>
      <c r="H205" s="129" t="s">
        <v>484</v>
      </c>
      <c r="I205" s="112">
        <v>4.8</v>
      </c>
      <c r="J205" s="77" t="s">
        <v>81</v>
      </c>
      <c r="K205" s="84">
        <v>19.809999999999999</v>
      </c>
      <c r="L205" s="86">
        <v>16200</v>
      </c>
      <c r="M205" s="80">
        <v>0.4</v>
      </c>
      <c r="N205" s="81">
        <v>50</v>
      </c>
      <c r="O205">
        <v>3.97</v>
      </c>
      <c r="P205" s="94">
        <v>4.2664134210000002</v>
      </c>
      <c r="Q205" s="81">
        <f t="shared" si="9"/>
        <v>0.9305239807419966</v>
      </c>
      <c r="R205" s="81">
        <f t="shared" si="10"/>
        <v>1884311.061002543</v>
      </c>
      <c r="S205" s="81">
        <v>5</v>
      </c>
      <c r="T205" s="81">
        <f t="shared" si="11"/>
        <v>376862.21220050857</v>
      </c>
      <c r="U205" s="81">
        <f>AVERAGE(T203:T205)</f>
        <v>369107.84569432522</v>
      </c>
      <c r="V205" s="81">
        <f>_xlfn.STDEV.S(T203:T205)</f>
        <v>7106.9942962030327</v>
      </c>
      <c r="W205" s="81">
        <f>MAX(K203:K205)-MIN(K203:K205)</f>
        <v>6.0000000000002274E-2</v>
      </c>
    </row>
    <row r="206" spans="1:23" x14ac:dyDescent="0.4">
      <c r="A206" s="85" t="s">
        <v>384</v>
      </c>
      <c r="B206" s="107" t="s">
        <v>80</v>
      </c>
      <c r="C206" s="129" t="s">
        <v>9</v>
      </c>
      <c r="D206" s="129" t="s">
        <v>485</v>
      </c>
      <c r="E206" s="129" t="s">
        <v>484</v>
      </c>
      <c r="F206" s="129" t="s">
        <v>485</v>
      </c>
      <c r="G206" s="129" t="s">
        <v>485</v>
      </c>
      <c r="H206" s="129" t="s">
        <v>484</v>
      </c>
      <c r="I206" s="112">
        <v>4.8</v>
      </c>
      <c r="J206" s="77" t="s">
        <v>81</v>
      </c>
      <c r="K206" s="84">
        <v>20.45</v>
      </c>
      <c r="L206" s="86">
        <v>10700</v>
      </c>
      <c r="M206" s="80">
        <v>0.4</v>
      </c>
      <c r="N206" s="81">
        <v>50</v>
      </c>
      <c r="O206">
        <v>4.59</v>
      </c>
      <c r="P206" s="94">
        <v>4.3930607979999996</v>
      </c>
      <c r="Q206" s="81">
        <f t="shared" si="9"/>
        <v>1.0448296099361201</v>
      </c>
      <c r="R206" s="81">
        <f t="shared" si="10"/>
        <v>1397459.6032895604</v>
      </c>
      <c r="S206" s="81">
        <v>5</v>
      </c>
      <c r="T206" s="81">
        <f t="shared" si="11"/>
        <v>279491.92065791209</v>
      </c>
      <c r="U206" s="81"/>
      <c r="V206" s="87"/>
      <c r="W206" s="87"/>
    </row>
    <row r="207" spans="1:23" x14ac:dyDescent="0.4">
      <c r="A207" s="85" t="s">
        <v>385</v>
      </c>
      <c r="B207" s="108" t="s">
        <v>80</v>
      </c>
      <c r="C207" s="129" t="s">
        <v>9</v>
      </c>
      <c r="D207" s="129" t="s">
        <v>485</v>
      </c>
      <c r="E207" s="129" t="s">
        <v>484</v>
      </c>
      <c r="F207" s="129" t="s">
        <v>485</v>
      </c>
      <c r="G207" s="129" t="s">
        <v>485</v>
      </c>
      <c r="H207" s="129" t="s">
        <v>484</v>
      </c>
      <c r="I207" s="112">
        <v>4.8</v>
      </c>
      <c r="J207" s="77" t="s">
        <v>81</v>
      </c>
      <c r="K207" s="84">
        <v>20.58</v>
      </c>
      <c r="L207" s="86">
        <v>9830</v>
      </c>
      <c r="M207" s="80">
        <v>0.4</v>
      </c>
      <c r="N207" s="81">
        <v>50</v>
      </c>
      <c r="O207">
        <v>4.59</v>
      </c>
      <c r="P207" s="94">
        <v>4.3930607979999996</v>
      </c>
      <c r="Q207" s="81">
        <f t="shared" si="9"/>
        <v>1.0448296099361201</v>
      </c>
      <c r="R207" s="81">
        <f t="shared" si="10"/>
        <v>1283834.3832090073</v>
      </c>
      <c r="S207" s="81">
        <v>5</v>
      </c>
      <c r="T207" s="81">
        <f t="shared" si="11"/>
        <v>256766.87664180147</v>
      </c>
      <c r="U207" s="81"/>
      <c r="V207" s="81"/>
      <c r="W207" s="81"/>
    </row>
    <row r="208" spans="1:23" x14ac:dyDescent="0.4">
      <c r="A208" s="85" t="s">
        <v>386</v>
      </c>
      <c r="B208" s="107" t="s">
        <v>80</v>
      </c>
      <c r="C208" s="129" t="s">
        <v>9</v>
      </c>
      <c r="D208" s="129" t="s">
        <v>485</v>
      </c>
      <c r="E208" s="129" t="s">
        <v>484</v>
      </c>
      <c r="F208" s="129" t="s">
        <v>485</v>
      </c>
      <c r="G208" s="129" t="s">
        <v>485</v>
      </c>
      <c r="H208" s="129" t="s">
        <v>484</v>
      </c>
      <c r="I208" s="112">
        <v>4.8</v>
      </c>
      <c r="J208" s="77" t="s">
        <v>81</v>
      </c>
      <c r="K208" s="84">
        <v>20.45</v>
      </c>
      <c r="L208" s="86">
        <v>10700</v>
      </c>
      <c r="M208" s="80">
        <v>0.4</v>
      </c>
      <c r="N208" s="81">
        <v>50</v>
      </c>
      <c r="O208">
        <v>4.59</v>
      </c>
      <c r="P208" s="94">
        <v>4.3930607979999996</v>
      </c>
      <c r="Q208" s="81">
        <f t="shared" si="9"/>
        <v>1.0448296099361201</v>
      </c>
      <c r="R208" s="81">
        <f t="shared" si="10"/>
        <v>1397459.6032895604</v>
      </c>
      <c r="S208" s="81">
        <v>5</v>
      </c>
      <c r="T208" s="81">
        <f t="shared" si="11"/>
        <v>279491.92065791209</v>
      </c>
      <c r="U208" s="81">
        <f>AVERAGE(T206:T208)</f>
        <v>271916.90598587523</v>
      </c>
      <c r="V208" s="81">
        <f>_xlfn.STDEV.S(T206:T208)</f>
        <v>13120.310280047563</v>
      </c>
      <c r="W208" s="81">
        <f>MAX(K206:K208)-MIN(K206:K208)</f>
        <v>0.12999999999999901</v>
      </c>
    </row>
    <row r="209" spans="1:23" x14ac:dyDescent="0.4">
      <c r="A209" s="85" t="s">
        <v>387</v>
      </c>
      <c r="B209" s="107" t="s">
        <v>174</v>
      </c>
      <c r="C209" s="131"/>
      <c r="D209" s="131"/>
      <c r="E209" s="131"/>
      <c r="F209" s="131"/>
      <c r="G209" s="131"/>
      <c r="H209" s="131"/>
      <c r="I209" s="112"/>
      <c r="J209" s="77"/>
      <c r="K209" s="84"/>
      <c r="L209" s="84"/>
      <c r="M209" s="80"/>
      <c r="N209" s="81"/>
      <c r="P209" s="94"/>
      <c r="Q209" s="81" t="e">
        <f t="shared" si="9"/>
        <v>#DIV/0!</v>
      </c>
      <c r="R209" s="81" t="e">
        <f t="shared" si="10"/>
        <v>#DIV/0!</v>
      </c>
      <c r="S209" s="81">
        <v>5</v>
      </c>
      <c r="T209" s="81" t="e">
        <f t="shared" si="11"/>
        <v>#DIV/0!</v>
      </c>
      <c r="U209" s="81"/>
      <c r="V209" s="81"/>
      <c r="W209" s="81"/>
    </row>
    <row r="210" spans="1:23" x14ac:dyDescent="0.4">
      <c r="A210" s="85" t="s">
        <v>388</v>
      </c>
      <c r="B210" s="107" t="s">
        <v>174</v>
      </c>
      <c r="C210" s="131"/>
      <c r="D210" s="131"/>
      <c r="E210" s="131"/>
      <c r="F210" s="131"/>
      <c r="G210" s="131"/>
      <c r="H210" s="131"/>
      <c r="I210" s="112"/>
      <c r="J210" s="77"/>
      <c r="K210" s="84"/>
      <c r="L210" s="84"/>
      <c r="M210" s="80"/>
      <c r="N210" s="87"/>
      <c r="P210" s="94"/>
      <c r="Q210" s="81" t="e">
        <f t="shared" si="9"/>
        <v>#DIV/0!</v>
      </c>
      <c r="R210" s="81" t="e">
        <f t="shared" si="10"/>
        <v>#DIV/0!</v>
      </c>
      <c r="S210" s="81">
        <v>5</v>
      </c>
      <c r="T210" s="81" t="e">
        <f t="shared" si="11"/>
        <v>#DIV/0!</v>
      </c>
      <c r="U210" s="81"/>
      <c r="V210" s="87"/>
      <c r="W210" s="87"/>
    </row>
    <row r="211" spans="1:23" x14ac:dyDescent="0.4">
      <c r="A211" s="85" t="s">
        <v>389</v>
      </c>
      <c r="B211" s="107" t="s">
        <v>174</v>
      </c>
      <c r="C211" s="131"/>
      <c r="D211" s="131"/>
      <c r="E211" s="131"/>
      <c r="F211" s="131"/>
      <c r="G211" s="131"/>
      <c r="H211" s="131"/>
      <c r="I211" s="112"/>
      <c r="J211" s="77"/>
      <c r="K211" s="84"/>
      <c r="L211" s="84"/>
      <c r="M211" s="80"/>
      <c r="N211" s="81"/>
      <c r="P211" s="94"/>
      <c r="Q211" s="81" t="e">
        <f t="shared" si="9"/>
        <v>#DIV/0!</v>
      </c>
      <c r="R211" s="81" t="e">
        <f t="shared" si="10"/>
        <v>#DIV/0!</v>
      </c>
      <c r="S211" s="81">
        <v>5</v>
      </c>
      <c r="T211" s="81" t="e">
        <f t="shared" si="11"/>
        <v>#DIV/0!</v>
      </c>
      <c r="U211" s="81" t="e">
        <f>AVERAGE(T209:T211)</f>
        <v>#DIV/0!</v>
      </c>
      <c r="V211" s="81" t="e">
        <f>_xlfn.STDEV.S(T209:T211)</f>
        <v>#DIV/0!</v>
      </c>
      <c r="W211" s="81">
        <f>MAX(K209:K211)-MIN(K209:K211)</f>
        <v>0</v>
      </c>
    </row>
    <row r="212" spans="1:23" x14ac:dyDescent="0.4">
      <c r="A212" s="85" t="s">
        <v>390</v>
      </c>
      <c r="B212" s="108" t="s">
        <v>147</v>
      </c>
      <c r="C212" s="131" t="s">
        <v>175</v>
      </c>
      <c r="D212" s="131"/>
      <c r="E212" s="131"/>
      <c r="F212" s="131"/>
      <c r="G212" s="131"/>
      <c r="H212" s="131"/>
      <c r="I212" s="112"/>
      <c r="J212" s="77"/>
      <c r="K212" s="84">
        <v>19.53</v>
      </c>
      <c r="L212" s="86">
        <v>19500</v>
      </c>
      <c r="M212" s="80"/>
      <c r="N212" s="87"/>
      <c r="P212" s="94"/>
      <c r="Q212" s="81" t="e">
        <f t="shared" si="9"/>
        <v>#DIV/0!</v>
      </c>
      <c r="R212" s="81" t="e">
        <f t="shared" si="10"/>
        <v>#DIV/0!</v>
      </c>
      <c r="S212" s="81">
        <v>5</v>
      </c>
      <c r="T212" s="81" t="e">
        <f t="shared" si="11"/>
        <v>#DIV/0!</v>
      </c>
      <c r="U212" s="81"/>
      <c r="V212" s="87"/>
      <c r="W212" s="87"/>
    </row>
    <row r="213" spans="1:23" x14ac:dyDescent="0.4">
      <c r="A213" s="85" t="s">
        <v>391</v>
      </c>
      <c r="B213" s="110" t="s">
        <v>147</v>
      </c>
      <c r="C213" s="131" t="s">
        <v>175</v>
      </c>
      <c r="D213" s="131"/>
      <c r="E213" s="131"/>
      <c r="F213" s="131"/>
      <c r="G213" s="131"/>
      <c r="H213" s="131"/>
      <c r="I213" s="112"/>
      <c r="J213" s="77"/>
      <c r="K213" s="84">
        <v>19.55</v>
      </c>
      <c r="L213" s="86">
        <v>19300</v>
      </c>
      <c r="M213" s="80"/>
      <c r="N213" s="87"/>
      <c r="P213" s="94"/>
      <c r="Q213" s="81" t="e">
        <f t="shared" si="9"/>
        <v>#DIV/0!</v>
      </c>
      <c r="R213" s="81" t="e">
        <f t="shared" si="10"/>
        <v>#DIV/0!</v>
      </c>
      <c r="S213" s="81">
        <v>5</v>
      </c>
      <c r="T213" s="81" t="e">
        <f t="shared" si="11"/>
        <v>#DIV/0!</v>
      </c>
      <c r="U213" s="81"/>
      <c r="V213" s="91"/>
      <c r="W213" s="91"/>
    </row>
    <row r="214" spans="1:23" x14ac:dyDescent="0.4">
      <c r="A214" s="85" t="s">
        <v>392</v>
      </c>
      <c r="B214" s="109" t="s">
        <v>147</v>
      </c>
      <c r="C214" s="131" t="s">
        <v>175</v>
      </c>
      <c r="D214" s="131"/>
      <c r="E214" s="131"/>
      <c r="F214" s="131"/>
      <c r="G214" s="131"/>
      <c r="H214" s="131"/>
      <c r="I214" s="112"/>
      <c r="J214" s="77"/>
      <c r="K214" s="84">
        <v>19.59</v>
      </c>
      <c r="L214" s="86">
        <v>18700</v>
      </c>
      <c r="M214" s="80"/>
      <c r="N214" s="87"/>
      <c r="P214" s="94"/>
      <c r="Q214" s="81" t="e">
        <f t="shared" si="9"/>
        <v>#DIV/0!</v>
      </c>
      <c r="R214" s="81" t="e">
        <f t="shared" si="10"/>
        <v>#DIV/0!</v>
      </c>
      <c r="S214" s="81">
        <v>5</v>
      </c>
      <c r="T214" s="81" t="e">
        <f t="shared" si="11"/>
        <v>#DIV/0!</v>
      </c>
      <c r="U214" s="81" t="e">
        <f>AVERAGE(T212:T214)</f>
        <v>#DIV/0!</v>
      </c>
      <c r="V214" s="81" t="e">
        <f>_xlfn.STDEV.S(T212:T214)</f>
        <v>#DIV/0!</v>
      </c>
      <c r="W214" s="81">
        <f>MAX(K212:K214)-MIN(K212:K214)</f>
        <v>5.9999999999998721E-2</v>
      </c>
    </row>
    <row r="215" spans="1:23" x14ac:dyDescent="0.4">
      <c r="A215" s="85" t="s">
        <v>393</v>
      </c>
      <c r="B215" s="109" t="s">
        <v>90</v>
      </c>
      <c r="C215" s="129" t="s">
        <v>8</v>
      </c>
      <c r="D215" s="129" t="s">
        <v>485</v>
      </c>
      <c r="E215" s="129" t="s">
        <v>484</v>
      </c>
      <c r="F215" s="129" t="s">
        <v>485</v>
      </c>
      <c r="G215" s="129" t="s">
        <v>484</v>
      </c>
      <c r="H215" s="129" t="s">
        <v>484</v>
      </c>
      <c r="I215" s="112">
        <v>5.8</v>
      </c>
      <c r="J215" s="77" t="s">
        <v>81</v>
      </c>
      <c r="K215" s="84">
        <v>11.24</v>
      </c>
      <c r="L215" s="86">
        <v>4340000</v>
      </c>
      <c r="M215" s="80">
        <v>0.4</v>
      </c>
      <c r="N215" s="87">
        <v>50</v>
      </c>
      <c r="O215">
        <v>28.41</v>
      </c>
      <c r="P215" s="94">
        <v>7.8492788070000001</v>
      </c>
      <c r="Q215" s="81">
        <f t="shared" si="9"/>
        <v>3.6194408045060031</v>
      </c>
      <c r="R215" s="81">
        <f t="shared" si="10"/>
        <v>1963546636.4445066</v>
      </c>
      <c r="S215" s="81">
        <v>5</v>
      </c>
      <c r="T215" s="81">
        <f t="shared" si="11"/>
        <v>392709327.28890133</v>
      </c>
      <c r="U215" s="81"/>
      <c r="V215" s="84"/>
      <c r="W215" s="84"/>
    </row>
    <row r="216" spans="1:23" x14ac:dyDescent="0.4">
      <c r="A216" s="85" t="s">
        <v>394</v>
      </c>
      <c r="B216" s="109" t="s">
        <v>90</v>
      </c>
      <c r="C216" s="129" t="s">
        <v>8</v>
      </c>
      <c r="D216" s="129" t="s">
        <v>485</v>
      </c>
      <c r="E216" s="129" t="s">
        <v>484</v>
      </c>
      <c r="F216" s="129" t="s">
        <v>485</v>
      </c>
      <c r="G216" s="129" t="s">
        <v>484</v>
      </c>
      <c r="H216" s="129" t="s">
        <v>484</v>
      </c>
      <c r="I216" s="112">
        <v>5.8</v>
      </c>
      <c r="J216" s="77" t="s">
        <v>81</v>
      </c>
      <c r="K216" s="84">
        <v>11.49</v>
      </c>
      <c r="L216" s="86">
        <v>3690000</v>
      </c>
      <c r="M216" s="80">
        <v>0.4</v>
      </c>
      <c r="N216" s="87">
        <v>50</v>
      </c>
      <c r="O216">
        <v>28.41</v>
      </c>
      <c r="P216" s="94">
        <v>7.8492788070000001</v>
      </c>
      <c r="Q216" s="81">
        <f t="shared" si="9"/>
        <v>3.6194408045060031</v>
      </c>
      <c r="R216" s="81">
        <f t="shared" si="10"/>
        <v>1669467071.0783939</v>
      </c>
      <c r="S216" s="81">
        <v>5</v>
      </c>
      <c r="T216" s="81">
        <f t="shared" si="11"/>
        <v>333893414.21567881</v>
      </c>
      <c r="U216" s="81"/>
      <c r="V216" s="84"/>
      <c r="W216" s="84"/>
    </row>
    <row r="217" spans="1:23" x14ac:dyDescent="0.4">
      <c r="A217" s="85" t="s">
        <v>395</v>
      </c>
      <c r="B217" s="109" t="s">
        <v>90</v>
      </c>
      <c r="C217" s="129" t="s">
        <v>8</v>
      </c>
      <c r="D217" s="129" t="s">
        <v>485</v>
      </c>
      <c r="E217" s="129" t="s">
        <v>484</v>
      </c>
      <c r="F217" s="129" t="s">
        <v>485</v>
      </c>
      <c r="G217" s="129" t="s">
        <v>484</v>
      </c>
      <c r="H217" s="129" t="s">
        <v>484</v>
      </c>
      <c r="I217" s="112">
        <v>5.8</v>
      </c>
      <c r="J217" s="77" t="s">
        <v>81</v>
      </c>
      <c r="K217" s="84">
        <v>11.45</v>
      </c>
      <c r="L217" s="86">
        <v>3790000</v>
      </c>
      <c r="M217" s="80">
        <v>0.4</v>
      </c>
      <c r="N217" s="87">
        <v>50</v>
      </c>
      <c r="O217">
        <v>28.41</v>
      </c>
      <c r="P217" s="94">
        <v>7.8492788070000001</v>
      </c>
      <c r="Q217" s="81">
        <f t="shared" si="9"/>
        <v>3.6194408045060031</v>
      </c>
      <c r="R217" s="81">
        <f t="shared" si="10"/>
        <v>1714710081.1347189</v>
      </c>
      <c r="S217" s="81">
        <v>5</v>
      </c>
      <c r="T217" s="81">
        <f t="shared" si="11"/>
        <v>342942016.22694379</v>
      </c>
      <c r="U217" s="81">
        <f>AVERAGE(T215:T217)</f>
        <v>356514919.24384135</v>
      </c>
      <c r="V217" s="81">
        <f>_xlfn.STDEV.S(T215:T217)</f>
        <v>31670107.039427515</v>
      </c>
      <c r="W217" s="81">
        <f>MAX(K215:K217)-MIN(K215:K217)</f>
        <v>0.25</v>
      </c>
    </row>
    <row r="218" spans="1:23" x14ac:dyDescent="0.4">
      <c r="A218" s="85" t="s">
        <v>396</v>
      </c>
      <c r="B218" s="109" t="s">
        <v>91</v>
      </c>
      <c r="C218" s="129" t="s">
        <v>9</v>
      </c>
      <c r="D218" s="129" t="s">
        <v>485</v>
      </c>
      <c r="E218" s="129" t="s">
        <v>484</v>
      </c>
      <c r="F218" s="129" t="s">
        <v>485</v>
      </c>
      <c r="G218" s="129" t="s">
        <v>485</v>
      </c>
      <c r="H218" s="129" t="s">
        <v>484</v>
      </c>
      <c r="I218" s="112">
        <v>5.8</v>
      </c>
      <c r="J218" s="77" t="s">
        <v>81</v>
      </c>
      <c r="K218" s="84">
        <v>11.2</v>
      </c>
      <c r="L218" s="86">
        <v>4470000</v>
      </c>
      <c r="M218" s="80">
        <v>0.4</v>
      </c>
      <c r="N218" s="87">
        <v>50</v>
      </c>
      <c r="O218">
        <v>38.799999999999997</v>
      </c>
      <c r="P218" s="94">
        <v>6.9105928140000001</v>
      </c>
      <c r="Q218" s="81">
        <f t="shared" si="9"/>
        <v>5.6145689732139958</v>
      </c>
      <c r="R218" s="81">
        <f t="shared" si="10"/>
        <v>3137140413.78332</v>
      </c>
      <c r="S218" s="81">
        <v>5</v>
      </c>
      <c r="T218" s="81">
        <f t="shared" si="11"/>
        <v>627428082.75666404</v>
      </c>
      <c r="U218" s="81"/>
      <c r="V218" s="84"/>
      <c r="W218" s="84"/>
    </row>
    <row r="219" spans="1:23" x14ac:dyDescent="0.4">
      <c r="A219" s="85" t="s">
        <v>397</v>
      </c>
      <c r="B219" s="109" t="s">
        <v>91</v>
      </c>
      <c r="C219" s="129" t="s">
        <v>9</v>
      </c>
      <c r="D219" s="129" t="s">
        <v>485</v>
      </c>
      <c r="E219" s="129" t="s">
        <v>484</v>
      </c>
      <c r="F219" s="129" t="s">
        <v>485</v>
      </c>
      <c r="G219" s="129" t="s">
        <v>485</v>
      </c>
      <c r="H219" s="129" t="s">
        <v>484</v>
      </c>
      <c r="I219" s="112">
        <v>5.8</v>
      </c>
      <c r="J219" s="77" t="s">
        <v>81</v>
      </c>
      <c r="K219" s="84">
        <v>11.31</v>
      </c>
      <c r="L219" s="86">
        <v>4150000</v>
      </c>
      <c r="M219" s="80">
        <v>0.4</v>
      </c>
      <c r="N219" s="87">
        <v>50</v>
      </c>
      <c r="O219">
        <v>38.799999999999997</v>
      </c>
      <c r="P219" s="94">
        <v>6.9105928140000001</v>
      </c>
      <c r="Q219" s="81">
        <f t="shared" si="9"/>
        <v>5.6145689732139958</v>
      </c>
      <c r="R219" s="81">
        <f t="shared" si="10"/>
        <v>2912557654.8547602</v>
      </c>
      <c r="S219" s="81">
        <v>5</v>
      </c>
      <c r="T219" s="81">
        <f t="shared" si="11"/>
        <v>582511530.97095203</v>
      </c>
      <c r="U219" s="81"/>
      <c r="V219" s="84"/>
      <c r="W219" s="84"/>
    </row>
    <row r="220" spans="1:23" x14ac:dyDescent="0.4">
      <c r="A220" s="85" t="s">
        <v>398</v>
      </c>
      <c r="B220" s="109" t="s">
        <v>91</v>
      </c>
      <c r="C220" s="129" t="s">
        <v>9</v>
      </c>
      <c r="D220" s="129" t="s">
        <v>485</v>
      </c>
      <c r="E220" s="129" t="s">
        <v>484</v>
      </c>
      <c r="F220" s="129" t="s">
        <v>485</v>
      </c>
      <c r="G220" s="129" t="s">
        <v>485</v>
      </c>
      <c r="H220" s="129" t="s">
        <v>484</v>
      </c>
      <c r="I220" s="112">
        <v>5.8</v>
      </c>
      <c r="J220" s="77" t="s">
        <v>81</v>
      </c>
      <c r="K220" s="84">
        <v>11.45</v>
      </c>
      <c r="L220" s="86">
        <v>3780000</v>
      </c>
      <c r="M220" s="80">
        <v>0.4</v>
      </c>
      <c r="N220" s="87">
        <v>50</v>
      </c>
      <c r="O220">
        <v>38.799999999999997</v>
      </c>
      <c r="P220" s="94">
        <v>6.9105928140000001</v>
      </c>
      <c r="Q220" s="81">
        <f t="shared" si="9"/>
        <v>5.6145689732139958</v>
      </c>
      <c r="R220" s="81">
        <f t="shared" si="10"/>
        <v>2652883839.8436127</v>
      </c>
      <c r="S220" s="81">
        <v>5</v>
      </c>
      <c r="T220" s="81">
        <f t="shared" si="11"/>
        <v>530576767.96872252</v>
      </c>
      <c r="U220" s="81">
        <f>AVERAGE(T218:T220)</f>
        <v>580172127.23211288</v>
      </c>
      <c r="V220" s="81">
        <f>_xlfn.STDEV.S(T218:T220)</f>
        <v>48468019.367704779</v>
      </c>
      <c r="W220" s="81">
        <f>MAX(K218:K220)-MIN(K218:K220)</f>
        <v>0.25</v>
      </c>
    </row>
    <row r="221" spans="1:23" x14ac:dyDescent="0.4">
      <c r="A221" s="85" t="s">
        <v>399</v>
      </c>
      <c r="B221" s="107" t="s">
        <v>174</v>
      </c>
      <c r="C221" s="131"/>
      <c r="D221" s="131"/>
      <c r="E221" s="131"/>
      <c r="F221" s="131"/>
      <c r="G221" s="131"/>
      <c r="H221" s="131"/>
      <c r="I221" s="112"/>
      <c r="J221" s="77"/>
      <c r="K221" s="84"/>
      <c r="L221" s="84"/>
      <c r="M221" s="80"/>
      <c r="N221" s="84"/>
      <c r="P221" s="94"/>
      <c r="Q221" s="81" t="e">
        <f t="shared" si="9"/>
        <v>#DIV/0!</v>
      </c>
      <c r="R221" s="81" t="e">
        <f t="shared" si="10"/>
        <v>#DIV/0!</v>
      </c>
      <c r="S221" s="81">
        <v>5</v>
      </c>
      <c r="T221" s="81" t="e">
        <f t="shared" si="11"/>
        <v>#DIV/0!</v>
      </c>
      <c r="U221" s="81"/>
      <c r="V221" s="84"/>
      <c r="W221" s="84"/>
    </row>
    <row r="222" spans="1:23" x14ac:dyDescent="0.4">
      <c r="A222" s="85" t="s">
        <v>400</v>
      </c>
      <c r="B222" s="107" t="s">
        <v>174</v>
      </c>
      <c r="C222" s="131"/>
      <c r="D222" s="131"/>
      <c r="E222" s="131"/>
      <c r="F222" s="131"/>
      <c r="G222" s="131"/>
      <c r="H222" s="131"/>
      <c r="I222" s="112"/>
      <c r="J222" s="77"/>
      <c r="K222" s="84"/>
      <c r="L222" s="84"/>
      <c r="M222" s="80"/>
      <c r="N222" s="84"/>
      <c r="P222" s="94"/>
      <c r="Q222" s="81" t="e">
        <f t="shared" si="9"/>
        <v>#DIV/0!</v>
      </c>
      <c r="R222" s="81" t="e">
        <f t="shared" si="10"/>
        <v>#DIV/0!</v>
      </c>
      <c r="S222" s="81">
        <v>5</v>
      </c>
      <c r="T222" s="81" t="e">
        <f t="shared" si="11"/>
        <v>#DIV/0!</v>
      </c>
      <c r="U222" s="81"/>
      <c r="V222" s="84"/>
      <c r="W222" s="84"/>
    </row>
    <row r="223" spans="1:23" x14ac:dyDescent="0.4">
      <c r="A223" s="85" t="s">
        <v>401</v>
      </c>
      <c r="B223" s="107" t="s">
        <v>174</v>
      </c>
      <c r="C223" s="131"/>
      <c r="D223" s="131"/>
      <c r="E223" s="131"/>
      <c r="F223" s="131"/>
      <c r="G223" s="131"/>
      <c r="H223" s="131"/>
      <c r="I223" s="112"/>
      <c r="J223" s="77"/>
      <c r="K223" s="84"/>
      <c r="L223" s="84"/>
      <c r="M223" s="80"/>
      <c r="N223" s="84"/>
      <c r="P223" s="94"/>
      <c r="Q223" s="81" t="e">
        <f t="shared" si="9"/>
        <v>#DIV/0!</v>
      </c>
      <c r="R223" s="81" t="e">
        <f t="shared" si="10"/>
        <v>#DIV/0!</v>
      </c>
      <c r="S223" s="81">
        <v>5</v>
      </c>
      <c r="T223" s="81" t="e">
        <f t="shared" si="11"/>
        <v>#DIV/0!</v>
      </c>
      <c r="U223" s="81" t="e">
        <f>AVERAGE(T221:T223)</f>
        <v>#DIV/0!</v>
      </c>
      <c r="V223" s="81" t="e">
        <f>_xlfn.STDEV.S(T221:T223)</f>
        <v>#DIV/0!</v>
      </c>
      <c r="W223" s="81">
        <f>MAX(K221:K223)-MIN(K221:K223)</f>
        <v>0</v>
      </c>
    </row>
    <row r="224" spans="1:23" x14ac:dyDescent="0.4">
      <c r="A224" s="85" t="s">
        <v>402</v>
      </c>
      <c r="B224" s="109" t="s">
        <v>148</v>
      </c>
      <c r="C224" s="131" t="s">
        <v>176</v>
      </c>
      <c r="D224" s="131"/>
      <c r="E224" s="131"/>
      <c r="F224" s="131"/>
      <c r="G224" s="131"/>
      <c r="H224" s="131"/>
      <c r="I224" s="112"/>
      <c r="J224" s="77"/>
      <c r="K224" s="84">
        <v>23.23</v>
      </c>
      <c r="L224" s="86">
        <v>1750</v>
      </c>
      <c r="M224" s="80"/>
      <c r="N224" s="87"/>
      <c r="P224" s="94"/>
      <c r="Q224" s="81" t="e">
        <f t="shared" si="9"/>
        <v>#DIV/0!</v>
      </c>
      <c r="R224" s="81" t="e">
        <f t="shared" si="10"/>
        <v>#DIV/0!</v>
      </c>
      <c r="S224" s="81">
        <v>5</v>
      </c>
      <c r="T224" s="81" t="e">
        <f t="shared" si="11"/>
        <v>#DIV/0!</v>
      </c>
      <c r="U224" s="81"/>
      <c r="V224" s="84"/>
      <c r="W224" s="84"/>
    </row>
    <row r="225" spans="1:23" x14ac:dyDescent="0.4">
      <c r="A225" s="85" t="s">
        <v>403</v>
      </c>
      <c r="B225" s="109" t="s">
        <v>148</v>
      </c>
      <c r="C225" s="131" t="s">
        <v>176</v>
      </c>
      <c r="D225" s="131"/>
      <c r="E225" s="131"/>
      <c r="F225" s="131"/>
      <c r="G225" s="131"/>
      <c r="H225" s="131"/>
      <c r="I225" s="112"/>
      <c r="J225" s="77"/>
      <c r="K225" s="84">
        <v>23.25</v>
      </c>
      <c r="L225" s="86">
        <v>1730</v>
      </c>
      <c r="M225" s="80"/>
      <c r="N225" s="87"/>
      <c r="P225" s="94"/>
      <c r="Q225" s="81" t="e">
        <f t="shared" si="9"/>
        <v>#DIV/0!</v>
      </c>
      <c r="R225" s="81" t="e">
        <f t="shared" si="10"/>
        <v>#DIV/0!</v>
      </c>
      <c r="S225" s="81">
        <v>5</v>
      </c>
      <c r="T225" s="81" t="e">
        <f t="shared" si="11"/>
        <v>#DIV/0!</v>
      </c>
      <c r="U225" s="81"/>
      <c r="V225" s="84"/>
      <c r="W225" s="84"/>
    </row>
    <row r="226" spans="1:23" x14ac:dyDescent="0.4">
      <c r="A226" s="85" t="s">
        <v>404</v>
      </c>
      <c r="B226" s="109" t="s">
        <v>148</v>
      </c>
      <c r="C226" s="131" t="s">
        <v>176</v>
      </c>
      <c r="D226" s="131"/>
      <c r="E226" s="131"/>
      <c r="F226" s="131"/>
      <c r="G226" s="131"/>
      <c r="H226" s="131"/>
      <c r="I226" s="112"/>
      <c r="J226" s="77"/>
      <c r="K226" s="84">
        <v>23.29</v>
      </c>
      <c r="L226" s="86">
        <v>1680</v>
      </c>
      <c r="M226" s="80"/>
      <c r="N226" s="87"/>
      <c r="P226" s="94"/>
      <c r="Q226" s="81" t="e">
        <f t="shared" si="9"/>
        <v>#DIV/0!</v>
      </c>
      <c r="R226" s="81" t="e">
        <f t="shared" si="10"/>
        <v>#DIV/0!</v>
      </c>
      <c r="S226" s="81">
        <v>5</v>
      </c>
      <c r="T226" s="81" t="e">
        <f t="shared" si="11"/>
        <v>#DIV/0!</v>
      </c>
      <c r="U226" s="81" t="e">
        <f>AVERAGE(T224:T226)</f>
        <v>#DIV/0!</v>
      </c>
      <c r="V226" s="81" t="e">
        <f>_xlfn.STDEV.S(T224:T226)</f>
        <v>#DIV/0!</v>
      </c>
      <c r="W226" s="81">
        <f>MAX(K224:K226)-MIN(K224:K226)</f>
        <v>5.9999999999998721E-2</v>
      </c>
    </row>
    <row r="227" spans="1:23" x14ac:dyDescent="0.4">
      <c r="A227" s="85" t="s">
        <v>405</v>
      </c>
      <c r="B227" s="109" t="s">
        <v>100</v>
      </c>
      <c r="C227" s="129" t="s">
        <v>8</v>
      </c>
      <c r="D227" s="129" t="s">
        <v>485</v>
      </c>
      <c r="E227" s="129" t="s">
        <v>484</v>
      </c>
      <c r="F227" s="129" t="s">
        <v>485</v>
      </c>
      <c r="G227" s="129" t="s">
        <v>484</v>
      </c>
      <c r="H227" s="129" t="s">
        <v>484</v>
      </c>
      <c r="I227" s="112">
        <v>4.8</v>
      </c>
      <c r="J227" s="77" t="s">
        <v>132</v>
      </c>
      <c r="K227" s="84">
        <v>23.82</v>
      </c>
      <c r="L227" s="86">
        <v>1190</v>
      </c>
      <c r="M227" s="80">
        <v>0.4</v>
      </c>
      <c r="N227" s="87">
        <v>50</v>
      </c>
      <c r="O227">
        <v>0.66</v>
      </c>
      <c r="P227" s="94">
        <v>-0.136152194</v>
      </c>
      <c r="Q227" s="81">
        <f t="shared" si="9"/>
        <v>-4.8475164491289799</v>
      </c>
      <c r="R227" s="81">
        <f t="shared" si="10"/>
        <v>-721068.07180793572</v>
      </c>
      <c r="S227" s="81">
        <v>5</v>
      </c>
      <c r="T227" s="81">
        <f t="shared" si="11"/>
        <v>-144213.61436158716</v>
      </c>
      <c r="U227" s="81"/>
      <c r="V227" s="84"/>
      <c r="W227" s="84"/>
    </row>
    <row r="228" spans="1:23" x14ac:dyDescent="0.4">
      <c r="A228" s="85" t="s">
        <v>406</v>
      </c>
      <c r="B228" s="109" t="s">
        <v>100</v>
      </c>
      <c r="C228" s="129" t="s">
        <v>8</v>
      </c>
      <c r="D228" s="129" t="s">
        <v>485</v>
      </c>
      <c r="E228" s="129" t="s">
        <v>484</v>
      </c>
      <c r="F228" s="129" t="s">
        <v>485</v>
      </c>
      <c r="G228" s="129" t="s">
        <v>484</v>
      </c>
      <c r="H228" s="129" t="s">
        <v>484</v>
      </c>
      <c r="I228" s="112">
        <v>4.8</v>
      </c>
      <c r="J228" s="77" t="s">
        <v>132</v>
      </c>
      <c r="K228" s="84">
        <v>23.86</v>
      </c>
      <c r="L228" s="86">
        <v>1160</v>
      </c>
      <c r="M228" s="80">
        <v>0.4</v>
      </c>
      <c r="N228" s="87">
        <v>50</v>
      </c>
      <c r="O228">
        <v>0.66</v>
      </c>
      <c r="P228" s="94">
        <v>-0.136152194</v>
      </c>
      <c r="Q228" s="81">
        <f t="shared" si="9"/>
        <v>-4.8475164491289799</v>
      </c>
      <c r="R228" s="81">
        <f t="shared" si="10"/>
        <v>-702889.88512370212</v>
      </c>
      <c r="S228" s="81">
        <v>5</v>
      </c>
      <c r="T228" s="81">
        <f t="shared" si="11"/>
        <v>-140577.97702474042</v>
      </c>
      <c r="U228" s="81"/>
      <c r="V228" s="84"/>
      <c r="W228" s="84"/>
    </row>
    <row r="229" spans="1:23" x14ac:dyDescent="0.4">
      <c r="A229" s="85" t="s">
        <v>407</v>
      </c>
      <c r="B229" s="109" t="s">
        <v>100</v>
      </c>
      <c r="C229" s="129" t="s">
        <v>8</v>
      </c>
      <c r="D229" s="129" t="s">
        <v>485</v>
      </c>
      <c r="E229" s="129" t="s">
        <v>484</v>
      </c>
      <c r="F229" s="129" t="s">
        <v>485</v>
      </c>
      <c r="G229" s="129" t="s">
        <v>484</v>
      </c>
      <c r="H229" s="129" t="s">
        <v>484</v>
      </c>
      <c r="I229" s="112">
        <v>4.8</v>
      </c>
      <c r="J229" s="77" t="s">
        <v>132</v>
      </c>
      <c r="K229" s="84">
        <v>23.82</v>
      </c>
      <c r="L229" s="86">
        <v>1190</v>
      </c>
      <c r="M229" s="80">
        <v>0.4</v>
      </c>
      <c r="N229" s="87">
        <v>50</v>
      </c>
      <c r="O229">
        <v>0.66</v>
      </c>
      <c r="P229" s="94">
        <v>-0.136152194</v>
      </c>
      <c r="Q229" s="81">
        <f t="shared" si="9"/>
        <v>-4.8475164491289799</v>
      </c>
      <c r="R229" s="81">
        <f t="shared" si="10"/>
        <v>-721068.07180793572</v>
      </c>
      <c r="S229" s="81">
        <v>5</v>
      </c>
      <c r="T229" s="81">
        <f t="shared" si="11"/>
        <v>-144213.61436158716</v>
      </c>
      <c r="U229" s="81">
        <f>AVERAGE(T227:T229)</f>
        <v>-143001.73524930491</v>
      </c>
      <c r="V229" s="81">
        <f>_xlfn.STDEV.S(T227:T229)</f>
        <v>2099.0361951043146</v>
      </c>
      <c r="W229" s="81">
        <f>MAX(K227:K229)-MIN(K227:K229)</f>
        <v>3.9999999999999147E-2</v>
      </c>
    </row>
    <row r="230" spans="1:23" x14ac:dyDescent="0.4">
      <c r="A230" s="85" t="s">
        <v>408</v>
      </c>
      <c r="B230" s="109" t="s">
        <v>101</v>
      </c>
      <c r="C230" s="129" t="s">
        <v>9</v>
      </c>
      <c r="D230" s="129" t="s">
        <v>485</v>
      </c>
      <c r="E230" s="129" t="s">
        <v>484</v>
      </c>
      <c r="F230" s="129" t="s">
        <v>485</v>
      </c>
      <c r="G230" s="129" t="s">
        <v>485</v>
      </c>
      <c r="H230" s="129" t="s">
        <v>484</v>
      </c>
      <c r="I230" s="112">
        <v>4.8</v>
      </c>
      <c r="J230" s="77" t="s">
        <v>132</v>
      </c>
      <c r="K230" s="84">
        <v>21.63</v>
      </c>
      <c r="L230" s="86">
        <v>4970</v>
      </c>
      <c r="M230" s="80">
        <v>0.4</v>
      </c>
      <c r="N230" s="87">
        <v>50</v>
      </c>
      <c r="O230">
        <v>0.61</v>
      </c>
      <c r="P230" s="94">
        <v>-1.7535663E-2</v>
      </c>
      <c r="Q230" s="81">
        <f t="shared" si="9"/>
        <v>-34.786252450221014</v>
      </c>
      <c r="R230" s="81">
        <f t="shared" si="10"/>
        <v>-21610959.334699802</v>
      </c>
      <c r="S230" s="81">
        <v>5</v>
      </c>
      <c r="T230" s="81">
        <f t="shared" si="11"/>
        <v>-4322191.86693996</v>
      </c>
      <c r="U230" s="81"/>
      <c r="V230" s="84"/>
      <c r="W230" s="84"/>
    </row>
    <row r="231" spans="1:23" x14ac:dyDescent="0.4">
      <c r="A231" s="85" t="s">
        <v>409</v>
      </c>
      <c r="B231" s="109" t="s">
        <v>101</v>
      </c>
      <c r="C231" s="129" t="s">
        <v>9</v>
      </c>
      <c r="D231" s="129" t="s">
        <v>485</v>
      </c>
      <c r="E231" s="129" t="s">
        <v>484</v>
      </c>
      <c r="F231" s="129" t="s">
        <v>485</v>
      </c>
      <c r="G231" s="129" t="s">
        <v>485</v>
      </c>
      <c r="H231" s="129" t="s">
        <v>484</v>
      </c>
      <c r="I231" s="112">
        <v>4.8</v>
      </c>
      <c r="J231" s="77" t="s">
        <v>132</v>
      </c>
      <c r="K231" s="84">
        <v>21.75</v>
      </c>
      <c r="L231" s="86">
        <v>4590</v>
      </c>
      <c r="M231" s="80">
        <v>0.4</v>
      </c>
      <c r="N231" s="87">
        <v>50</v>
      </c>
      <c r="O231">
        <v>0.61</v>
      </c>
      <c r="P231" s="94">
        <v>-1.7535663E-2</v>
      </c>
      <c r="Q231" s="81">
        <f t="shared" si="9"/>
        <v>-34.786252450221014</v>
      </c>
      <c r="R231" s="81">
        <f t="shared" si="10"/>
        <v>-19958612.343314305</v>
      </c>
      <c r="S231" s="81">
        <v>5</v>
      </c>
      <c r="T231" s="81">
        <f t="shared" si="11"/>
        <v>-3991722.4686628608</v>
      </c>
      <c r="U231" s="81"/>
      <c r="V231" s="84"/>
      <c r="W231" s="84"/>
    </row>
    <row r="232" spans="1:23" x14ac:dyDescent="0.4">
      <c r="A232" s="85" t="s">
        <v>410</v>
      </c>
      <c r="B232" s="109" t="s">
        <v>101</v>
      </c>
      <c r="C232" s="129" t="s">
        <v>9</v>
      </c>
      <c r="D232" s="129" t="s">
        <v>485</v>
      </c>
      <c r="E232" s="129" t="s">
        <v>484</v>
      </c>
      <c r="F232" s="129" t="s">
        <v>485</v>
      </c>
      <c r="G232" s="129" t="s">
        <v>485</v>
      </c>
      <c r="H232" s="129" t="s">
        <v>484</v>
      </c>
      <c r="I232" s="112">
        <v>4.8</v>
      </c>
      <c r="J232" s="77" t="s">
        <v>132</v>
      </c>
      <c r="K232" s="84">
        <v>21.68</v>
      </c>
      <c r="L232" s="86">
        <v>4810</v>
      </c>
      <c r="M232" s="80">
        <v>0.4</v>
      </c>
      <c r="N232" s="87">
        <v>50</v>
      </c>
      <c r="O232">
        <v>0.61</v>
      </c>
      <c r="P232" s="94">
        <v>-1.7535663E-2</v>
      </c>
      <c r="Q232" s="81">
        <f t="shared" si="9"/>
        <v>-34.786252450221014</v>
      </c>
      <c r="R232" s="81">
        <f t="shared" si="10"/>
        <v>-20915234.285695385</v>
      </c>
      <c r="S232" s="81">
        <v>5</v>
      </c>
      <c r="T232" s="81">
        <f t="shared" si="11"/>
        <v>-4183046.857139077</v>
      </c>
      <c r="U232" s="81">
        <f>AVERAGE(T230:T232)</f>
        <v>-4165653.7309139655</v>
      </c>
      <c r="V232" s="81">
        <f>_xlfn.STDEV.S(T230:T232)</f>
        <v>165919.84941326035</v>
      </c>
      <c r="W232" s="81">
        <f>MAX(K230:K232)-MIN(K230:K232)</f>
        <v>0.12000000000000099</v>
      </c>
    </row>
    <row r="233" spans="1:23" x14ac:dyDescent="0.4">
      <c r="A233" s="85" t="s">
        <v>411</v>
      </c>
      <c r="B233" s="107" t="s">
        <v>174</v>
      </c>
      <c r="C233" s="131"/>
      <c r="D233" s="131"/>
      <c r="E233" s="131"/>
      <c r="F233" s="131"/>
      <c r="G233" s="131"/>
      <c r="H233" s="131"/>
      <c r="I233" s="112"/>
      <c r="J233" s="77"/>
      <c r="K233" s="84"/>
      <c r="L233" s="84"/>
      <c r="M233" s="80"/>
      <c r="N233" s="84"/>
      <c r="P233" s="94"/>
      <c r="Q233" s="81" t="e">
        <f t="shared" si="9"/>
        <v>#DIV/0!</v>
      </c>
      <c r="R233" s="81" t="e">
        <f t="shared" si="10"/>
        <v>#DIV/0!</v>
      </c>
      <c r="S233" s="81">
        <v>5</v>
      </c>
      <c r="T233" s="81" t="e">
        <f t="shared" si="11"/>
        <v>#DIV/0!</v>
      </c>
      <c r="U233" s="81"/>
      <c r="V233" s="84"/>
      <c r="W233" s="84"/>
    </row>
    <row r="234" spans="1:23" x14ac:dyDescent="0.4">
      <c r="A234" s="85" t="s">
        <v>412</v>
      </c>
      <c r="B234" s="107" t="s">
        <v>174</v>
      </c>
      <c r="C234" s="131"/>
      <c r="D234" s="131"/>
      <c r="E234" s="131"/>
      <c r="F234" s="131"/>
      <c r="G234" s="131"/>
      <c r="H234" s="131"/>
      <c r="I234" s="112"/>
      <c r="J234" s="77"/>
      <c r="K234" s="84"/>
      <c r="L234" s="84"/>
      <c r="M234" s="80"/>
      <c r="N234" s="84"/>
      <c r="P234" s="94"/>
      <c r="Q234" s="81" t="e">
        <f t="shared" si="9"/>
        <v>#DIV/0!</v>
      </c>
      <c r="R234" s="81" t="e">
        <f t="shared" si="10"/>
        <v>#DIV/0!</v>
      </c>
      <c r="S234" s="81">
        <v>5</v>
      </c>
      <c r="T234" s="81" t="e">
        <f t="shared" si="11"/>
        <v>#DIV/0!</v>
      </c>
      <c r="U234" s="81"/>
      <c r="V234" s="84"/>
      <c r="W234" s="84"/>
    </row>
    <row r="235" spans="1:23" x14ac:dyDescent="0.4">
      <c r="A235" s="85" t="s">
        <v>413</v>
      </c>
      <c r="B235" s="107" t="s">
        <v>174</v>
      </c>
      <c r="C235" s="131"/>
      <c r="D235" s="131"/>
      <c r="E235" s="131"/>
      <c r="F235" s="131"/>
      <c r="G235" s="131"/>
      <c r="H235" s="131"/>
      <c r="I235" s="112"/>
      <c r="J235" s="77"/>
      <c r="K235" s="84"/>
      <c r="L235" s="84"/>
      <c r="M235" s="80"/>
      <c r="N235" s="84"/>
      <c r="P235" s="94"/>
      <c r="Q235" s="81" t="e">
        <f t="shared" si="9"/>
        <v>#DIV/0!</v>
      </c>
      <c r="R235" s="81" t="e">
        <f t="shared" si="10"/>
        <v>#DIV/0!</v>
      </c>
      <c r="S235" s="81">
        <v>5</v>
      </c>
      <c r="T235" s="81" t="e">
        <f t="shared" si="11"/>
        <v>#DIV/0!</v>
      </c>
      <c r="U235" s="81" t="e">
        <f>AVERAGE(T233:T235)</f>
        <v>#DIV/0!</v>
      </c>
      <c r="V235" s="81" t="e">
        <f>_xlfn.STDEV.S(T233:T235)</f>
        <v>#DIV/0!</v>
      </c>
      <c r="W235" s="81">
        <f>MAX(K233:K235)-MIN(K233:K235)</f>
        <v>0</v>
      </c>
    </row>
    <row r="236" spans="1:23" x14ac:dyDescent="0.4">
      <c r="A236" s="85" t="s">
        <v>414</v>
      </c>
      <c r="B236" s="109" t="s">
        <v>146</v>
      </c>
      <c r="C236" s="131" t="s">
        <v>177</v>
      </c>
      <c r="D236" s="131"/>
      <c r="E236" s="131"/>
      <c r="F236" s="131"/>
      <c r="G236" s="131"/>
      <c r="H236" s="131"/>
      <c r="I236" s="112"/>
      <c r="J236" s="77"/>
      <c r="K236" s="84">
        <v>26.84</v>
      </c>
      <c r="L236" s="86">
        <v>166</v>
      </c>
      <c r="M236" s="80"/>
      <c r="N236" s="87"/>
      <c r="P236" s="94"/>
      <c r="Q236" s="81" t="e">
        <f t="shared" si="9"/>
        <v>#DIV/0!</v>
      </c>
      <c r="R236" s="81" t="e">
        <f t="shared" si="10"/>
        <v>#DIV/0!</v>
      </c>
      <c r="S236" s="81">
        <v>5</v>
      </c>
      <c r="T236" s="81" t="e">
        <f t="shared" si="11"/>
        <v>#DIV/0!</v>
      </c>
      <c r="U236" s="81"/>
      <c r="V236" s="84"/>
      <c r="W236" s="84"/>
    </row>
    <row r="237" spans="1:23" x14ac:dyDescent="0.4">
      <c r="A237" s="85" t="s">
        <v>415</v>
      </c>
      <c r="B237" s="109" t="s">
        <v>146</v>
      </c>
      <c r="C237" s="131" t="s">
        <v>177</v>
      </c>
      <c r="D237" s="131"/>
      <c r="E237" s="131"/>
      <c r="F237" s="131"/>
      <c r="G237" s="131"/>
      <c r="H237" s="131"/>
      <c r="I237" s="112"/>
      <c r="J237" s="77"/>
      <c r="K237" s="84">
        <v>26.86</v>
      </c>
      <c r="L237" s="86">
        <v>163</v>
      </c>
      <c r="M237" s="80"/>
      <c r="N237" s="87"/>
      <c r="P237" s="94"/>
      <c r="Q237" s="81" t="e">
        <f t="shared" si="9"/>
        <v>#DIV/0!</v>
      </c>
      <c r="R237" s="81" t="e">
        <f t="shared" si="10"/>
        <v>#DIV/0!</v>
      </c>
      <c r="S237" s="81">
        <v>5</v>
      </c>
      <c r="T237" s="81" t="e">
        <f t="shared" si="11"/>
        <v>#DIV/0!</v>
      </c>
      <c r="U237" s="81"/>
      <c r="V237" s="84"/>
      <c r="W237" s="84"/>
    </row>
    <row r="238" spans="1:23" x14ac:dyDescent="0.4">
      <c r="A238" s="85" t="s">
        <v>416</v>
      </c>
      <c r="B238" s="109" t="s">
        <v>146</v>
      </c>
      <c r="C238" s="131" t="s">
        <v>177</v>
      </c>
      <c r="D238" s="131"/>
      <c r="E238" s="131"/>
      <c r="F238" s="131"/>
      <c r="G238" s="131"/>
      <c r="H238" s="131"/>
      <c r="I238" s="112"/>
      <c r="J238" s="77"/>
      <c r="K238" s="84">
        <v>26.83</v>
      </c>
      <c r="L238" s="86">
        <v>167</v>
      </c>
      <c r="M238" s="80"/>
      <c r="N238" s="87"/>
      <c r="P238" s="94"/>
      <c r="Q238" s="81" t="e">
        <f t="shared" si="9"/>
        <v>#DIV/0!</v>
      </c>
      <c r="R238" s="81" t="e">
        <f t="shared" si="10"/>
        <v>#DIV/0!</v>
      </c>
      <c r="S238" s="81">
        <v>5</v>
      </c>
      <c r="T238" s="81" t="e">
        <f t="shared" si="11"/>
        <v>#DIV/0!</v>
      </c>
      <c r="U238" s="81" t="e">
        <f>AVERAGE(T236:T238)</f>
        <v>#DIV/0!</v>
      </c>
      <c r="V238" s="81" t="e">
        <f>_xlfn.STDEV.S(T236:T238)</f>
        <v>#DIV/0!</v>
      </c>
      <c r="W238" s="81">
        <f>MAX(K236:K238)-MIN(K236:K238)</f>
        <v>3.0000000000001137E-2</v>
      </c>
    </row>
    <row r="239" spans="1:23" x14ac:dyDescent="0.4">
      <c r="A239" s="85" t="s">
        <v>417</v>
      </c>
      <c r="B239" s="109" t="s">
        <v>110</v>
      </c>
      <c r="C239" s="129" t="s">
        <v>8</v>
      </c>
      <c r="D239" s="129" t="s">
        <v>485</v>
      </c>
      <c r="E239" s="129" t="s">
        <v>484</v>
      </c>
      <c r="F239" s="129" t="s">
        <v>485</v>
      </c>
      <c r="G239" s="129" t="s">
        <v>484</v>
      </c>
      <c r="H239" s="129" t="s">
        <v>484</v>
      </c>
      <c r="I239" s="112">
        <v>5.8</v>
      </c>
      <c r="J239" s="77" t="s">
        <v>132</v>
      </c>
      <c r="K239" s="84">
        <v>11</v>
      </c>
      <c r="L239" s="86">
        <v>5070000</v>
      </c>
      <c r="M239" s="80">
        <v>0.4</v>
      </c>
      <c r="N239" s="87">
        <v>50</v>
      </c>
      <c r="O239">
        <v>7.24</v>
      </c>
      <c r="P239" s="94">
        <v>3.9626258700000001</v>
      </c>
      <c r="Q239" s="81">
        <f t="shared" si="9"/>
        <v>1.8270713000720404</v>
      </c>
      <c r="R239" s="81">
        <f t="shared" si="10"/>
        <v>1157906436.4206557</v>
      </c>
      <c r="S239" s="81">
        <v>5</v>
      </c>
      <c r="T239" s="81">
        <f t="shared" si="11"/>
        <v>231581287.28413114</v>
      </c>
      <c r="U239" s="81"/>
      <c r="V239" s="84"/>
      <c r="W239" s="84"/>
    </row>
    <row r="240" spans="1:23" x14ac:dyDescent="0.4">
      <c r="A240" s="85" t="s">
        <v>418</v>
      </c>
      <c r="B240" s="109" t="s">
        <v>110</v>
      </c>
      <c r="C240" s="129" t="s">
        <v>8</v>
      </c>
      <c r="D240" s="129" t="s">
        <v>485</v>
      </c>
      <c r="E240" s="129" t="s">
        <v>484</v>
      </c>
      <c r="F240" s="129" t="s">
        <v>485</v>
      </c>
      <c r="G240" s="129" t="s">
        <v>484</v>
      </c>
      <c r="H240" s="129" t="s">
        <v>484</v>
      </c>
      <c r="I240" s="112">
        <v>5.8</v>
      </c>
      <c r="J240" s="77" t="s">
        <v>132</v>
      </c>
      <c r="K240" s="84">
        <v>11.21</v>
      </c>
      <c r="L240" s="86">
        <v>4420000</v>
      </c>
      <c r="M240" s="80">
        <v>0.4</v>
      </c>
      <c r="N240" s="87">
        <v>50</v>
      </c>
      <c r="O240">
        <v>7.24</v>
      </c>
      <c r="P240" s="94">
        <v>3.9626258700000001</v>
      </c>
      <c r="Q240" s="81">
        <f t="shared" si="9"/>
        <v>1.8270713000720404</v>
      </c>
      <c r="R240" s="81">
        <f t="shared" si="10"/>
        <v>1009456893.2898023</v>
      </c>
      <c r="S240" s="81">
        <v>5</v>
      </c>
      <c r="T240" s="81">
        <f t="shared" si="11"/>
        <v>201891378.65796047</v>
      </c>
      <c r="U240" s="81"/>
      <c r="V240" s="84"/>
      <c r="W240" s="84"/>
    </row>
    <row r="241" spans="1:23" x14ac:dyDescent="0.4">
      <c r="A241" s="85" t="s">
        <v>419</v>
      </c>
      <c r="B241" s="109" t="s">
        <v>110</v>
      </c>
      <c r="C241" s="129" t="s">
        <v>8</v>
      </c>
      <c r="D241" s="129" t="s">
        <v>485</v>
      </c>
      <c r="E241" s="129" t="s">
        <v>484</v>
      </c>
      <c r="F241" s="129" t="s">
        <v>485</v>
      </c>
      <c r="G241" s="129" t="s">
        <v>484</v>
      </c>
      <c r="H241" s="129" t="s">
        <v>484</v>
      </c>
      <c r="I241" s="112">
        <v>5.8</v>
      </c>
      <c r="J241" s="77" t="s">
        <v>132</v>
      </c>
      <c r="K241" s="84">
        <v>11.26</v>
      </c>
      <c r="L241" s="86">
        <v>4290000</v>
      </c>
      <c r="M241" s="80">
        <v>0.4</v>
      </c>
      <c r="N241" s="87">
        <v>50</v>
      </c>
      <c r="O241">
        <v>7.24</v>
      </c>
      <c r="P241" s="94">
        <v>3.9626258700000001</v>
      </c>
      <c r="Q241" s="81">
        <f t="shared" si="9"/>
        <v>1.8270713000720404</v>
      </c>
      <c r="R241" s="81">
        <f t="shared" si="10"/>
        <v>979766984.66363156</v>
      </c>
      <c r="S241" s="81">
        <v>5</v>
      </c>
      <c r="T241" s="81">
        <f t="shared" si="11"/>
        <v>195953396.93272632</v>
      </c>
      <c r="U241" s="81">
        <f>AVERAGE(T239:T241)</f>
        <v>209808687.62493929</v>
      </c>
      <c r="V241" s="81">
        <f>_xlfn.STDEV.S(T239:T241)</f>
        <v>19087940.661105476</v>
      </c>
      <c r="W241" s="81">
        <f>MAX(K239:K241)-MIN(K239:K241)</f>
        <v>0.25999999999999979</v>
      </c>
    </row>
    <row r="242" spans="1:23" x14ac:dyDescent="0.4">
      <c r="A242" s="85" t="s">
        <v>420</v>
      </c>
      <c r="B242" s="109" t="s">
        <v>111</v>
      </c>
      <c r="C242" s="129" t="s">
        <v>9</v>
      </c>
      <c r="D242" s="129" t="s">
        <v>485</v>
      </c>
      <c r="E242" s="129" t="s">
        <v>484</v>
      </c>
      <c r="F242" s="129" t="s">
        <v>485</v>
      </c>
      <c r="G242" s="129" t="s">
        <v>485</v>
      </c>
      <c r="H242" s="129" t="s">
        <v>484</v>
      </c>
      <c r="I242" s="112">
        <v>5.8</v>
      </c>
      <c r="J242" s="77" t="s">
        <v>132</v>
      </c>
      <c r="K242" s="84">
        <v>10.85</v>
      </c>
      <c r="L242" s="86">
        <v>5610000</v>
      </c>
      <c r="M242" s="80">
        <v>0.4</v>
      </c>
      <c r="N242" s="87">
        <v>50</v>
      </c>
      <c r="O242">
        <v>6.09</v>
      </c>
      <c r="P242" s="94">
        <v>3.51862158</v>
      </c>
      <c r="Q242" s="81">
        <f t="shared" si="9"/>
        <v>1.7307914083787321</v>
      </c>
      <c r="R242" s="81">
        <f t="shared" si="10"/>
        <v>1213717475.1255858</v>
      </c>
      <c r="S242" s="81">
        <v>5</v>
      </c>
      <c r="T242" s="81">
        <f t="shared" si="11"/>
        <v>242743495.02511716</v>
      </c>
      <c r="U242" s="81"/>
      <c r="V242" s="84"/>
      <c r="W242" s="84"/>
    </row>
    <row r="243" spans="1:23" x14ac:dyDescent="0.4">
      <c r="A243" s="85" t="s">
        <v>421</v>
      </c>
      <c r="B243" s="109" t="s">
        <v>111</v>
      </c>
      <c r="C243" s="129" t="s">
        <v>9</v>
      </c>
      <c r="D243" s="129" t="s">
        <v>485</v>
      </c>
      <c r="E243" s="129" t="s">
        <v>484</v>
      </c>
      <c r="F243" s="129" t="s">
        <v>485</v>
      </c>
      <c r="G243" s="129" t="s">
        <v>485</v>
      </c>
      <c r="H243" s="129" t="s">
        <v>484</v>
      </c>
      <c r="I243" s="112">
        <v>5.8</v>
      </c>
      <c r="J243" s="77" t="s">
        <v>132</v>
      </c>
      <c r="K243" s="84">
        <v>11.09</v>
      </c>
      <c r="L243" s="86">
        <v>4790000</v>
      </c>
      <c r="M243" s="80">
        <v>0.4</v>
      </c>
      <c r="N243" s="87">
        <v>50</v>
      </c>
      <c r="O243">
        <v>6.09</v>
      </c>
      <c r="P243" s="94">
        <v>3.51862158</v>
      </c>
      <c r="Q243" s="81">
        <f t="shared" si="9"/>
        <v>1.7307914083787321</v>
      </c>
      <c r="R243" s="81">
        <f t="shared" si="10"/>
        <v>1036311355.7667658</v>
      </c>
      <c r="S243" s="81">
        <v>5</v>
      </c>
      <c r="T243" s="81">
        <f t="shared" si="11"/>
        <v>207262271.15335315</v>
      </c>
      <c r="U243" s="81"/>
      <c r="V243" s="84"/>
      <c r="W243" s="84"/>
    </row>
    <row r="244" spans="1:23" x14ac:dyDescent="0.4">
      <c r="A244" s="85" t="s">
        <v>422</v>
      </c>
      <c r="B244" s="109" t="s">
        <v>111</v>
      </c>
      <c r="C244" s="129" t="s">
        <v>9</v>
      </c>
      <c r="D244" s="129" t="s">
        <v>485</v>
      </c>
      <c r="E244" s="129" t="s">
        <v>484</v>
      </c>
      <c r="F244" s="129" t="s">
        <v>485</v>
      </c>
      <c r="G244" s="129" t="s">
        <v>485</v>
      </c>
      <c r="H244" s="129" t="s">
        <v>484</v>
      </c>
      <c r="I244" s="112">
        <v>5.8</v>
      </c>
      <c r="J244" s="77" t="s">
        <v>132</v>
      </c>
      <c r="K244" s="84">
        <v>11.11</v>
      </c>
      <c r="L244" s="86">
        <v>4720000</v>
      </c>
      <c r="M244" s="80">
        <v>0.4</v>
      </c>
      <c r="N244" s="87">
        <v>50</v>
      </c>
      <c r="O244">
        <v>6.09</v>
      </c>
      <c r="P244" s="94">
        <v>3.51862158</v>
      </c>
      <c r="Q244" s="81">
        <f t="shared" si="9"/>
        <v>1.7307914083787321</v>
      </c>
      <c r="R244" s="81">
        <f t="shared" si="10"/>
        <v>1021166930.9434519</v>
      </c>
      <c r="S244" s="81">
        <v>5</v>
      </c>
      <c r="T244" s="81">
        <f t="shared" si="11"/>
        <v>204233386.18869036</v>
      </c>
      <c r="U244" s="81">
        <f>AVERAGE(T242:T244)</f>
        <v>218079717.45572022</v>
      </c>
      <c r="V244" s="81">
        <f>_xlfn.STDEV.S(T242:T244)</f>
        <v>21413079.625005029</v>
      </c>
      <c r="W244" s="81">
        <f>MAX(K242:K244)-MIN(K242:K244)</f>
        <v>0.25999999999999979</v>
      </c>
    </row>
    <row r="245" spans="1:23" x14ac:dyDescent="0.4">
      <c r="A245" s="85" t="s">
        <v>423</v>
      </c>
      <c r="B245" s="107" t="s">
        <v>174</v>
      </c>
      <c r="C245" s="131"/>
      <c r="D245" s="131"/>
      <c r="E245" s="131"/>
      <c r="F245" s="131"/>
      <c r="G245" s="131"/>
      <c r="H245" s="131"/>
      <c r="I245" s="112"/>
      <c r="J245" s="77"/>
      <c r="K245" s="84"/>
      <c r="L245" s="84"/>
      <c r="M245" s="80"/>
      <c r="N245" s="84"/>
      <c r="P245" s="94"/>
      <c r="Q245" s="81" t="e">
        <f t="shared" si="9"/>
        <v>#DIV/0!</v>
      </c>
      <c r="R245" s="81" t="e">
        <f t="shared" si="10"/>
        <v>#DIV/0!</v>
      </c>
      <c r="S245" s="81">
        <v>5</v>
      </c>
      <c r="T245" s="81" t="e">
        <f t="shared" si="11"/>
        <v>#DIV/0!</v>
      </c>
      <c r="U245" s="81"/>
      <c r="V245" s="84"/>
      <c r="W245" s="84"/>
    </row>
    <row r="246" spans="1:23" x14ac:dyDescent="0.4">
      <c r="A246" s="85" t="s">
        <v>424</v>
      </c>
      <c r="B246" s="107" t="s">
        <v>174</v>
      </c>
      <c r="C246" s="131"/>
      <c r="D246" s="131"/>
      <c r="E246" s="131"/>
      <c r="F246" s="131"/>
      <c r="G246" s="131"/>
      <c r="H246" s="131"/>
      <c r="I246" s="112"/>
      <c r="J246" s="77"/>
      <c r="K246" s="84"/>
      <c r="L246" s="84"/>
      <c r="M246" s="80"/>
      <c r="N246" s="84"/>
      <c r="P246" s="94"/>
      <c r="Q246" s="81" t="e">
        <f t="shared" si="9"/>
        <v>#DIV/0!</v>
      </c>
      <c r="R246" s="81" t="e">
        <f t="shared" si="10"/>
        <v>#DIV/0!</v>
      </c>
      <c r="S246" s="81">
        <v>5</v>
      </c>
      <c r="T246" s="81" t="e">
        <f t="shared" si="11"/>
        <v>#DIV/0!</v>
      </c>
      <c r="U246" s="81"/>
      <c r="V246" s="84"/>
      <c r="W246" s="84"/>
    </row>
    <row r="247" spans="1:23" x14ac:dyDescent="0.4">
      <c r="A247" s="85" t="s">
        <v>425</v>
      </c>
      <c r="B247" s="107" t="s">
        <v>174</v>
      </c>
      <c r="C247" s="131"/>
      <c r="D247" s="131"/>
      <c r="E247" s="131"/>
      <c r="F247" s="131"/>
      <c r="G247" s="131"/>
      <c r="H247" s="131"/>
      <c r="I247" s="112"/>
      <c r="J247" s="77"/>
      <c r="K247" s="84"/>
      <c r="L247" s="84"/>
      <c r="M247" s="80"/>
      <c r="N247" s="84"/>
      <c r="P247" s="94"/>
      <c r="Q247" s="81" t="e">
        <f t="shared" si="9"/>
        <v>#DIV/0!</v>
      </c>
      <c r="R247" s="81" t="e">
        <f t="shared" si="10"/>
        <v>#DIV/0!</v>
      </c>
      <c r="S247" s="81">
        <v>5</v>
      </c>
      <c r="T247" s="81" t="e">
        <f t="shared" si="11"/>
        <v>#DIV/0!</v>
      </c>
      <c r="U247" s="81" t="e">
        <f>AVERAGE(T245:T247)</f>
        <v>#DIV/0!</v>
      </c>
      <c r="V247" s="81" t="e">
        <f>_xlfn.STDEV.S(T245:T247)</f>
        <v>#DIV/0!</v>
      </c>
      <c r="W247" s="81">
        <f>MAX(K245:K247)-MIN(K245:K247)</f>
        <v>0</v>
      </c>
    </row>
    <row r="248" spans="1:23" x14ac:dyDescent="0.4">
      <c r="A248" s="85" t="s">
        <v>426</v>
      </c>
      <c r="B248" s="109" t="s">
        <v>149</v>
      </c>
      <c r="C248" s="131" t="s">
        <v>178</v>
      </c>
      <c r="D248" s="131"/>
      <c r="E248" s="131"/>
      <c r="F248" s="131"/>
      <c r="G248" s="131"/>
      <c r="H248" s="131"/>
      <c r="I248" s="112"/>
      <c r="J248" s="77"/>
      <c r="K248" s="84">
        <v>29.86</v>
      </c>
      <c r="L248" s="86">
        <v>23.1</v>
      </c>
      <c r="M248" s="80"/>
      <c r="N248" s="87"/>
      <c r="P248" s="94"/>
      <c r="Q248" s="81" t="e">
        <f t="shared" si="9"/>
        <v>#DIV/0!</v>
      </c>
      <c r="R248" s="81" t="e">
        <f t="shared" si="10"/>
        <v>#DIV/0!</v>
      </c>
      <c r="S248" s="81">
        <v>5</v>
      </c>
      <c r="T248" s="81" t="e">
        <f t="shared" si="11"/>
        <v>#DIV/0!</v>
      </c>
      <c r="U248" s="81"/>
      <c r="V248" s="84"/>
      <c r="W248" s="84"/>
    </row>
    <row r="249" spans="1:23" x14ac:dyDescent="0.4">
      <c r="A249" s="85" t="s">
        <v>427</v>
      </c>
      <c r="B249" s="109" t="s">
        <v>149</v>
      </c>
      <c r="C249" s="131" t="s">
        <v>178</v>
      </c>
      <c r="D249" s="131"/>
      <c r="E249" s="131"/>
      <c r="F249" s="131"/>
      <c r="G249" s="131"/>
      <c r="H249" s="131"/>
      <c r="I249" s="112"/>
      <c r="J249" s="77"/>
      <c r="K249" s="84">
        <v>30.31</v>
      </c>
      <c r="L249" s="86">
        <v>17.3</v>
      </c>
      <c r="M249" s="80"/>
      <c r="N249" s="87"/>
      <c r="P249" s="94"/>
      <c r="Q249" s="81" t="e">
        <f t="shared" si="9"/>
        <v>#DIV/0!</v>
      </c>
      <c r="R249" s="81" t="e">
        <f t="shared" si="10"/>
        <v>#DIV/0!</v>
      </c>
      <c r="S249" s="81">
        <v>5</v>
      </c>
      <c r="T249" s="81" t="e">
        <f t="shared" si="11"/>
        <v>#DIV/0!</v>
      </c>
      <c r="U249" s="81"/>
      <c r="V249" s="84"/>
      <c r="W249" s="84"/>
    </row>
    <row r="250" spans="1:23" x14ac:dyDescent="0.4">
      <c r="A250" s="85" t="s">
        <v>428</v>
      </c>
      <c r="B250" s="109" t="s">
        <v>149</v>
      </c>
      <c r="C250" s="131" t="s">
        <v>178</v>
      </c>
      <c r="D250" s="131"/>
      <c r="E250" s="131"/>
      <c r="F250" s="131"/>
      <c r="G250" s="131"/>
      <c r="H250" s="131"/>
      <c r="I250" s="112"/>
      <c r="J250" s="77"/>
      <c r="K250" s="84">
        <v>30.48</v>
      </c>
      <c r="L250" s="86">
        <v>15.4</v>
      </c>
      <c r="M250" s="80"/>
      <c r="N250" s="87"/>
      <c r="P250" s="94"/>
      <c r="Q250" s="81" t="e">
        <f t="shared" si="9"/>
        <v>#DIV/0!</v>
      </c>
      <c r="R250" s="81" t="e">
        <f t="shared" si="10"/>
        <v>#DIV/0!</v>
      </c>
      <c r="S250" s="81">
        <v>5</v>
      </c>
      <c r="T250" s="81" t="e">
        <f t="shared" si="11"/>
        <v>#DIV/0!</v>
      </c>
      <c r="U250" s="81" t="e">
        <f>AVERAGE(T248:T250)</f>
        <v>#DIV/0!</v>
      </c>
      <c r="V250" s="81" t="e">
        <f>_xlfn.STDEV.S(T248:T250)</f>
        <v>#DIV/0!</v>
      </c>
      <c r="W250" s="81">
        <f>MAX(K248:K250)-MIN(K248:K250)</f>
        <v>0.62000000000000099</v>
      </c>
    </row>
    <row r="251" spans="1:23" x14ac:dyDescent="0.4">
      <c r="A251" s="85" t="s">
        <v>429</v>
      </c>
      <c r="B251" s="109" t="s">
        <v>120</v>
      </c>
      <c r="C251" s="129" t="s">
        <v>8</v>
      </c>
      <c r="D251" s="129" t="s">
        <v>485</v>
      </c>
      <c r="E251" s="129" t="s">
        <v>484</v>
      </c>
      <c r="F251" s="129" t="s">
        <v>485</v>
      </c>
      <c r="G251" s="129" t="s">
        <v>484</v>
      </c>
      <c r="H251" s="129" t="s">
        <v>484</v>
      </c>
      <c r="I251" s="112">
        <v>4.8</v>
      </c>
      <c r="J251" s="77" t="s">
        <v>133</v>
      </c>
      <c r="K251" s="84">
        <v>14.81</v>
      </c>
      <c r="L251" s="86">
        <v>424000</v>
      </c>
      <c r="M251" s="80">
        <v>0.4</v>
      </c>
      <c r="N251" s="87">
        <v>50</v>
      </c>
      <c r="O251">
        <v>3.41</v>
      </c>
      <c r="P251" s="94">
        <v>3.3580046440000002</v>
      </c>
      <c r="Q251" s="81">
        <f t="shared" si="9"/>
        <v>1.0154840036010384</v>
      </c>
      <c r="R251" s="81">
        <f t="shared" si="10"/>
        <v>53820652.190855034</v>
      </c>
      <c r="S251" s="81">
        <v>5</v>
      </c>
      <c r="T251" s="81">
        <f t="shared" si="11"/>
        <v>10764130.438171007</v>
      </c>
      <c r="U251" s="81"/>
      <c r="V251" s="84"/>
      <c r="W251" s="84"/>
    </row>
    <row r="252" spans="1:23" x14ac:dyDescent="0.4">
      <c r="A252" s="85" t="s">
        <v>430</v>
      </c>
      <c r="B252" s="109" t="s">
        <v>120</v>
      </c>
      <c r="C252" s="129" t="s">
        <v>8</v>
      </c>
      <c r="D252" s="129" t="s">
        <v>485</v>
      </c>
      <c r="E252" s="129" t="s">
        <v>484</v>
      </c>
      <c r="F252" s="129" t="s">
        <v>485</v>
      </c>
      <c r="G252" s="129" t="s">
        <v>484</v>
      </c>
      <c r="H252" s="129" t="s">
        <v>484</v>
      </c>
      <c r="I252" s="112">
        <v>4.8</v>
      </c>
      <c r="J252" s="77" t="s">
        <v>133</v>
      </c>
      <c r="K252" s="84">
        <v>14.96</v>
      </c>
      <c r="L252" s="86">
        <v>385000</v>
      </c>
      <c r="M252" s="80">
        <v>0.4</v>
      </c>
      <c r="N252" s="87">
        <v>50</v>
      </c>
      <c r="O252">
        <v>3.41</v>
      </c>
      <c r="P252" s="94">
        <v>3.3580046440000002</v>
      </c>
      <c r="Q252" s="81">
        <f t="shared" si="9"/>
        <v>1.0154840036010384</v>
      </c>
      <c r="R252" s="81">
        <f t="shared" si="10"/>
        <v>48870167.673299968</v>
      </c>
      <c r="S252" s="81">
        <v>5</v>
      </c>
      <c r="T252" s="81">
        <f t="shared" si="11"/>
        <v>9774033.5346599929</v>
      </c>
      <c r="U252" s="81"/>
      <c r="V252" s="84"/>
      <c r="W252" s="84"/>
    </row>
    <row r="253" spans="1:23" x14ac:dyDescent="0.4">
      <c r="A253" s="85" t="s">
        <v>431</v>
      </c>
      <c r="B253" s="109" t="s">
        <v>120</v>
      </c>
      <c r="C253" s="129" t="s">
        <v>8</v>
      </c>
      <c r="D253" s="129" t="s">
        <v>485</v>
      </c>
      <c r="E253" s="129" t="s">
        <v>484</v>
      </c>
      <c r="F253" s="129" t="s">
        <v>485</v>
      </c>
      <c r="G253" s="129" t="s">
        <v>484</v>
      </c>
      <c r="H253" s="129" t="s">
        <v>484</v>
      </c>
      <c r="I253" s="112">
        <v>4.8</v>
      </c>
      <c r="J253" s="77" t="s">
        <v>133</v>
      </c>
      <c r="K253" s="84">
        <v>15.01</v>
      </c>
      <c r="L253" s="86">
        <v>373000</v>
      </c>
      <c r="M253" s="80">
        <v>0.4</v>
      </c>
      <c r="N253" s="87">
        <v>50</v>
      </c>
      <c r="O253">
        <v>3.41</v>
      </c>
      <c r="P253" s="94">
        <v>3.3580046440000002</v>
      </c>
      <c r="Q253" s="81">
        <f t="shared" si="9"/>
        <v>1.0154840036010384</v>
      </c>
      <c r="R253" s="81">
        <f t="shared" si="10"/>
        <v>47346941.667898417</v>
      </c>
      <c r="S253" s="81">
        <v>5</v>
      </c>
      <c r="T253" s="81">
        <f t="shared" si="11"/>
        <v>9469388.3335796837</v>
      </c>
      <c r="U253" s="81">
        <f>AVERAGE(T251:T253)</f>
        <v>10002517.435470229</v>
      </c>
      <c r="V253" s="81">
        <f>_xlfn.STDEV.S(T251:T253)</f>
        <v>676936.44387600233</v>
      </c>
      <c r="W253" s="81">
        <f>MAX(K251:K253)-MIN(K251:K253)</f>
        <v>0.19999999999999929</v>
      </c>
    </row>
    <row r="254" spans="1:23" x14ac:dyDescent="0.4">
      <c r="A254" s="85" t="s">
        <v>432</v>
      </c>
      <c r="B254" s="109" t="s">
        <v>121</v>
      </c>
      <c r="C254" s="129" t="s">
        <v>9</v>
      </c>
      <c r="D254" s="129" t="s">
        <v>485</v>
      </c>
      <c r="E254" s="129" t="s">
        <v>484</v>
      </c>
      <c r="F254" s="129" t="s">
        <v>485</v>
      </c>
      <c r="G254" s="129" t="s">
        <v>485</v>
      </c>
      <c r="H254" s="129" t="s">
        <v>484</v>
      </c>
      <c r="I254" s="112">
        <v>4.8</v>
      </c>
      <c r="J254" s="77" t="s">
        <v>133</v>
      </c>
      <c r="K254" s="84">
        <v>13.84</v>
      </c>
      <c r="L254" s="86">
        <v>799000</v>
      </c>
      <c r="M254" s="80">
        <v>0.4</v>
      </c>
      <c r="N254" s="87">
        <v>50</v>
      </c>
      <c r="O254">
        <v>5.14</v>
      </c>
      <c r="P254" s="94">
        <v>4.0757038860000003</v>
      </c>
      <c r="Q254" s="81">
        <f t="shared" si="9"/>
        <v>1.2611318544646595</v>
      </c>
      <c r="R254" s="81">
        <f t="shared" si="10"/>
        <v>125955543.96465786</v>
      </c>
      <c r="S254" s="81">
        <v>5</v>
      </c>
      <c r="T254" s="81">
        <f t="shared" si="11"/>
        <v>25191108.792931572</v>
      </c>
      <c r="U254" s="81"/>
      <c r="V254" s="84"/>
      <c r="W254" s="84"/>
    </row>
    <row r="255" spans="1:23" x14ac:dyDescent="0.4">
      <c r="A255" s="85" t="s">
        <v>433</v>
      </c>
      <c r="B255" s="109" t="s">
        <v>121</v>
      </c>
      <c r="C255" s="129" t="s">
        <v>9</v>
      </c>
      <c r="D255" s="129" t="s">
        <v>485</v>
      </c>
      <c r="E255" s="129" t="s">
        <v>484</v>
      </c>
      <c r="F255" s="129" t="s">
        <v>485</v>
      </c>
      <c r="G255" s="129" t="s">
        <v>485</v>
      </c>
      <c r="H255" s="129" t="s">
        <v>484</v>
      </c>
      <c r="I255" s="112">
        <v>4.8</v>
      </c>
      <c r="J255" s="77" t="s">
        <v>133</v>
      </c>
      <c r="K255" s="84">
        <v>13.96</v>
      </c>
      <c r="L255" s="86">
        <v>737000</v>
      </c>
      <c r="M255" s="80">
        <v>0.4</v>
      </c>
      <c r="N255" s="87">
        <v>50</v>
      </c>
      <c r="O255">
        <v>5.14</v>
      </c>
      <c r="P255" s="94">
        <v>4.0757038860000003</v>
      </c>
      <c r="Q255" s="81">
        <f t="shared" si="9"/>
        <v>1.2611318544646595</v>
      </c>
      <c r="R255" s="81">
        <f t="shared" si="10"/>
        <v>116181772.09255674</v>
      </c>
      <c r="S255" s="81">
        <v>5</v>
      </c>
      <c r="T255" s="81">
        <f t="shared" si="11"/>
        <v>23236354.41851135</v>
      </c>
      <c r="U255" s="81"/>
      <c r="V255" s="84"/>
      <c r="W255" s="84"/>
    </row>
    <row r="256" spans="1:23" x14ac:dyDescent="0.4">
      <c r="A256" s="85" t="s">
        <v>434</v>
      </c>
      <c r="B256" s="109" t="s">
        <v>121</v>
      </c>
      <c r="C256" s="129" t="s">
        <v>9</v>
      </c>
      <c r="D256" s="129" t="s">
        <v>485</v>
      </c>
      <c r="E256" s="129" t="s">
        <v>484</v>
      </c>
      <c r="F256" s="129" t="s">
        <v>485</v>
      </c>
      <c r="G256" s="129" t="s">
        <v>485</v>
      </c>
      <c r="H256" s="129" t="s">
        <v>484</v>
      </c>
      <c r="I256" s="112">
        <v>4.8</v>
      </c>
      <c r="J256" s="77" t="s">
        <v>133</v>
      </c>
      <c r="K256" s="84">
        <v>13.96</v>
      </c>
      <c r="L256" s="86">
        <v>735000</v>
      </c>
      <c r="M256" s="80">
        <v>0.4</v>
      </c>
      <c r="N256" s="87">
        <v>50</v>
      </c>
      <c r="O256">
        <v>5.14</v>
      </c>
      <c r="P256" s="94">
        <v>4.0757038860000003</v>
      </c>
      <c r="Q256" s="81">
        <f t="shared" si="9"/>
        <v>1.2611318544646595</v>
      </c>
      <c r="R256" s="81">
        <f t="shared" si="10"/>
        <v>115866489.12894058</v>
      </c>
      <c r="S256" s="81">
        <v>5</v>
      </c>
      <c r="T256" s="81">
        <f t="shared" si="11"/>
        <v>23173297.825788118</v>
      </c>
      <c r="U256" s="81">
        <f>AVERAGE(T254:T256)</f>
        <v>23866920.345743675</v>
      </c>
      <c r="V256" s="81">
        <f>_xlfn.STDEV.S(T254:T256)</f>
        <v>1147214.1544719869</v>
      </c>
      <c r="W256" s="81">
        <f>MAX(K254:K256)-MIN(K254:K256)</f>
        <v>0.12000000000000099</v>
      </c>
    </row>
    <row r="257" spans="1:23" x14ac:dyDescent="0.4">
      <c r="A257" s="85" t="s">
        <v>435</v>
      </c>
      <c r="B257" s="107" t="s">
        <v>174</v>
      </c>
      <c r="C257" s="131"/>
      <c r="D257" s="131"/>
      <c r="E257" s="131"/>
      <c r="F257" s="131"/>
      <c r="G257" s="131"/>
      <c r="H257" s="131"/>
      <c r="I257" s="112"/>
      <c r="J257" s="77"/>
      <c r="K257" s="84"/>
      <c r="L257" s="84"/>
      <c r="M257" s="80"/>
      <c r="N257" s="84"/>
      <c r="P257" s="94"/>
      <c r="Q257" s="81" t="e">
        <f t="shared" si="9"/>
        <v>#DIV/0!</v>
      </c>
      <c r="R257" s="81" t="e">
        <f t="shared" si="10"/>
        <v>#DIV/0!</v>
      </c>
      <c r="S257" s="81">
        <v>5</v>
      </c>
      <c r="T257" s="81" t="e">
        <f t="shared" si="11"/>
        <v>#DIV/0!</v>
      </c>
      <c r="U257" s="81"/>
      <c r="V257" s="84"/>
      <c r="W257" s="84"/>
    </row>
    <row r="258" spans="1:23" x14ac:dyDescent="0.4">
      <c r="A258" s="85" t="s">
        <v>436</v>
      </c>
      <c r="B258" s="107" t="s">
        <v>174</v>
      </c>
      <c r="C258" s="131"/>
      <c r="D258" s="131"/>
      <c r="E258" s="131"/>
      <c r="F258" s="131"/>
      <c r="G258" s="131"/>
      <c r="H258" s="131"/>
      <c r="I258" s="112"/>
      <c r="J258" s="77"/>
      <c r="K258" s="84"/>
      <c r="L258" s="84"/>
      <c r="M258" s="80"/>
      <c r="N258" s="84"/>
      <c r="P258" s="94"/>
      <c r="Q258" s="81" t="e">
        <f t="shared" si="9"/>
        <v>#DIV/0!</v>
      </c>
      <c r="R258" s="81" t="e">
        <f t="shared" si="10"/>
        <v>#DIV/0!</v>
      </c>
      <c r="S258" s="81">
        <v>5</v>
      </c>
      <c r="T258" s="81" t="e">
        <f t="shared" si="11"/>
        <v>#DIV/0!</v>
      </c>
      <c r="U258" s="81"/>
      <c r="V258" s="84"/>
      <c r="W258" s="84"/>
    </row>
    <row r="259" spans="1:23" x14ac:dyDescent="0.4">
      <c r="A259" s="85" t="s">
        <v>437</v>
      </c>
      <c r="B259" s="107" t="s">
        <v>174</v>
      </c>
      <c r="C259" s="131"/>
      <c r="D259" s="131"/>
      <c r="E259" s="131"/>
      <c r="F259" s="131"/>
      <c r="G259" s="131"/>
      <c r="H259" s="131"/>
      <c r="I259" s="112"/>
      <c r="J259" s="77"/>
      <c r="K259" s="84"/>
      <c r="L259" s="84"/>
      <c r="M259" s="80"/>
      <c r="N259" s="84"/>
      <c r="P259" s="94"/>
      <c r="Q259" s="81" t="e">
        <f t="shared" si="9"/>
        <v>#DIV/0!</v>
      </c>
      <c r="R259" s="81" t="e">
        <f t="shared" si="10"/>
        <v>#DIV/0!</v>
      </c>
      <c r="S259" s="81">
        <v>5</v>
      </c>
      <c r="T259" s="81" t="e">
        <f t="shared" si="11"/>
        <v>#DIV/0!</v>
      </c>
      <c r="U259" s="81" t="e">
        <f>AVERAGE(T257:T259)</f>
        <v>#DIV/0!</v>
      </c>
      <c r="V259" s="81" t="e">
        <f>_xlfn.STDEV.S(T257:T259)</f>
        <v>#DIV/0!</v>
      </c>
      <c r="W259" s="81">
        <f>MAX(K257:K259)-MIN(K257:K259)</f>
        <v>0</v>
      </c>
    </row>
    <row r="260" spans="1:23" x14ac:dyDescent="0.4">
      <c r="A260" s="85" t="s">
        <v>438</v>
      </c>
      <c r="B260" s="109" t="s">
        <v>150</v>
      </c>
      <c r="C260" s="131" t="s">
        <v>179</v>
      </c>
      <c r="D260" s="131"/>
      <c r="E260" s="131"/>
      <c r="F260" s="131"/>
      <c r="G260" s="131"/>
      <c r="H260" s="131"/>
      <c r="I260" s="112"/>
      <c r="J260" s="77"/>
      <c r="K260" s="84">
        <v>35</v>
      </c>
      <c r="L260" s="86">
        <v>0.80900000000000005</v>
      </c>
      <c r="M260" s="80"/>
      <c r="N260" s="87"/>
      <c r="P260" s="94"/>
      <c r="Q260" s="81" t="e">
        <f t="shared" si="9"/>
        <v>#DIV/0!</v>
      </c>
      <c r="R260" s="81" t="e">
        <f t="shared" si="10"/>
        <v>#DIV/0!</v>
      </c>
      <c r="S260" s="81">
        <v>5</v>
      </c>
      <c r="T260" s="81" t="e">
        <f t="shared" si="11"/>
        <v>#DIV/0!</v>
      </c>
      <c r="U260" s="81"/>
      <c r="V260" s="84"/>
      <c r="W260" s="84"/>
    </row>
    <row r="261" spans="1:23" x14ac:dyDescent="0.4">
      <c r="A261" s="85" t="s">
        <v>439</v>
      </c>
      <c r="B261" s="109" t="s">
        <v>150</v>
      </c>
      <c r="C261" s="131" t="s">
        <v>179</v>
      </c>
      <c r="D261" s="131"/>
      <c r="E261" s="131"/>
      <c r="F261" s="131"/>
      <c r="G261" s="131"/>
      <c r="H261" s="131"/>
      <c r="I261" s="112"/>
      <c r="J261" s="77"/>
      <c r="K261" s="84">
        <v>35</v>
      </c>
      <c r="L261" s="86">
        <v>0.80900000000000005</v>
      </c>
      <c r="M261" s="80"/>
      <c r="N261" s="87"/>
      <c r="P261" s="94"/>
      <c r="Q261" s="81" t="e">
        <f t="shared" si="9"/>
        <v>#DIV/0!</v>
      </c>
      <c r="R261" s="81" t="e">
        <f t="shared" si="10"/>
        <v>#DIV/0!</v>
      </c>
      <c r="S261" s="81">
        <v>5</v>
      </c>
      <c r="T261" s="81" t="e">
        <f t="shared" si="11"/>
        <v>#DIV/0!</v>
      </c>
      <c r="U261" s="81"/>
      <c r="V261" s="84"/>
      <c r="W261" s="84"/>
    </row>
    <row r="262" spans="1:23" x14ac:dyDescent="0.4">
      <c r="A262" s="85" t="s">
        <v>440</v>
      </c>
      <c r="B262" s="109" t="s">
        <v>150</v>
      </c>
      <c r="C262" s="131" t="s">
        <v>179</v>
      </c>
      <c r="D262" s="131"/>
      <c r="E262" s="131"/>
      <c r="F262" s="131"/>
      <c r="G262" s="131"/>
      <c r="H262" s="131"/>
      <c r="I262" s="112"/>
      <c r="J262" s="77"/>
      <c r="K262" s="84">
        <v>35</v>
      </c>
      <c r="L262" s="86">
        <v>0.80900000000000005</v>
      </c>
      <c r="M262" s="80"/>
      <c r="N262" s="87"/>
      <c r="P262" s="94"/>
      <c r="Q262" s="81" t="e">
        <f t="shared" si="9"/>
        <v>#DIV/0!</v>
      </c>
      <c r="R262" s="81" t="e">
        <f t="shared" si="10"/>
        <v>#DIV/0!</v>
      </c>
      <c r="S262" s="81">
        <v>5</v>
      </c>
      <c r="T262" s="81" t="e">
        <f t="shared" si="11"/>
        <v>#DIV/0!</v>
      </c>
      <c r="U262" s="81" t="e">
        <f>AVERAGE(T260:T262)</f>
        <v>#DIV/0!</v>
      </c>
      <c r="V262" s="81" t="e">
        <f>_xlfn.STDEV.S(T260:T262)</f>
        <v>#DIV/0!</v>
      </c>
      <c r="W262" s="81">
        <f>MAX(K260:K262)-MIN(K260:K262)</f>
        <v>0</v>
      </c>
    </row>
    <row r="263" spans="1:23" x14ac:dyDescent="0.4">
      <c r="A263" s="85" t="s">
        <v>441</v>
      </c>
      <c r="B263" s="109" t="s">
        <v>130</v>
      </c>
      <c r="C263" s="129" t="s">
        <v>8</v>
      </c>
      <c r="D263" s="129" t="s">
        <v>485</v>
      </c>
      <c r="E263" s="129" t="s">
        <v>484</v>
      </c>
      <c r="F263" s="129" t="s">
        <v>485</v>
      </c>
      <c r="G263" s="129" t="s">
        <v>484</v>
      </c>
      <c r="H263" s="129" t="s">
        <v>484</v>
      </c>
      <c r="I263" s="112">
        <v>5.8</v>
      </c>
      <c r="J263" s="77" t="s">
        <v>133</v>
      </c>
      <c r="K263" s="84">
        <v>16.11</v>
      </c>
      <c r="L263" s="86">
        <v>182000</v>
      </c>
      <c r="M263" s="80">
        <v>0.4</v>
      </c>
      <c r="N263" s="87">
        <v>50</v>
      </c>
      <c r="O263">
        <v>143.59</v>
      </c>
      <c r="P263" s="94">
        <v>6.6052360180000003</v>
      </c>
      <c r="Q263" s="81">
        <f t="shared" si="9"/>
        <v>21.738814420665868</v>
      </c>
      <c r="R263" s="81">
        <f t="shared" si="10"/>
        <v>494558028.07014853</v>
      </c>
      <c r="S263" s="81">
        <v>5</v>
      </c>
      <c r="T263" s="81">
        <f t="shared" si="11"/>
        <v>98911605.614029706</v>
      </c>
      <c r="U263" s="81"/>
      <c r="V263" s="84"/>
      <c r="W263" s="84"/>
    </row>
    <row r="264" spans="1:23" x14ac:dyDescent="0.4">
      <c r="A264" s="85" t="s">
        <v>442</v>
      </c>
      <c r="B264" s="109" t="s">
        <v>130</v>
      </c>
      <c r="C264" s="129" t="s">
        <v>8</v>
      </c>
      <c r="D264" s="129" t="s">
        <v>485</v>
      </c>
      <c r="E264" s="129" t="s">
        <v>484</v>
      </c>
      <c r="F264" s="129" t="s">
        <v>485</v>
      </c>
      <c r="G264" s="129" t="s">
        <v>484</v>
      </c>
      <c r="H264" s="129" t="s">
        <v>484</v>
      </c>
      <c r="I264" s="112">
        <v>5.8</v>
      </c>
      <c r="J264" s="77" t="s">
        <v>133</v>
      </c>
      <c r="K264" s="84">
        <v>16.09</v>
      </c>
      <c r="L264" s="86">
        <v>183000</v>
      </c>
      <c r="M264" s="80">
        <v>0.4</v>
      </c>
      <c r="N264" s="87">
        <v>50</v>
      </c>
      <c r="O264">
        <v>143.59</v>
      </c>
      <c r="P264" s="94">
        <v>6.6052360180000003</v>
      </c>
      <c r="Q264" s="81">
        <f t="shared" si="9"/>
        <v>21.738814420665868</v>
      </c>
      <c r="R264" s="81">
        <f t="shared" si="10"/>
        <v>497275379.87273169</v>
      </c>
      <c r="S264" s="81">
        <v>5</v>
      </c>
      <c r="T264" s="81">
        <f t="shared" si="11"/>
        <v>99455075.974546343</v>
      </c>
      <c r="U264" s="81"/>
      <c r="V264" s="84"/>
      <c r="W264" s="84"/>
    </row>
    <row r="265" spans="1:23" x14ac:dyDescent="0.4">
      <c r="A265" s="85" t="s">
        <v>443</v>
      </c>
      <c r="B265" s="109" t="s">
        <v>130</v>
      </c>
      <c r="C265" s="129" t="s">
        <v>8</v>
      </c>
      <c r="D265" s="129" t="s">
        <v>485</v>
      </c>
      <c r="E265" s="129" t="s">
        <v>484</v>
      </c>
      <c r="F265" s="129" t="s">
        <v>485</v>
      </c>
      <c r="G265" s="129" t="s">
        <v>484</v>
      </c>
      <c r="H265" s="129" t="s">
        <v>484</v>
      </c>
      <c r="I265" s="112">
        <v>5.8</v>
      </c>
      <c r="J265" s="77" t="s">
        <v>133</v>
      </c>
      <c r="K265" s="84">
        <v>16.190000000000001</v>
      </c>
      <c r="L265" s="86">
        <v>172000</v>
      </c>
      <c r="M265" s="80">
        <v>0.4</v>
      </c>
      <c r="N265" s="87">
        <v>50</v>
      </c>
      <c r="O265">
        <v>143.59</v>
      </c>
      <c r="P265" s="94">
        <v>6.6052360180000003</v>
      </c>
      <c r="Q265" s="81">
        <f t="shared" si="9"/>
        <v>21.738814420665868</v>
      </c>
      <c r="R265" s="81">
        <f t="shared" si="10"/>
        <v>467384510.04431611</v>
      </c>
      <c r="S265" s="81">
        <v>5</v>
      </c>
      <c r="T265" s="81">
        <f t="shared" si="11"/>
        <v>93476902.008863226</v>
      </c>
      <c r="U265" s="81">
        <f>AVERAGE(T263:T265)</f>
        <v>97281194.532479763</v>
      </c>
      <c r="V265" s="81">
        <f>_xlfn.STDEV.S(T263:T265)</f>
        <v>3305801.1452783276</v>
      </c>
      <c r="W265" s="81">
        <f>MAX(K263:K265)-MIN(K263:K265)</f>
        <v>0.10000000000000142</v>
      </c>
    </row>
    <row r="266" spans="1:23" x14ac:dyDescent="0.4">
      <c r="A266" s="85" t="s">
        <v>444</v>
      </c>
      <c r="B266" s="109" t="s">
        <v>131</v>
      </c>
      <c r="C266" s="129" t="s">
        <v>9</v>
      </c>
      <c r="D266" s="129" t="s">
        <v>485</v>
      </c>
      <c r="E266" s="129" t="s">
        <v>484</v>
      </c>
      <c r="F266" s="129" t="s">
        <v>485</v>
      </c>
      <c r="G266" s="129" t="s">
        <v>485</v>
      </c>
      <c r="H266" s="129" t="s">
        <v>484</v>
      </c>
      <c r="I266" s="112">
        <v>5.8</v>
      </c>
      <c r="J266" s="77" t="s">
        <v>133</v>
      </c>
      <c r="K266" s="84">
        <v>12.95</v>
      </c>
      <c r="L266" s="86">
        <v>1420000</v>
      </c>
      <c r="M266" s="80">
        <v>0.4</v>
      </c>
      <c r="N266" s="87">
        <v>50</v>
      </c>
      <c r="O266">
        <v>145.94999999999999</v>
      </c>
      <c r="P266" s="94">
        <v>7.5074601200000002</v>
      </c>
      <c r="Q266" s="81">
        <f t="shared" si="9"/>
        <v>19.440662709774074</v>
      </c>
      <c r="R266" s="81">
        <f t="shared" si="10"/>
        <v>3450717630.9848981</v>
      </c>
      <c r="S266" s="81">
        <v>5</v>
      </c>
      <c r="T266" s="81">
        <f t="shared" si="11"/>
        <v>690143526.19697964</v>
      </c>
      <c r="U266" s="81"/>
      <c r="V266" s="84"/>
      <c r="W266" s="84"/>
    </row>
    <row r="267" spans="1:23" x14ac:dyDescent="0.4">
      <c r="A267" s="85" t="s">
        <v>445</v>
      </c>
      <c r="B267" s="109" t="s">
        <v>131</v>
      </c>
      <c r="C267" s="129" t="s">
        <v>9</v>
      </c>
      <c r="D267" s="129" t="s">
        <v>485</v>
      </c>
      <c r="E267" s="129" t="s">
        <v>484</v>
      </c>
      <c r="F267" s="129" t="s">
        <v>485</v>
      </c>
      <c r="G267" s="129" t="s">
        <v>485</v>
      </c>
      <c r="H267" s="129" t="s">
        <v>484</v>
      </c>
      <c r="I267" s="112">
        <v>5.8</v>
      </c>
      <c r="J267" s="77" t="s">
        <v>133</v>
      </c>
      <c r="K267" s="84">
        <v>13.03</v>
      </c>
      <c r="L267" s="86">
        <v>1350000</v>
      </c>
      <c r="M267" s="80">
        <v>0.4</v>
      </c>
      <c r="N267" s="87">
        <v>50</v>
      </c>
      <c r="O267">
        <v>145.94999999999999</v>
      </c>
      <c r="P267" s="94">
        <v>7.5074601200000002</v>
      </c>
      <c r="Q267" s="81">
        <f t="shared" ref="Q267:Q298" si="12">O267/P267</f>
        <v>19.440662709774074</v>
      </c>
      <c r="R267" s="81">
        <f t="shared" ref="R267:R298" si="13">(L267*N267*Q267)/M267</f>
        <v>3280611832.274375</v>
      </c>
      <c r="S267" s="81">
        <v>5</v>
      </c>
      <c r="T267" s="81">
        <f t="shared" ref="T267:T298" si="14">R267/S267</f>
        <v>656122366.45487499</v>
      </c>
      <c r="U267" s="81"/>
      <c r="V267" s="84"/>
      <c r="W267" s="84"/>
    </row>
    <row r="268" spans="1:23" x14ac:dyDescent="0.4">
      <c r="A268" s="85" t="s">
        <v>446</v>
      </c>
      <c r="B268" s="109" t="s">
        <v>131</v>
      </c>
      <c r="C268" s="129" t="s">
        <v>9</v>
      </c>
      <c r="D268" s="129" t="s">
        <v>485</v>
      </c>
      <c r="E268" s="129" t="s">
        <v>484</v>
      </c>
      <c r="F268" s="129" t="s">
        <v>485</v>
      </c>
      <c r="G268" s="129" t="s">
        <v>485</v>
      </c>
      <c r="H268" s="129" t="s">
        <v>484</v>
      </c>
      <c r="I268" s="112">
        <v>5.8</v>
      </c>
      <c r="J268" s="77" t="s">
        <v>133</v>
      </c>
      <c r="K268" s="84">
        <v>13.04</v>
      </c>
      <c r="L268" s="86">
        <v>1340000</v>
      </c>
      <c r="M268" s="80">
        <v>0.4</v>
      </c>
      <c r="N268" s="87">
        <v>50</v>
      </c>
      <c r="O268">
        <v>145.94999999999999</v>
      </c>
      <c r="P268" s="94">
        <v>7.5074601200000002</v>
      </c>
      <c r="Q268" s="81">
        <f t="shared" si="12"/>
        <v>19.440662709774074</v>
      </c>
      <c r="R268" s="81">
        <f t="shared" si="13"/>
        <v>3256311003.8871574</v>
      </c>
      <c r="S268" s="81">
        <v>5</v>
      </c>
      <c r="T268" s="81">
        <f t="shared" si="14"/>
        <v>651262200.77743149</v>
      </c>
      <c r="U268" s="81">
        <f>AVERAGE(T266:T268)</f>
        <v>665842697.809762</v>
      </c>
      <c r="V268" s="81">
        <f>_xlfn.STDEV.S(T266:T268)</f>
        <v>21184971.036841203</v>
      </c>
      <c r="W268" s="81">
        <f>MAX(K266:K268)-MIN(K266:K268)</f>
        <v>8.9999999999999858E-2</v>
      </c>
    </row>
    <row r="269" spans="1:23" x14ac:dyDescent="0.4">
      <c r="A269" s="85" t="s">
        <v>447</v>
      </c>
      <c r="B269" s="107" t="s">
        <v>174</v>
      </c>
      <c r="C269" s="131"/>
      <c r="D269" s="131"/>
      <c r="E269" s="131"/>
      <c r="F269" s="131"/>
      <c r="G269" s="131"/>
      <c r="H269" s="131"/>
      <c r="I269" s="112"/>
      <c r="J269" s="77"/>
      <c r="K269" s="84"/>
      <c r="L269" s="84"/>
      <c r="M269" s="80"/>
      <c r="N269" s="84"/>
      <c r="P269" s="94"/>
      <c r="Q269" s="81" t="e">
        <f t="shared" si="12"/>
        <v>#DIV/0!</v>
      </c>
      <c r="R269" s="81" t="e">
        <f t="shared" si="13"/>
        <v>#DIV/0!</v>
      </c>
      <c r="S269" s="81">
        <v>5</v>
      </c>
      <c r="T269" s="81" t="e">
        <f t="shared" si="14"/>
        <v>#DIV/0!</v>
      </c>
      <c r="U269" s="81"/>
      <c r="V269" s="84"/>
      <c r="W269" s="84"/>
    </row>
    <row r="270" spans="1:23" x14ac:dyDescent="0.4">
      <c r="A270" s="85" t="s">
        <v>448</v>
      </c>
      <c r="B270" s="107" t="s">
        <v>174</v>
      </c>
      <c r="C270" s="131"/>
      <c r="D270" s="131"/>
      <c r="E270" s="131"/>
      <c r="F270" s="131"/>
      <c r="G270" s="131"/>
      <c r="H270" s="131"/>
      <c r="I270" s="112"/>
      <c r="J270" s="77"/>
      <c r="K270" s="84"/>
      <c r="L270" s="84"/>
      <c r="M270" s="80"/>
      <c r="N270" s="84"/>
      <c r="P270" s="94"/>
      <c r="Q270" s="81" t="e">
        <f t="shared" si="12"/>
        <v>#DIV/0!</v>
      </c>
      <c r="R270" s="81" t="e">
        <f t="shared" si="13"/>
        <v>#DIV/0!</v>
      </c>
      <c r="S270" s="81">
        <v>5</v>
      </c>
      <c r="T270" s="81" t="e">
        <f t="shared" si="14"/>
        <v>#DIV/0!</v>
      </c>
      <c r="U270" s="81"/>
      <c r="V270" s="84"/>
      <c r="W270" s="84"/>
    </row>
    <row r="271" spans="1:23" x14ac:dyDescent="0.4">
      <c r="A271" s="85" t="s">
        <v>449</v>
      </c>
      <c r="B271" s="107" t="s">
        <v>174</v>
      </c>
      <c r="C271" s="131"/>
      <c r="D271" s="131"/>
      <c r="E271" s="131"/>
      <c r="F271" s="131"/>
      <c r="G271" s="131"/>
      <c r="H271" s="131"/>
      <c r="I271" s="112"/>
      <c r="J271" s="77"/>
      <c r="K271" s="84"/>
      <c r="L271" s="84"/>
      <c r="M271" s="80"/>
      <c r="N271" s="84"/>
      <c r="P271" s="94"/>
      <c r="Q271" s="81" t="e">
        <f t="shared" si="12"/>
        <v>#DIV/0!</v>
      </c>
      <c r="R271" s="81" t="e">
        <f t="shared" si="13"/>
        <v>#DIV/0!</v>
      </c>
      <c r="S271" s="81">
        <v>5</v>
      </c>
      <c r="T271" s="81" t="e">
        <f t="shared" si="14"/>
        <v>#DIV/0!</v>
      </c>
      <c r="U271" s="81" t="e">
        <f>AVERAGE(T269:T271)</f>
        <v>#DIV/0!</v>
      </c>
      <c r="V271" s="81" t="e">
        <f>_xlfn.STDEV.S(T269:T271)</f>
        <v>#DIV/0!</v>
      </c>
      <c r="W271" s="81">
        <f>MAX(K269:K271)-MIN(K269:K271)</f>
        <v>0</v>
      </c>
    </row>
    <row r="272" spans="1:23" x14ac:dyDescent="0.4">
      <c r="A272" s="85" t="s">
        <v>450</v>
      </c>
      <c r="B272" s="109" t="s">
        <v>151</v>
      </c>
      <c r="C272" s="131" t="s">
        <v>180</v>
      </c>
      <c r="D272" s="131"/>
      <c r="E272" s="131"/>
      <c r="F272" s="131"/>
      <c r="G272" s="131"/>
      <c r="H272" s="131"/>
      <c r="I272" s="112"/>
      <c r="J272" s="77"/>
      <c r="K272" s="84"/>
      <c r="L272" s="84"/>
      <c r="M272" s="80"/>
      <c r="N272" s="84"/>
      <c r="P272" s="94"/>
      <c r="Q272" s="81" t="e">
        <f t="shared" si="12"/>
        <v>#DIV/0!</v>
      </c>
      <c r="R272" s="81" t="e">
        <f t="shared" si="13"/>
        <v>#DIV/0!</v>
      </c>
      <c r="S272" s="81">
        <v>5</v>
      </c>
      <c r="T272" s="81" t="e">
        <f t="shared" si="14"/>
        <v>#DIV/0!</v>
      </c>
      <c r="U272" s="81"/>
      <c r="V272" s="84"/>
      <c r="W272" s="84"/>
    </row>
    <row r="273" spans="1:23" x14ac:dyDescent="0.4">
      <c r="A273" s="85" t="s">
        <v>451</v>
      </c>
      <c r="B273" s="109" t="s">
        <v>151</v>
      </c>
      <c r="C273" s="131" t="s">
        <v>180</v>
      </c>
      <c r="D273" s="131"/>
      <c r="E273" s="131"/>
      <c r="F273" s="131"/>
      <c r="G273" s="131"/>
      <c r="H273" s="131"/>
      <c r="I273" s="112"/>
      <c r="J273" s="77"/>
      <c r="K273" s="84"/>
      <c r="L273" s="84"/>
      <c r="M273" s="80"/>
      <c r="N273" s="84"/>
      <c r="P273" s="94"/>
      <c r="Q273" s="81" t="e">
        <f t="shared" si="12"/>
        <v>#DIV/0!</v>
      </c>
      <c r="R273" s="81" t="e">
        <f t="shared" si="13"/>
        <v>#DIV/0!</v>
      </c>
      <c r="S273" s="81">
        <v>5</v>
      </c>
      <c r="T273" s="81" t="e">
        <f t="shared" si="14"/>
        <v>#DIV/0!</v>
      </c>
      <c r="U273" s="81"/>
      <c r="V273" s="84"/>
      <c r="W273" s="84"/>
    </row>
    <row r="274" spans="1:23" x14ac:dyDescent="0.4">
      <c r="A274" s="85" t="s">
        <v>452</v>
      </c>
      <c r="B274" s="109" t="s">
        <v>151</v>
      </c>
      <c r="C274" s="131" t="s">
        <v>180</v>
      </c>
      <c r="D274" s="131"/>
      <c r="E274" s="131"/>
      <c r="F274" s="131"/>
      <c r="G274" s="131"/>
      <c r="H274" s="131"/>
      <c r="I274" s="112"/>
      <c r="J274" s="77"/>
      <c r="K274" s="84"/>
      <c r="L274" s="84"/>
      <c r="M274" s="80"/>
      <c r="N274" s="84"/>
      <c r="P274" s="94"/>
      <c r="Q274" s="81" t="e">
        <f t="shared" si="12"/>
        <v>#DIV/0!</v>
      </c>
      <c r="R274" s="81" t="e">
        <f t="shared" si="13"/>
        <v>#DIV/0!</v>
      </c>
      <c r="S274" s="81">
        <v>5</v>
      </c>
      <c r="T274" s="81" t="e">
        <f t="shared" si="14"/>
        <v>#DIV/0!</v>
      </c>
      <c r="U274" s="81" t="e">
        <f>AVERAGE(T272:T274)</f>
        <v>#DIV/0!</v>
      </c>
      <c r="V274" s="81" t="e">
        <f>_xlfn.STDEV.S(T272:T274)</f>
        <v>#DIV/0!</v>
      </c>
      <c r="W274" s="81">
        <f>MAX(K272:K274)-MIN(K272:K274)</f>
        <v>0</v>
      </c>
    </row>
    <row r="275" spans="1:23" x14ac:dyDescent="0.4">
      <c r="A275" s="85" t="s">
        <v>453</v>
      </c>
      <c r="B275" s="109" t="s">
        <v>138</v>
      </c>
      <c r="C275" s="131" t="s">
        <v>181</v>
      </c>
      <c r="D275" s="131"/>
      <c r="E275" s="131"/>
      <c r="F275" s="131"/>
      <c r="G275" s="131"/>
      <c r="H275" s="131"/>
      <c r="I275" s="112"/>
      <c r="J275" s="77"/>
      <c r="K275" s="84">
        <v>22.09</v>
      </c>
      <c r="L275" s="86">
        <v>3680</v>
      </c>
      <c r="M275" s="80">
        <v>0.4</v>
      </c>
      <c r="N275" s="87">
        <v>50</v>
      </c>
      <c r="O275">
        <v>32.68</v>
      </c>
      <c r="P275" s="94">
        <v>7.2550884509999998</v>
      </c>
      <c r="Q275" s="81">
        <f t="shared" si="12"/>
        <v>4.5044247524639864</v>
      </c>
      <c r="R275" s="81">
        <f t="shared" si="13"/>
        <v>2072035.3861334338</v>
      </c>
      <c r="S275" s="81">
        <v>5</v>
      </c>
      <c r="T275" s="81">
        <f t="shared" si="14"/>
        <v>414407.07722668676</v>
      </c>
      <c r="U275" s="81"/>
      <c r="V275" s="84"/>
      <c r="W275" s="84"/>
    </row>
    <row r="276" spans="1:23" x14ac:dyDescent="0.4">
      <c r="A276" s="85" t="s">
        <v>454</v>
      </c>
      <c r="B276" s="109" t="s">
        <v>138</v>
      </c>
      <c r="C276" s="131" t="s">
        <v>181</v>
      </c>
      <c r="D276" s="131"/>
      <c r="E276" s="131"/>
      <c r="F276" s="131"/>
      <c r="G276" s="131"/>
      <c r="H276" s="131"/>
      <c r="I276" s="112"/>
      <c r="J276" s="77"/>
      <c r="K276" s="84">
        <v>22.1</v>
      </c>
      <c r="L276" s="86">
        <v>3640</v>
      </c>
      <c r="M276" s="80">
        <v>0.4</v>
      </c>
      <c r="N276" s="87">
        <v>50</v>
      </c>
      <c r="O276">
        <v>32.68</v>
      </c>
      <c r="P276" s="94">
        <v>7.2550884509999998</v>
      </c>
      <c r="Q276" s="81">
        <f t="shared" si="12"/>
        <v>4.5044247524639864</v>
      </c>
      <c r="R276" s="81">
        <f t="shared" si="13"/>
        <v>2049513.2623711138</v>
      </c>
      <c r="S276" s="81">
        <v>5</v>
      </c>
      <c r="T276" s="81">
        <f t="shared" si="14"/>
        <v>409902.65247422276</v>
      </c>
      <c r="U276" s="81"/>
      <c r="V276" s="84"/>
      <c r="W276" s="84"/>
    </row>
    <row r="277" spans="1:23" x14ac:dyDescent="0.4">
      <c r="A277" s="85" t="s">
        <v>455</v>
      </c>
      <c r="B277" s="109" t="s">
        <v>138</v>
      </c>
      <c r="C277" s="131" t="s">
        <v>181</v>
      </c>
      <c r="D277" s="131"/>
      <c r="E277" s="131"/>
      <c r="F277" s="131"/>
      <c r="G277" s="131"/>
      <c r="H277" s="131"/>
      <c r="I277" s="112"/>
      <c r="J277" s="77"/>
      <c r="K277" s="84">
        <v>22.17</v>
      </c>
      <c r="L277" s="86">
        <v>3490</v>
      </c>
      <c r="M277" s="80">
        <v>0.4</v>
      </c>
      <c r="N277" s="87">
        <v>50</v>
      </c>
      <c r="O277">
        <v>32.68</v>
      </c>
      <c r="P277" s="94">
        <v>7.2550884509999998</v>
      </c>
      <c r="Q277" s="81">
        <f t="shared" si="12"/>
        <v>4.5044247524639864</v>
      </c>
      <c r="R277" s="81">
        <f t="shared" si="13"/>
        <v>1965055.2982624138</v>
      </c>
      <c r="S277" s="81">
        <v>5</v>
      </c>
      <c r="T277" s="81">
        <f t="shared" si="14"/>
        <v>393011.05965248274</v>
      </c>
      <c r="U277" s="81">
        <f>AVERAGE(T275:T277)</f>
        <v>405773.5964511307</v>
      </c>
      <c r="V277" s="81">
        <f>_xlfn.STDEV.S(T275:T277)</f>
        <v>11279.81470327798</v>
      </c>
      <c r="W277" s="81">
        <f>MAX(K275:K277)-MIN(K275:K277)</f>
        <v>8.0000000000001847E-2</v>
      </c>
    </row>
    <row r="278" spans="1:23" x14ac:dyDescent="0.4">
      <c r="A278" s="85" t="s">
        <v>456</v>
      </c>
      <c r="B278" s="109" t="s">
        <v>138</v>
      </c>
      <c r="C278" s="131" t="s">
        <v>181</v>
      </c>
      <c r="D278" s="131"/>
      <c r="E278" s="131"/>
      <c r="F278" s="131"/>
      <c r="G278" s="131"/>
      <c r="H278" s="131"/>
      <c r="I278" s="112"/>
      <c r="J278" s="77"/>
      <c r="K278" s="84">
        <v>22.17</v>
      </c>
      <c r="L278" s="86">
        <v>3490</v>
      </c>
      <c r="M278" s="80">
        <v>0.4</v>
      </c>
      <c r="N278" s="87">
        <v>50</v>
      </c>
      <c r="O278">
        <v>36.909999999999997</v>
      </c>
      <c r="P278" s="94">
        <v>6.9136389979999997</v>
      </c>
      <c r="Q278" s="81">
        <f t="shared" si="12"/>
        <v>5.338722489079549</v>
      </c>
      <c r="R278" s="81">
        <f t="shared" si="13"/>
        <v>2329017.6858609533</v>
      </c>
      <c r="S278" s="81">
        <v>5</v>
      </c>
      <c r="T278" s="81">
        <f t="shared" si="14"/>
        <v>465803.53717219067</v>
      </c>
      <c r="U278" s="81"/>
      <c r="V278" s="84"/>
      <c r="W278" s="84"/>
    </row>
    <row r="279" spans="1:23" x14ac:dyDescent="0.4">
      <c r="A279" s="85" t="s">
        <v>457</v>
      </c>
      <c r="B279" s="109" t="s">
        <v>138</v>
      </c>
      <c r="C279" s="131" t="s">
        <v>181</v>
      </c>
      <c r="D279" s="131"/>
      <c r="E279" s="131"/>
      <c r="F279" s="131"/>
      <c r="G279" s="131"/>
      <c r="H279" s="131"/>
      <c r="I279" s="112"/>
      <c r="J279" s="77"/>
      <c r="K279" s="84">
        <v>22.16</v>
      </c>
      <c r="L279" s="86">
        <v>3500</v>
      </c>
      <c r="M279" s="80">
        <v>0.4</v>
      </c>
      <c r="N279" s="87">
        <v>50</v>
      </c>
      <c r="O279">
        <v>36.909999999999997</v>
      </c>
      <c r="P279" s="94">
        <v>6.9136389979999997</v>
      </c>
      <c r="Q279" s="81">
        <f t="shared" si="12"/>
        <v>5.338722489079549</v>
      </c>
      <c r="R279" s="81">
        <f t="shared" si="13"/>
        <v>2335691.0889723026</v>
      </c>
      <c r="S279" s="81">
        <v>5</v>
      </c>
      <c r="T279" s="81">
        <f t="shared" si="14"/>
        <v>467138.21779446054</v>
      </c>
      <c r="U279" s="81"/>
      <c r="V279" s="84"/>
      <c r="W279" s="84"/>
    </row>
    <row r="280" spans="1:23" x14ac:dyDescent="0.4">
      <c r="A280" s="85" t="s">
        <v>458</v>
      </c>
      <c r="B280" s="109" t="s">
        <v>138</v>
      </c>
      <c r="C280" s="131" t="s">
        <v>181</v>
      </c>
      <c r="D280" s="131"/>
      <c r="E280" s="131"/>
      <c r="F280" s="131"/>
      <c r="G280" s="131"/>
      <c r="H280" s="131"/>
      <c r="I280" s="112"/>
      <c r="J280" s="77"/>
      <c r="K280" s="84">
        <v>22.43</v>
      </c>
      <c r="L280" s="86">
        <v>2950</v>
      </c>
      <c r="M280" s="80">
        <v>0.4</v>
      </c>
      <c r="N280" s="87">
        <v>50</v>
      </c>
      <c r="O280">
        <v>36.909999999999997</v>
      </c>
      <c r="P280" s="94">
        <v>6.9136389979999997</v>
      </c>
      <c r="Q280" s="81">
        <f t="shared" si="12"/>
        <v>5.338722489079549</v>
      </c>
      <c r="R280" s="81">
        <f t="shared" si="13"/>
        <v>1968653.9178480837</v>
      </c>
      <c r="S280" s="81">
        <v>5</v>
      </c>
      <c r="T280" s="81">
        <f t="shared" si="14"/>
        <v>393730.78356961673</v>
      </c>
      <c r="U280" s="81">
        <f>AVERAGE(T278:T280)</f>
        <v>442224.17951208929</v>
      </c>
      <c r="V280" s="81">
        <f>_xlfn.STDEV.S(T278:T280)</f>
        <v>42001.814610989459</v>
      </c>
      <c r="W280" s="81">
        <f>MAX(K278:K280)-MIN(K278:K280)</f>
        <v>0.26999999999999957</v>
      </c>
    </row>
    <row r="281" spans="1:23" x14ac:dyDescent="0.4">
      <c r="A281" s="85" t="s">
        <v>459</v>
      </c>
      <c r="B281" s="109" t="s">
        <v>139</v>
      </c>
      <c r="C281" s="131" t="s">
        <v>183</v>
      </c>
      <c r="D281" s="131"/>
      <c r="E281" s="131"/>
      <c r="F281" s="131"/>
      <c r="G281" s="131"/>
      <c r="H281" s="131"/>
      <c r="I281" s="112"/>
      <c r="J281" s="77"/>
      <c r="K281" s="84">
        <v>16.059999999999999</v>
      </c>
      <c r="L281" s="86">
        <v>188000</v>
      </c>
      <c r="M281" s="80">
        <v>0.4</v>
      </c>
      <c r="N281" s="87">
        <v>50</v>
      </c>
      <c r="O281" s="96">
        <v>13.945656868071055</v>
      </c>
      <c r="P281" s="94">
        <v>6.5039735009999999</v>
      </c>
      <c r="Q281" s="81">
        <f t="shared" si="12"/>
        <v>2.1441749210581622</v>
      </c>
      <c r="R281" s="81">
        <f t="shared" si="13"/>
        <v>50388110.644866809</v>
      </c>
      <c r="S281" s="81">
        <v>5</v>
      </c>
      <c r="T281" s="81">
        <f t="shared" si="14"/>
        <v>10077622.128973361</v>
      </c>
      <c r="U281" s="81"/>
      <c r="V281" s="84"/>
      <c r="W281" s="84"/>
    </row>
    <row r="282" spans="1:23" x14ac:dyDescent="0.4">
      <c r="A282" s="85" t="s">
        <v>460</v>
      </c>
      <c r="B282" s="109" t="s">
        <v>139</v>
      </c>
      <c r="C282" s="131" t="s">
        <v>183</v>
      </c>
      <c r="D282" s="131"/>
      <c r="E282" s="131"/>
      <c r="F282" s="131"/>
      <c r="G282" s="131"/>
      <c r="H282" s="131"/>
      <c r="I282" s="112"/>
      <c r="J282" s="77"/>
      <c r="K282" s="84">
        <v>16.13</v>
      </c>
      <c r="L282" s="86">
        <v>178000</v>
      </c>
      <c r="M282" s="80">
        <v>0.4</v>
      </c>
      <c r="N282" s="87">
        <v>50</v>
      </c>
      <c r="O282" s="96">
        <v>13.945656868071055</v>
      </c>
      <c r="P282" s="94">
        <v>6.5039735009999999</v>
      </c>
      <c r="Q282" s="81">
        <f t="shared" si="12"/>
        <v>2.1441749210581622</v>
      </c>
      <c r="R282" s="81">
        <f t="shared" si="13"/>
        <v>47707891.993544109</v>
      </c>
      <c r="S282" s="81">
        <v>5</v>
      </c>
      <c r="T282" s="81">
        <f t="shared" si="14"/>
        <v>9541578.3987088222</v>
      </c>
      <c r="U282" s="81"/>
      <c r="V282" s="84"/>
      <c r="W282" s="84"/>
    </row>
    <row r="283" spans="1:23" x14ac:dyDescent="0.4">
      <c r="A283" s="85" t="s">
        <v>461</v>
      </c>
      <c r="B283" s="109" t="s">
        <v>139</v>
      </c>
      <c r="C283" s="131" t="s">
        <v>183</v>
      </c>
      <c r="D283" s="131"/>
      <c r="E283" s="131"/>
      <c r="F283" s="131"/>
      <c r="G283" s="131"/>
      <c r="H283" s="131"/>
      <c r="I283" s="112"/>
      <c r="J283" s="77"/>
      <c r="K283" s="84">
        <v>16.12</v>
      </c>
      <c r="L283" s="86">
        <v>181000</v>
      </c>
      <c r="M283" s="80">
        <v>0.4</v>
      </c>
      <c r="N283" s="87">
        <v>50</v>
      </c>
      <c r="O283" s="96">
        <v>13.945656868071055</v>
      </c>
      <c r="P283" s="94">
        <v>6.5039735009999999</v>
      </c>
      <c r="Q283" s="81">
        <f t="shared" si="12"/>
        <v>2.1441749210581622</v>
      </c>
      <c r="R283" s="81">
        <f t="shared" si="13"/>
        <v>48511957.588940918</v>
      </c>
      <c r="S283" s="81">
        <v>5</v>
      </c>
      <c r="T283" s="81">
        <f t="shared" si="14"/>
        <v>9702391.5177881829</v>
      </c>
      <c r="U283" s="81">
        <f>AVERAGE(T281:T283)</f>
        <v>9773864.0151567888</v>
      </c>
      <c r="V283" s="81">
        <f>_xlfn.STDEV.S(T281:T283)</f>
        <v>275076.27778319863</v>
      </c>
      <c r="W283" s="81">
        <f>MAX(K281:K283)-MIN(K281:K283)</f>
        <v>7.0000000000000284E-2</v>
      </c>
    </row>
    <row r="284" spans="1:23" x14ac:dyDescent="0.4">
      <c r="A284" s="85" t="s">
        <v>462</v>
      </c>
      <c r="B284" s="109" t="s">
        <v>152</v>
      </c>
      <c r="C284" s="131" t="s">
        <v>184</v>
      </c>
      <c r="D284" s="131"/>
      <c r="E284" s="131"/>
      <c r="F284" s="131"/>
      <c r="G284" s="131"/>
      <c r="H284" s="131"/>
      <c r="I284" s="112"/>
      <c r="J284" s="77"/>
      <c r="K284" s="84">
        <v>35</v>
      </c>
      <c r="L284" s="86">
        <v>0.80900000000000005</v>
      </c>
      <c r="M284" s="80"/>
      <c r="N284" s="87"/>
      <c r="O284" s="97"/>
      <c r="P284" s="94"/>
      <c r="Q284" s="81" t="e">
        <f t="shared" si="12"/>
        <v>#DIV/0!</v>
      </c>
      <c r="R284" s="81" t="e">
        <f t="shared" si="13"/>
        <v>#DIV/0!</v>
      </c>
      <c r="S284" s="81">
        <v>5</v>
      </c>
      <c r="T284" s="81" t="e">
        <f t="shared" si="14"/>
        <v>#DIV/0!</v>
      </c>
      <c r="U284" s="81"/>
      <c r="V284" s="84"/>
      <c r="W284" s="84"/>
    </row>
    <row r="285" spans="1:23" x14ac:dyDescent="0.4">
      <c r="A285" s="85" t="s">
        <v>463</v>
      </c>
      <c r="B285" s="109" t="s">
        <v>152</v>
      </c>
      <c r="C285" s="131" t="s">
        <v>184</v>
      </c>
      <c r="D285" s="131"/>
      <c r="E285" s="131"/>
      <c r="F285" s="131"/>
      <c r="G285" s="131"/>
      <c r="H285" s="131"/>
      <c r="I285" s="112"/>
      <c r="J285" s="77"/>
      <c r="K285" s="84">
        <v>35</v>
      </c>
      <c r="L285" s="86">
        <v>0.80900000000000005</v>
      </c>
      <c r="M285" s="80"/>
      <c r="N285" s="87"/>
      <c r="O285" s="97"/>
      <c r="P285" s="94"/>
      <c r="Q285" s="81" t="e">
        <f t="shared" si="12"/>
        <v>#DIV/0!</v>
      </c>
      <c r="R285" s="81" t="e">
        <f t="shared" si="13"/>
        <v>#DIV/0!</v>
      </c>
      <c r="S285" s="81">
        <v>5</v>
      </c>
      <c r="T285" s="81" t="e">
        <f t="shared" si="14"/>
        <v>#DIV/0!</v>
      </c>
      <c r="U285" s="81"/>
      <c r="V285" s="84"/>
      <c r="W285" s="84"/>
    </row>
    <row r="286" spans="1:23" x14ac:dyDescent="0.4">
      <c r="A286" s="85" t="s">
        <v>464</v>
      </c>
      <c r="B286" s="109" t="s">
        <v>152</v>
      </c>
      <c r="C286" s="131" t="s">
        <v>184</v>
      </c>
      <c r="D286" s="131"/>
      <c r="E286" s="131"/>
      <c r="F286" s="131"/>
      <c r="G286" s="131"/>
      <c r="H286" s="131"/>
      <c r="I286" s="112"/>
      <c r="J286" s="77"/>
      <c r="K286" s="84">
        <v>33.67</v>
      </c>
      <c r="L286" s="86">
        <v>1.92</v>
      </c>
      <c r="M286" s="80"/>
      <c r="N286" s="87"/>
      <c r="O286" s="97"/>
      <c r="P286" s="94"/>
      <c r="Q286" s="81" t="e">
        <f t="shared" si="12"/>
        <v>#DIV/0!</v>
      </c>
      <c r="R286" s="81" t="e">
        <f t="shared" si="13"/>
        <v>#DIV/0!</v>
      </c>
      <c r="S286" s="81">
        <v>5</v>
      </c>
      <c r="T286" s="81" t="e">
        <f t="shared" si="14"/>
        <v>#DIV/0!</v>
      </c>
      <c r="U286" s="81" t="e">
        <f>AVERAGE(T284:T286)</f>
        <v>#DIV/0!</v>
      </c>
      <c r="V286" s="81" t="e">
        <f>_xlfn.STDEV.S(T284:T286)</f>
        <v>#DIV/0!</v>
      </c>
      <c r="W286" s="81">
        <f>MAX(K284:K286)-MIN(K284:K286)</f>
        <v>1.3299999999999983</v>
      </c>
    </row>
    <row r="287" spans="1:23" x14ac:dyDescent="0.4">
      <c r="A287" s="85" t="s">
        <v>465</v>
      </c>
      <c r="B287" s="109" t="s">
        <v>145</v>
      </c>
      <c r="C287" s="131" t="s">
        <v>185</v>
      </c>
      <c r="D287" s="131"/>
      <c r="E287" s="131"/>
      <c r="F287" s="131"/>
      <c r="G287" s="131"/>
      <c r="H287" s="131"/>
      <c r="I287" s="112"/>
      <c r="J287" s="77"/>
      <c r="K287" s="84"/>
      <c r="L287" s="84"/>
      <c r="M287" s="80"/>
      <c r="N287" s="84"/>
      <c r="O287" s="97"/>
      <c r="P287" s="94"/>
      <c r="Q287" s="81" t="e">
        <f t="shared" si="12"/>
        <v>#DIV/0!</v>
      </c>
      <c r="R287" s="81" t="e">
        <f t="shared" si="13"/>
        <v>#DIV/0!</v>
      </c>
      <c r="S287" s="81">
        <v>5</v>
      </c>
      <c r="T287" s="81" t="e">
        <f t="shared" si="14"/>
        <v>#DIV/0!</v>
      </c>
      <c r="U287" s="81"/>
      <c r="V287" s="84"/>
      <c r="W287" s="84"/>
    </row>
    <row r="288" spans="1:23" x14ac:dyDescent="0.4">
      <c r="A288" s="85" t="s">
        <v>466</v>
      </c>
      <c r="B288" s="109" t="s">
        <v>145</v>
      </c>
      <c r="C288" s="131" t="s">
        <v>185</v>
      </c>
      <c r="D288" s="131"/>
      <c r="E288" s="131"/>
      <c r="F288" s="131"/>
      <c r="G288" s="131"/>
      <c r="H288" s="131"/>
      <c r="I288" s="112"/>
      <c r="J288" s="77"/>
      <c r="K288" s="84">
        <v>35</v>
      </c>
      <c r="L288" s="86">
        <v>0.80900000000000005</v>
      </c>
      <c r="M288" s="80"/>
      <c r="N288" s="84"/>
      <c r="O288" s="97"/>
      <c r="P288" s="94"/>
      <c r="Q288" s="81" t="e">
        <f t="shared" si="12"/>
        <v>#DIV/0!</v>
      </c>
      <c r="R288" s="81" t="e">
        <f t="shared" si="13"/>
        <v>#DIV/0!</v>
      </c>
      <c r="S288" s="81">
        <v>5</v>
      </c>
      <c r="T288" s="81" t="e">
        <f t="shared" si="14"/>
        <v>#DIV/0!</v>
      </c>
      <c r="U288" s="81"/>
      <c r="V288" s="84"/>
      <c r="W288" s="84"/>
    </row>
    <row r="289" spans="1:23" x14ac:dyDescent="0.4">
      <c r="A289" s="85" t="s">
        <v>467</v>
      </c>
      <c r="B289" s="109" t="s">
        <v>145</v>
      </c>
      <c r="C289" s="131" t="s">
        <v>185</v>
      </c>
      <c r="D289" s="131"/>
      <c r="E289" s="131"/>
      <c r="F289" s="131"/>
      <c r="G289" s="131"/>
      <c r="H289" s="131"/>
      <c r="I289" s="112"/>
      <c r="J289" s="77"/>
      <c r="K289" s="84"/>
      <c r="L289" s="84"/>
      <c r="M289" s="80"/>
      <c r="N289" s="84"/>
      <c r="O289" s="97"/>
      <c r="P289" s="94"/>
      <c r="Q289" s="81" t="e">
        <f t="shared" si="12"/>
        <v>#DIV/0!</v>
      </c>
      <c r="R289" s="81" t="e">
        <f t="shared" si="13"/>
        <v>#DIV/0!</v>
      </c>
      <c r="S289" s="81">
        <v>5</v>
      </c>
      <c r="T289" s="81" t="e">
        <f t="shared" si="14"/>
        <v>#DIV/0!</v>
      </c>
      <c r="U289" s="81" t="e">
        <f>AVERAGE(T287:T289)</f>
        <v>#DIV/0!</v>
      </c>
      <c r="V289" s="81" t="e">
        <f>_xlfn.STDEV.S(T287:T289)</f>
        <v>#DIV/0!</v>
      </c>
      <c r="W289" s="81">
        <f>MAX(K287:K289)-MIN(K287:K289)</f>
        <v>0</v>
      </c>
    </row>
    <row r="290" spans="1:23" x14ac:dyDescent="0.4">
      <c r="A290" s="85" t="s">
        <v>468</v>
      </c>
      <c r="B290" s="107" t="s">
        <v>174</v>
      </c>
      <c r="C290" s="131"/>
      <c r="D290" s="131"/>
      <c r="E290" s="131"/>
      <c r="F290" s="131"/>
      <c r="G290" s="131"/>
      <c r="H290" s="131"/>
      <c r="I290" s="112"/>
      <c r="J290" s="77"/>
      <c r="K290" s="84"/>
      <c r="L290" s="84"/>
      <c r="M290" s="80"/>
      <c r="N290" s="84"/>
      <c r="O290" s="97"/>
      <c r="P290" s="94"/>
      <c r="Q290" s="81" t="e">
        <f t="shared" si="12"/>
        <v>#DIV/0!</v>
      </c>
      <c r="R290" s="81" t="e">
        <f t="shared" si="13"/>
        <v>#DIV/0!</v>
      </c>
      <c r="S290" s="81">
        <v>5</v>
      </c>
      <c r="T290" s="81" t="e">
        <f t="shared" si="14"/>
        <v>#DIV/0!</v>
      </c>
      <c r="U290" s="81"/>
      <c r="V290" s="84"/>
      <c r="W290" s="84"/>
    </row>
    <row r="291" spans="1:23" x14ac:dyDescent="0.4">
      <c r="A291" s="85" t="s">
        <v>469</v>
      </c>
      <c r="B291" s="107" t="s">
        <v>174</v>
      </c>
      <c r="C291" s="131"/>
      <c r="D291" s="131"/>
      <c r="E291" s="131"/>
      <c r="F291" s="131"/>
      <c r="G291" s="131"/>
      <c r="H291" s="131"/>
      <c r="I291" s="112"/>
      <c r="J291" s="77"/>
      <c r="K291" s="84"/>
      <c r="L291" s="84"/>
      <c r="M291" s="80"/>
      <c r="N291" s="84"/>
      <c r="O291" s="97"/>
      <c r="P291" s="94"/>
      <c r="Q291" s="81" t="e">
        <f t="shared" si="12"/>
        <v>#DIV/0!</v>
      </c>
      <c r="R291" s="81" t="e">
        <f t="shared" si="13"/>
        <v>#DIV/0!</v>
      </c>
      <c r="S291" s="81">
        <v>5</v>
      </c>
      <c r="T291" s="81" t="e">
        <f t="shared" si="14"/>
        <v>#DIV/0!</v>
      </c>
      <c r="U291" s="81"/>
      <c r="V291" s="84"/>
      <c r="W291" s="84"/>
    </row>
    <row r="292" spans="1:23" x14ac:dyDescent="0.4">
      <c r="A292" s="85" t="s">
        <v>470</v>
      </c>
      <c r="B292" s="107" t="s">
        <v>174</v>
      </c>
      <c r="C292" s="131"/>
      <c r="D292" s="131"/>
      <c r="E292" s="131"/>
      <c r="F292" s="131"/>
      <c r="G292" s="131"/>
      <c r="H292" s="131"/>
      <c r="I292" s="112"/>
      <c r="J292" s="77"/>
      <c r="K292" s="84"/>
      <c r="L292" s="84"/>
      <c r="M292" s="80"/>
      <c r="N292" s="84"/>
      <c r="O292" s="97"/>
      <c r="P292" s="94"/>
      <c r="Q292" s="81" t="e">
        <f t="shared" si="12"/>
        <v>#DIV/0!</v>
      </c>
      <c r="R292" s="81" t="e">
        <f t="shared" si="13"/>
        <v>#DIV/0!</v>
      </c>
      <c r="S292" s="81">
        <v>5</v>
      </c>
      <c r="T292" s="81" t="e">
        <f t="shared" si="14"/>
        <v>#DIV/0!</v>
      </c>
      <c r="U292" s="81" t="e">
        <f>AVERAGE(T290:T292)</f>
        <v>#DIV/0!</v>
      </c>
      <c r="V292" s="81" t="e">
        <f>_xlfn.STDEV.S(T290:T292)</f>
        <v>#DIV/0!</v>
      </c>
      <c r="W292" s="81">
        <f>MAX(K290:K292)-MIN(K290:K292)</f>
        <v>0</v>
      </c>
    </row>
    <row r="293" spans="1:23" x14ac:dyDescent="0.4">
      <c r="A293" s="85" t="s">
        <v>471</v>
      </c>
      <c r="B293" s="109" t="s">
        <v>139</v>
      </c>
      <c r="C293" s="133" t="s">
        <v>183</v>
      </c>
      <c r="D293" s="133"/>
      <c r="E293" s="133"/>
      <c r="F293" s="133"/>
      <c r="G293" s="133"/>
      <c r="H293" s="133"/>
      <c r="I293" s="112"/>
      <c r="J293" s="77"/>
      <c r="K293" s="84">
        <v>15.68</v>
      </c>
      <c r="L293" s="86">
        <v>240000</v>
      </c>
      <c r="M293" s="80">
        <v>0.4</v>
      </c>
      <c r="N293" s="87">
        <v>50</v>
      </c>
      <c r="O293" s="96">
        <v>9.770407725758286</v>
      </c>
      <c r="P293" s="94">
        <v>5.7393814980000002</v>
      </c>
      <c r="Q293" s="81">
        <f t="shared" si="12"/>
        <v>1.7023450574182908</v>
      </c>
      <c r="R293" s="81">
        <f t="shared" si="13"/>
        <v>51070351.722548723</v>
      </c>
      <c r="S293" s="81">
        <v>5</v>
      </c>
      <c r="T293" s="81">
        <f t="shared" si="14"/>
        <v>10214070.344509745</v>
      </c>
      <c r="U293" s="81"/>
      <c r="V293" s="84"/>
      <c r="W293" s="84"/>
    </row>
    <row r="294" spans="1:23" x14ac:dyDescent="0.4">
      <c r="A294" s="85" t="s">
        <v>472</v>
      </c>
      <c r="B294" s="109" t="s">
        <v>139</v>
      </c>
      <c r="C294" s="133" t="s">
        <v>183</v>
      </c>
      <c r="D294" s="133"/>
      <c r="E294" s="133"/>
      <c r="F294" s="133"/>
      <c r="G294" s="133"/>
      <c r="H294" s="133"/>
      <c r="I294" s="112"/>
      <c r="J294" s="77"/>
      <c r="K294" s="84">
        <v>15.69</v>
      </c>
      <c r="L294" s="86">
        <v>239000</v>
      </c>
      <c r="M294" s="80">
        <v>0.4</v>
      </c>
      <c r="N294" s="87">
        <v>50</v>
      </c>
      <c r="O294" s="96">
        <v>9.770407725758286</v>
      </c>
      <c r="P294" s="94">
        <v>5.7393814980000002</v>
      </c>
      <c r="Q294" s="81">
        <f t="shared" si="12"/>
        <v>1.7023450574182908</v>
      </c>
      <c r="R294" s="81">
        <f t="shared" si="13"/>
        <v>50857558.590371437</v>
      </c>
      <c r="S294" s="81">
        <v>5</v>
      </c>
      <c r="T294" s="81">
        <f t="shared" si="14"/>
        <v>10171511.718074288</v>
      </c>
      <c r="U294" s="81"/>
      <c r="V294" s="84"/>
      <c r="W294" s="84"/>
    </row>
    <row r="295" spans="1:23" x14ac:dyDescent="0.4">
      <c r="A295" s="85" t="s">
        <v>473</v>
      </c>
      <c r="B295" s="109" t="s">
        <v>139</v>
      </c>
      <c r="C295" s="133" t="s">
        <v>183</v>
      </c>
      <c r="D295" s="133"/>
      <c r="E295" s="133"/>
      <c r="F295" s="133"/>
      <c r="G295" s="133"/>
      <c r="H295" s="133"/>
      <c r="I295" s="112"/>
      <c r="J295" s="77"/>
      <c r="K295" s="84">
        <v>15.77</v>
      </c>
      <c r="L295" s="86">
        <v>226000</v>
      </c>
      <c r="M295" s="80">
        <v>0.4</v>
      </c>
      <c r="N295" s="87">
        <v>50</v>
      </c>
      <c r="O295" s="96">
        <v>9.770407725758286</v>
      </c>
      <c r="P295" s="94">
        <v>5.7393814980000002</v>
      </c>
      <c r="Q295" s="81">
        <f t="shared" si="12"/>
        <v>1.7023450574182908</v>
      </c>
      <c r="R295" s="81">
        <f t="shared" si="13"/>
        <v>48091247.872066706</v>
      </c>
      <c r="S295" s="81">
        <v>5</v>
      </c>
      <c r="T295" s="81">
        <f t="shared" si="14"/>
        <v>9618249.5744133405</v>
      </c>
      <c r="U295" s="81">
        <f>AVERAGE(T293:T295)</f>
        <v>10001277.212332459</v>
      </c>
      <c r="V295" s="81">
        <f>_xlfn.STDEV.S(T293:T295)</f>
        <v>332393.49832456419</v>
      </c>
      <c r="W295" s="81">
        <f>MAX(K293:K295)-MIN(K293:K295)</f>
        <v>8.9999999999999858E-2</v>
      </c>
    </row>
    <row r="296" spans="1:23" x14ac:dyDescent="0.4">
      <c r="A296" s="85" t="s">
        <v>474</v>
      </c>
      <c r="B296" s="109" t="s">
        <v>153</v>
      </c>
      <c r="C296" s="131" t="s">
        <v>186</v>
      </c>
      <c r="D296" s="131"/>
      <c r="E296" s="131"/>
      <c r="F296" s="131"/>
      <c r="G296" s="131"/>
      <c r="H296" s="131"/>
      <c r="I296" s="112"/>
      <c r="J296" s="77"/>
      <c r="K296" s="84">
        <v>35</v>
      </c>
      <c r="L296" s="86">
        <v>0.80900000000000005</v>
      </c>
      <c r="M296" s="80"/>
      <c r="N296" s="84"/>
      <c r="O296" s="97"/>
      <c r="P296" s="94"/>
      <c r="Q296" s="81" t="e">
        <f t="shared" si="12"/>
        <v>#DIV/0!</v>
      </c>
      <c r="R296" s="81" t="e">
        <f t="shared" si="13"/>
        <v>#DIV/0!</v>
      </c>
      <c r="S296" s="81">
        <v>5</v>
      </c>
      <c r="T296" s="81" t="e">
        <f t="shared" si="14"/>
        <v>#DIV/0!</v>
      </c>
      <c r="U296" s="81"/>
      <c r="V296" s="84"/>
      <c r="W296" s="84"/>
    </row>
    <row r="297" spans="1:23" x14ac:dyDescent="0.4">
      <c r="A297" s="85" t="s">
        <v>475</v>
      </c>
      <c r="B297" s="109" t="s">
        <v>153</v>
      </c>
      <c r="C297" s="131" t="s">
        <v>186</v>
      </c>
      <c r="D297" s="131"/>
      <c r="E297" s="131"/>
      <c r="F297" s="131"/>
      <c r="G297" s="131"/>
      <c r="H297" s="131"/>
      <c r="I297" s="112"/>
      <c r="J297" s="77"/>
      <c r="K297" s="84"/>
      <c r="L297" s="84"/>
      <c r="M297" s="80"/>
      <c r="N297" s="84"/>
      <c r="O297" s="97"/>
      <c r="P297" s="94"/>
      <c r="Q297" s="81" t="e">
        <f t="shared" si="12"/>
        <v>#DIV/0!</v>
      </c>
      <c r="R297" s="81" t="e">
        <f t="shared" si="13"/>
        <v>#DIV/0!</v>
      </c>
      <c r="S297" s="81">
        <v>5</v>
      </c>
      <c r="T297" s="81" t="e">
        <f t="shared" si="14"/>
        <v>#DIV/0!</v>
      </c>
      <c r="U297" s="81"/>
      <c r="V297" s="84"/>
      <c r="W297" s="84"/>
    </row>
    <row r="298" spans="1:23" x14ac:dyDescent="0.4">
      <c r="A298" s="85" t="s">
        <v>476</v>
      </c>
      <c r="B298" s="109" t="s">
        <v>153</v>
      </c>
      <c r="C298" s="131" t="s">
        <v>186</v>
      </c>
      <c r="D298" s="131"/>
      <c r="E298" s="131"/>
      <c r="F298" s="131"/>
      <c r="G298" s="131"/>
      <c r="H298" s="131"/>
      <c r="I298" s="112"/>
      <c r="J298" s="77"/>
      <c r="K298" s="84">
        <v>35</v>
      </c>
      <c r="L298" s="86">
        <v>0.80900000000000005</v>
      </c>
      <c r="M298" s="80"/>
      <c r="N298" s="84"/>
      <c r="O298" s="97"/>
      <c r="P298" s="94"/>
      <c r="Q298" s="81" t="e">
        <f t="shared" si="12"/>
        <v>#DIV/0!</v>
      </c>
      <c r="R298" s="81" t="e">
        <f t="shared" si="13"/>
        <v>#DIV/0!</v>
      </c>
      <c r="S298" s="81">
        <v>5</v>
      </c>
      <c r="T298" s="81" t="e">
        <f t="shared" si="14"/>
        <v>#DIV/0!</v>
      </c>
      <c r="U298" s="81" t="e">
        <f>AVERAGE(T296:T298)</f>
        <v>#DIV/0!</v>
      </c>
      <c r="V298" s="81" t="e">
        <f>_xlfn.STDEV.S(T296:T298)</f>
        <v>#DIV/0!</v>
      </c>
      <c r="W298" s="81">
        <f>MAX(K296:K298)-MIN(K296:K298)</f>
        <v>0</v>
      </c>
    </row>
  </sheetData>
  <phoneticPr fontId="13" type="noConversion"/>
  <conditionalFormatting sqref="A11:H298">
    <cfRule type="expression" dxfId="69" priority="1" stopIfTrue="1">
      <formula>MOD(ROW(),2)=1</formula>
    </cfRule>
    <cfRule type="expression" dxfId="68" priority="2" stopIfTrue="1">
      <formula>MOD(ROW(),2)=0</formula>
    </cfRule>
  </conditionalFormatting>
  <conditionalFormatting sqref="I179:I184">
    <cfRule type="expression" dxfId="67" priority="3" stopIfTrue="1">
      <formula>MOD(ROW(),2)=0</formula>
    </cfRule>
  </conditionalFormatting>
  <conditionalFormatting sqref="I11:W11 I12:P70 I71:O106 I107:M298">
    <cfRule type="expression" dxfId="66" priority="35" stopIfTrue="1">
      <formula>MOD(ROW(),2)=0</formula>
    </cfRule>
  </conditionalFormatting>
  <conditionalFormatting sqref="I11:W298">
    <cfRule type="expression" dxfId="65" priority="23" stopIfTrue="1">
      <formula>MOD(ROW(),2)=1</formula>
    </cfRule>
  </conditionalFormatting>
  <conditionalFormatting sqref="J107:J184">
    <cfRule type="expression" dxfId="64" priority="8" stopIfTrue="1">
      <formula>MOD(ROW(),2)=0</formula>
    </cfRule>
  </conditionalFormatting>
  <conditionalFormatting sqref="J227:J232">
    <cfRule type="expression" dxfId="63" priority="7" stopIfTrue="1">
      <formula>MOD(ROW(),2)=0</formula>
    </cfRule>
  </conditionalFormatting>
  <conditionalFormatting sqref="J239:J244">
    <cfRule type="expression" dxfId="62" priority="6" stopIfTrue="1">
      <formula>MOD(ROW(),2)=0</formula>
    </cfRule>
  </conditionalFormatting>
  <conditionalFormatting sqref="J251:J256">
    <cfRule type="expression" dxfId="61" priority="5" stopIfTrue="1">
      <formula>MOD(ROW(),2)=0</formula>
    </cfRule>
  </conditionalFormatting>
  <conditionalFormatting sqref="J263:J268">
    <cfRule type="expression" dxfId="60" priority="4" stopIfTrue="1">
      <formula>MOD(ROW(),2)=0</formula>
    </cfRule>
  </conditionalFormatting>
  <conditionalFormatting sqref="N107:O196">
    <cfRule type="expression" dxfId="59" priority="34" stopIfTrue="1">
      <formula>MOD(ROW(),2)=0</formula>
    </cfRule>
  </conditionalFormatting>
  <conditionalFormatting sqref="O221:O262">
    <cfRule type="expression" dxfId="58" priority="27" stopIfTrue="1">
      <formula>MOD(ROW(),2)=1</formula>
    </cfRule>
    <cfRule type="expression" dxfId="57" priority="28" stopIfTrue="1">
      <formula>MOD(ROW(),2)=0</formula>
    </cfRule>
  </conditionalFormatting>
  <conditionalFormatting sqref="O269:P280">
    <cfRule type="expression" dxfId="56" priority="17" stopIfTrue="1">
      <formula>MOD(ROW(),2)=1</formula>
    </cfRule>
  </conditionalFormatting>
  <conditionalFormatting sqref="P71:P196">
    <cfRule type="expression" dxfId="55" priority="33" stopIfTrue="1">
      <formula>MOD(ROW(),2)=0</formula>
    </cfRule>
  </conditionalFormatting>
  <conditionalFormatting sqref="P215:P220">
    <cfRule type="expression" dxfId="54" priority="25" stopIfTrue="1">
      <formula>MOD(ROW(),2)=1</formula>
    </cfRule>
    <cfRule type="expression" dxfId="53" priority="26" stopIfTrue="1">
      <formula>MOD(ROW(),2)=0</formula>
    </cfRule>
  </conditionalFormatting>
  <conditionalFormatting sqref="P221:P232">
    <cfRule type="expression" dxfId="52" priority="21" stopIfTrue="1">
      <formula>MOD(ROW(),2)=1</formula>
    </cfRule>
    <cfRule type="expression" dxfId="51" priority="22" stopIfTrue="1">
      <formula>MOD(ROW(),2)=0</formula>
    </cfRule>
  </conditionalFormatting>
  <conditionalFormatting sqref="P263:P268">
    <cfRule type="expression" dxfId="50" priority="29" stopIfTrue="1">
      <formula>MOD(ROW(),2)=1</formula>
    </cfRule>
    <cfRule type="expression" dxfId="49" priority="30" stopIfTrue="1">
      <formula>MOD(ROW(),2)=0</formula>
    </cfRule>
  </conditionalFormatting>
  <conditionalFormatting sqref="P269:P274">
    <cfRule type="expression" dxfId="48" priority="19" stopIfTrue="1">
      <formula>MOD(ROW(),2)=1</formula>
    </cfRule>
    <cfRule type="expression" dxfId="47" priority="20" stopIfTrue="1">
      <formula>MOD(ROW(),2)=0</formula>
    </cfRule>
  </conditionalFormatting>
  <conditionalFormatting sqref="P269:P280">
    <cfRule type="expression" dxfId="46" priority="18" stopIfTrue="1">
      <formula>MOD(ROW(),2)=0</formula>
    </cfRule>
  </conditionalFormatting>
  <conditionalFormatting sqref="P275:P280">
    <cfRule type="expression" dxfId="45" priority="31" stopIfTrue="1">
      <formula>MOD(ROW(),2)=1</formula>
    </cfRule>
    <cfRule type="expression" dxfId="44" priority="32" stopIfTrue="1">
      <formula>MOD(ROW(),2)=0</formula>
    </cfRule>
  </conditionalFormatting>
  <conditionalFormatting sqref="P275:P286">
    <cfRule type="expression" dxfId="43" priority="13" stopIfTrue="1">
      <formula>MOD(ROW(),2)=1</formula>
    </cfRule>
    <cfRule type="expression" dxfId="42" priority="14" stopIfTrue="1">
      <formula>MOD(ROW(),2)=0</formula>
    </cfRule>
    <cfRule type="expression" dxfId="41" priority="15" stopIfTrue="1">
      <formula>MOD(ROW(),2)=1</formula>
    </cfRule>
    <cfRule type="expression" dxfId="40" priority="16" stopIfTrue="1">
      <formula>MOD(ROW(),2)=0</formula>
    </cfRule>
  </conditionalFormatting>
  <conditionalFormatting sqref="P293:P295">
    <cfRule type="expression" dxfId="39" priority="9" stopIfTrue="1">
      <formula>MOD(ROW(),2)=1</formula>
    </cfRule>
    <cfRule type="expression" dxfId="38" priority="10" stopIfTrue="1">
      <formula>MOD(ROW(),2)=0</formula>
    </cfRule>
    <cfRule type="expression" dxfId="37" priority="11" stopIfTrue="1">
      <formula>MOD(ROW(),2)=1</formula>
    </cfRule>
    <cfRule type="expression" dxfId="36" priority="12" stopIfTrue="1">
      <formula>MOD(ROW(),2)=0</formula>
    </cfRule>
  </conditionalFormatting>
  <conditionalFormatting sqref="Q12:W298 N197:P214 N215:O220 P215:P283 N221:N289 O263:O283 O284:P289 N290:P298">
    <cfRule type="expression" dxfId="35" priority="24" stopIfTrue="1">
      <formula>MOD(ROW(),2)=0</formula>
    </cfRule>
  </conditionalFormatting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4725-36F2-4F0C-B6C8-0433219736E6}">
  <dimension ref="A1:BR298"/>
  <sheetViews>
    <sheetView zoomScale="61" workbookViewId="0">
      <selection activeCell="E5" sqref="E5"/>
    </sheetView>
  </sheetViews>
  <sheetFormatPr defaultRowHeight="16" x14ac:dyDescent="0.4"/>
  <cols>
    <col min="1" max="1" width="20.08984375" bestFit="1" customWidth="1"/>
    <col min="2" max="2" width="13.7265625" customWidth="1"/>
    <col min="3" max="3" width="28.453125" style="100" bestFit="1" customWidth="1"/>
    <col min="4" max="8" width="28.453125" style="100" customWidth="1"/>
    <col min="9" max="9" width="9.90625" style="32" bestFit="1" customWidth="1"/>
    <col min="10" max="10" width="6.36328125" bestFit="1" customWidth="1"/>
    <col min="11" max="11" width="7.81640625" customWidth="1"/>
    <col min="12" max="12" width="29.6328125" bestFit="1" customWidth="1"/>
    <col min="13" max="13" width="39.26953125" bestFit="1" customWidth="1"/>
    <col min="14" max="14" width="22.453125" bestFit="1" customWidth="1"/>
    <col min="15" max="15" width="24.08984375" bestFit="1" customWidth="1"/>
    <col min="16" max="16" width="28" bestFit="1" customWidth="1"/>
    <col min="17" max="17" width="13.7265625" bestFit="1" customWidth="1"/>
    <col min="18" max="18" width="11" customWidth="1"/>
    <col min="19" max="19" width="17.81640625" bestFit="1" customWidth="1"/>
    <col min="20" max="20" width="12" bestFit="1" customWidth="1"/>
    <col min="21" max="21" width="19.6328125" bestFit="1" customWidth="1"/>
    <col min="22" max="22" width="17.54296875" bestFit="1" customWidth="1"/>
    <col min="23" max="23" width="11.6328125" bestFit="1" customWidth="1"/>
    <col min="24" max="24" width="8.7265625" customWidth="1"/>
    <col min="25" max="25" width="19.26953125" bestFit="1" customWidth="1"/>
    <col min="26" max="26" width="13.7265625" customWidth="1"/>
    <col min="27" max="27" width="16.26953125" customWidth="1"/>
    <col min="28" max="28" width="5.6328125" customWidth="1"/>
    <col min="29" max="29" width="7.81640625" customWidth="1"/>
    <col min="30" max="30" width="28.26953125" bestFit="1" customWidth="1"/>
    <col min="31" max="31" width="37.6328125" bestFit="1" customWidth="1"/>
    <col min="32" max="32" width="21.453125" bestFit="1" customWidth="1"/>
    <col min="33" max="33" width="23" bestFit="1" customWidth="1"/>
    <col min="34" max="34" width="26.90625" bestFit="1" customWidth="1"/>
    <col min="35" max="35" width="12.90625" bestFit="1" customWidth="1"/>
    <col min="36" max="36" width="10.7265625" bestFit="1" customWidth="1"/>
    <col min="37" max="37" width="17.1796875" bestFit="1" customWidth="1"/>
    <col min="38" max="38" width="11.54296875" bestFit="1" customWidth="1"/>
    <col min="39" max="39" width="19" bestFit="1" customWidth="1"/>
    <col min="40" max="40" width="16.6328125" bestFit="1" customWidth="1"/>
    <col min="41" max="41" width="11.26953125" bestFit="1" customWidth="1"/>
    <col min="42" max="42" width="8.7265625" customWidth="1"/>
    <col min="43" max="43" width="19.26953125" bestFit="1" customWidth="1"/>
    <col min="44" max="44" width="13.7265625" customWidth="1"/>
    <col min="45" max="45" width="16.26953125" customWidth="1"/>
    <col min="46" max="46" width="5.6328125" customWidth="1"/>
    <col min="47" max="47" width="7.81640625" customWidth="1"/>
    <col min="48" max="48" width="28.26953125" bestFit="1" customWidth="1"/>
    <col min="49" max="49" width="37.6328125" bestFit="1" customWidth="1"/>
    <col min="50" max="50" width="21.453125" bestFit="1" customWidth="1"/>
    <col min="51" max="51" width="23" bestFit="1" customWidth="1"/>
    <col min="52" max="52" width="26.90625" bestFit="1" customWidth="1"/>
    <col min="53" max="53" width="12.90625" bestFit="1" customWidth="1"/>
    <col min="54" max="54" width="10.7265625" bestFit="1" customWidth="1"/>
    <col min="55" max="55" width="17.1796875" bestFit="1" customWidth="1"/>
    <col min="56" max="56" width="11.54296875" bestFit="1" customWidth="1"/>
    <col min="57" max="57" width="19" bestFit="1" customWidth="1"/>
    <col min="58" max="58" width="16.6328125" bestFit="1" customWidth="1"/>
    <col min="59" max="59" width="11.26953125" bestFit="1" customWidth="1"/>
    <col min="60" max="60" width="8.7265625" customWidth="1"/>
  </cols>
  <sheetData>
    <row r="1" spans="1:70" x14ac:dyDescent="0.4">
      <c r="A1" s="74" t="s">
        <v>662</v>
      </c>
      <c r="B1" s="69"/>
      <c r="I1" s="100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70" x14ac:dyDescent="0.4">
      <c r="A2" s="69"/>
      <c r="I2" s="100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spans="1:70" x14ac:dyDescent="0.4">
      <c r="A3" s="69" t="s">
        <v>154</v>
      </c>
      <c r="B3" s="69"/>
      <c r="I3" s="100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4" spans="1:70" x14ac:dyDescent="0.4">
      <c r="A4" s="70"/>
      <c r="B4" s="69" t="s">
        <v>155</v>
      </c>
      <c r="I4" s="100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5" spans="1:70" x14ac:dyDescent="0.4">
      <c r="A5" s="71"/>
      <c r="B5" s="69" t="s">
        <v>156</v>
      </c>
      <c r="I5" s="100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</row>
    <row r="6" spans="1:70" x14ac:dyDescent="0.4">
      <c r="A6" s="72"/>
      <c r="B6" s="69" t="s">
        <v>157</v>
      </c>
      <c r="I6" s="100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</row>
    <row r="7" spans="1:70" x14ac:dyDescent="0.4">
      <c r="A7" s="73"/>
      <c r="B7" s="69" t="s">
        <v>158</v>
      </c>
      <c r="I7" s="100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</row>
    <row r="8" spans="1:70" x14ac:dyDescent="0.4">
      <c r="A8" s="69"/>
      <c r="B8" s="69"/>
      <c r="I8" s="100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</row>
    <row r="9" spans="1:70" x14ac:dyDescent="0.4">
      <c r="A9" s="74"/>
      <c r="B9" s="75"/>
      <c r="C9" s="101"/>
      <c r="D9" s="101"/>
      <c r="E9" s="101"/>
      <c r="F9" s="101"/>
      <c r="G9" s="101"/>
      <c r="H9" s="101"/>
      <c r="I9" s="101"/>
      <c r="J9" s="75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Y9" s="74"/>
      <c r="Z9" s="75"/>
      <c r="AA9" s="75"/>
      <c r="AB9" s="75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Q9" s="74"/>
      <c r="AR9" s="75"/>
      <c r="AS9" s="75"/>
      <c r="AT9" s="75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</row>
    <row r="10" spans="1:70" x14ac:dyDescent="0.4">
      <c r="A10" s="113" t="s">
        <v>159</v>
      </c>
      <c r="B10" s="114" t="s">
        <v>160</v>
      </c>
      <c r="C10" s="121" t="s">
        <v>486</v>
      </c>
      <c r="D10" s="121" t="s">
        <v>481</v>
      </c>
      <c r="E10" s="121" t="s">
        <v>2</v>
      </c>
      <c r="F10" s="121" t="s">
        <v>482</v>
      </c>
      <c r="G10" s="121" t="s">
        <v>1</v>
      </c>
      <c r="H10" s="121" t="s">
        <v>483</v>
      </c>
      <c r="I10" s="116" t="s">
        <v>70</v>
      </c>
      <c r="J10" s="117" t="s">
        <v>66</v>
      </c>
      <c r="K10" s="118" t="s">
        <v>161</v>
      </c>
      <c r="L10" s="118" t="s">
        <v>162</v>
      </c>
      <c r="M10" s="119" t="s">
        <v>163</v>
      </c>
      <c r="N10" s="119" t="s">
        <v>164</v>
      </c>
      <c r="O10" s="119" t="s">
        <v>165</v>
      </c>
      <c r="P10" s="119" t="s">
        <v>166</v>
      </c>
      <c r="Q10" s="119" t="s">
        <v>167</v>
      </c>
      <c r="R10" s="120" t="s">
        <v>168</v>
      </c>
      <c r="S10" s="120" t="s">
        <v>169</v>
      </c>
      <c r="T10" s="120" t="s">
        <v>170</v>
      </c>
      <c r="U10" s="120" t="s">
        <v>171</v>
      </c>
      <c r="V10" s="120" t="s">
        <v>172</v>
      </c>
      <c r="W10" s="120" t="s">
        <v>173</v>
      </c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</row>
    <row r="11" spans="1:70" x14ac:dyDescent="0.4">
      <c r="A11" s="76" t="s">
        <v>189</v>
      </c>
      <c r="B11" s="107" t="s">
        <v>71</v>
      </c>
      <c r="C11" s="129" t="s">
        <v>0</v>
      </c>
      <c r="D11" s="129" t="s">
        <v>484</v>
      </c>
      <c r="E11" s="129" t="s">
        <v>484</v>
      </c>
      <c r="F11" s="129" t="s">
        <v>484</v>
      </c>
      <c r="G11" s="129" t="s">
        <v>484</v>
      </c>
      <c r="H11" s="129" t="s">
        <v>484</v>
      </c>
      <c r="I11" s="111">
        <v>4.8</v>
      </c>
      <c r="J11" s="77" t="s">
        <v>81</v>
      </c>
      <c r="K11" s="78">
        <v>23.32</v>
      </c>
      <c r="L11" s="79">
        <v>19900</v>
      </c>
      <c r="M11" s="80">
        <v>0.4</v>
      </c>
      <c r="N11" s="81">
        <v>50</v>
      </c>
      <c r="O11" s="78">
        <v>3.14</v>
      </c>
      <c r="P11" s="95">
        <v>3.8415170079999998</v>
      </c>
      <c r="Q11" s="81">
        <f t="shared" ref="Q11:Q74" si="0">O11/P11</f>
        <v>0.81738542181667218</v>
      </c>
      <c r="R11" s="81">
        <f t="shared" ref="R11:R74" si="1">(L11*N11*Q11)/M11</f>
        <v>2033246.2367689719</v>
      </c>
      <c r="S11" s="81">
        <v>7</v>
      </c>
      <c r="T11" s="81">
        <f t="shared" ref="T11:T74" si="2">R11/S11</f>
        <v>290463.74810985313</v>
      </c>
      <c r="U11" s="81"/>
      <c r="V11" s="81"/>
      <c r="W11" s="81"/>
      <c r="Y11" s="75"/>
      <c r="Z11" s="75"/>
      <c r="AA11" s="75"/>
      <c r="AB11" s="98"/>
      <c r="AD11" s="88"/>
      <c r="AE11" s="99"/>
      <c r="AF11" s="69"/>
      <c r="AH11" s="15"/>
      <c r="AI11" s="69"/>
      <c r="AJ11" s="69"/>
      <c r="AK11" s="69"/>
      <c r="AL11" s="69"/>
      <c r="AM11" s="69"/>
      <c r="AN11" s="69"/>
      <c r="AO11" s="69"/>
      <c r="AQ11" s="75"/>
      <c r="AR11" s="75"/>
      <c r="AS11" s="75"/>
      <c r="AT11" s="98"/>
      <c r="AV11" s="88"/>
      <c r="AW11" s="99"/>
      <c r="AX11" s="69"/>
      <c r="AZ11" s="15"/>
      <c r="BA11" s="69"/>
      <c r="BB11" s="69"/>
      <c r="BC11" s="69"/>
      <c r="BD11" s="69"/>
      <c r="BE11" s="69"/>
      <c r="BF11" s="69"/>
      <c r="BG11" s="69"/>
    </row>
    <row r="12" spans="1:70" x14ac:dyDescent="0.4">
      <c r="A12" s="85" t="s">
        <v>190</v>
      </c>
      <c r="B12" s="108" t="s">
        <v>71</v>
      </c>
      <c r="C12" s="129" t="s">
        <v>0</v>
      </c>
      <c r="D12" s="129" t="s">
        <v>484</v>
      </c>
      <c r="E12" s="129" t="s">
        <v>484</v>
      </c>
      <c r="F12" s="129" t="s">
        <v>484</v>
      </c>
      <c r="G12" s="129" t="s">
        <v>484</v>
      </c>
      <c r="H12" s="129" t="s">
        <v>484</v>
      </c>
      <c r="I12" s="111">
        <v>4.8</v>
      </c>
      <c r="J12" s="77" t="s">
        <v>81</v>
      </c>
      <c r="K12" s="84">
        <v>23.63</v>
      </c>
      <c r="L12" s="86">
        <v>16300</v>
      </c>
      <c r="M12" s="80">
        <v>0.4</v>
      </c>
      <c r="N12" s="81">
        <v>50</v>
      </c>
      <c r="O12" s="84">
        <v>3.14</v>
      </c>
      <c r="P12" s="94">
        <v>3.8415170079999998</v>
      </c>
      <c r="Q12" s="81">
        <f t="shared" si="0"/>
        <v>0.81738542181667218</v>
      </c>
      <c r="R12" s="81">
        <f t="shared" si="1"/>
        <v>1665422.7969514695</v>
      </c>
      <c r="S12" s="81">
        <v>7</v>
      </c>
      <c r="T12" s="81">
        <f t="shared" si="2"/>
        <v>237917.5424216385</v>
      </c>
      <c r="U12" s="87"/>
      <c r="V12" s="87"/>
      <c r="W12" s="87"/>
      <c r="Y12" s="75"/>
      <c r="Z12" s="75"/>
      <c r="AA12" s="75"/>
      <c r="AB12" s="98"/>
      <c r="AD12" s="88"/>
      <c r="AE12" s="99"/>
      <c r="AF12" s="69"/>
      <c r="AH12" s="15"/>
      <c r="AI12" s="69"/>
      <c r="AJ12" s="69"/>
      <c r="AK12" s="69"/>
      <c r="AL12" s="69"/>
      <c r="AM12" s="69"/>
      <c r="AN12" s="69"/>
      <c r="AO12" s="69"/>
      <c r="AQ12" s="75"/>
      <c r="AR12" s="75"/>
      <c r="AS12" s="75"/>
      <c r="AT12" s="98"/>
      <c r="AV12" s="88"/>
      <c r="AW12" s="99"/>
      <c r="AX12" s="69"/>
      <c r="AZ12" s="15"/>
      <c r="BA12" s="69"/>
      <c r="BB12" s="69"/>
      <c r="BC12" s="69"/>
      <c r="BD12" s="69"/>
      <c r="BE12" s="69"/>
      <c r="BF12" s="69"/>
      <c r="BG12" s="69"/>
    </row>
    <row r="13" spans="1:70" x14ac:dyDescent="0.4">
      <c r="A13" s="85" t="s">
        <v>191</v>
      </c>
      <c r="B13" s="107" t="s">
        <v>71</v>
      </c>
      <c r="C13" s="129" t="s">
        <v>0</v>
      </c>
      <c r="D13" s="129" t="s">
        <v>484</v>
      </c>
      <c r="E13" s="129" t="s">
        <v>484</v>
      </c>
      <c r="F13" s="129" t="s">
        <v>484</v>
      </c>
      <c r="G13" s="129" t="s">
        <v>484</v>
      </c>
      <c r="H13" s="129" t="s">
        <v>484</v>
      </c>
      <c r="I13" s="111">
        <v>4.8</v>
      </c>
      <c r="J13" s="77" t="s">
        <v>81</v>
      </c>
      <c r="K13" s="84">
        <v>23.5</v>
      </c>
      <c r="L13" s="86">
        <v>17700</v>
      </c>
      <c r="M13" s="80">
        <v>0.4</v>
      </c>
      <c r="N13" s="81">
        <v>50</v>
      </c>
      <c r="O13" s="84">
        <v>3.14</v>
      </c>
      <c r="P13" s="94">
        <v>3.8415170079999998</v>
      </c>
      <c r="Q13" s="81">
        <f t="shared" si="0"/>
        <v>0.81738542181667218</v>
      </c>
      <c r="R13" s="81">
        <f t="shared" si="1"/>
        <v>1808465.2457693871</v>
      </c>
      <c r="S13" s="81">
        <v>7</v>
      </c>
      <c r="T13" s="81">
        <f t="shared" si="2"/>
        <v>258352.17796705529</v>
      </c>
      <c r="U13" s="81">
        <f>AVERAGE(T11:T13)</f>
        <v>262244.48949951562</v>
      </c>
      <c r="V13" s="81">
        <f>_xlfn.STDEV.S(T11:T13)</f>
        <v>26488.459748659086</v>
      </c>
      <c r="W13" s="81">
        <f>MAX(K11:K13)-MIN(K11:K13)</f>
        <v>0.30999999999999872</v>
      </c>
      <c r="Y13" s="75"/>
      <c r="Z13" s="75"/>
      <c r="AA13" s="75"/>
      <c r="AB13" s="98"/>
      <c r="AD13" s="88"/>
      <c r="AE13" s="99"/>
      <c r="AF13" s="69"/>
      <c r="AH13" s="15"/>
      <c r="AI13" s="69"/>
      <c r="AJ13" s="69"/>
      <c r="AK13" s="69"/>
      <c r="AL13" s="69"/>
      <c r="AM13" s="69"/>
      <c r="AN13" s="69"/>
      <c r="AO13" s="69"/>
      <c r="AQ13" s="75"/>
      <c r="AR13" s="75"/>
      <c r="AS13" s="75"/>
      <c r="AT13" s="98"/>
      <c r="AV13" s="88"/>
      <c r="AW13" s="99"/>
      <c r="AX13" s="69"/>
      <c r="AZ13" s="15"/>
      <c r="BA13" s="69"/>
      <c r="BB13" s="69"/>
      <c r="BC13" s="69"/>
      <c r="BD13" s="69"/>
      <c r="BE13" s="69"/>
      <c r="BF13" s="69"/>
      <c r="BG13" s="69"/>
      <c r="BR13" s="88"/>
    </row>
    <row r="14" spans="1:70" x14ac:dyDescent="0.4">
      <c r="A14" s="85" t="s">
        <v>192</v>
      </c>
      <c r="B14" s="107" t="s">
        <v>72</v>
      </c>
      <c r="C14" s="129" t="s">
        <v>1</v>
      </c>
      <c r="D14" s="129" t="s">
        <v>484</v>
      </c>
      <c r="E14" s="129" t="s">
        <v>484</v>
      </c>
      <c r="F14" s="129" t="s">
        <v>484</v>
      </c>
      <c r="G14" s="129" t="s">
        <v>485</v>
      </c>
      <c r="H14" s="129" t="s">
        <v>484</v>
      </c>
      <c r="I14" s="111">
        <v>4.8</v>
      </c>
      <c r="J14" s="77" t="s">
        <v>81</v>
      </c>
      <c r="K14" s="84">
        <v>24.43</v>
      </c>
      <c r="L14" s="86">
        <v>9620</v>
      </c>
      <c r="M14" s="80">
        <v>0.4</v>
      </c>
      <c r="N14" s="81">
        <v>50</v>
      </c>
      <c r="O14" s="84">
        <v>1.83</v>
      </c>
      <c r="P14" s="94">
        <v>2.122823479</v>
      </c>
      <c r="Q14" s="81">
        <f t="shared" si="0"/>
        <v>0.86205943080206526</v>
      </c>
      <c r="R14" s="81">
        <f t="shared" si="1"/>
        <v>1036626.4655394835</v>
      </c>
      <c r="S14" s="81">
        <v>7</v>
      </c>
      <c r="T14" s="81">
        <f t="shared" si="2"/>
        <v>148089.49507706906</v>
      </c>
      <c r="U14" s="81"/>
      <c r="V14" s="87"/>
      <c r="W14" s="87"/>
      <c r="Y14" s="75"/>
      <c r="Z14" s="75"/>
      <c r="AA14" s="75"/>
      <c r="AB14" s="98"/>
      <c r="AD14" s="88"/>
      <c r="AE14" s="99"/>
      <c r="AF14" s="69"/>
      <c r="AH14" s="15"/>
      <c r="AI14" s="69"/>
      <c r="AJ14" s="69"/>
      <c r="AK14" s="69"/>
      <c r="AL14" s="69"/>
      <c r="AM14" s="69"/>
      <c r="AN14" s="69"/>
      <c r="AO14" s="69"/>
      <c r="AQ14" s="75"/>
      <c r="AR14" s="75"/>
      <c r="AS14" s="75"/>
      <c r="AT14" s="98"/>
      <c r="AV14" s="88"/>
      <c r="AW14" s="99"/>
      <c r="AX14" s="69"/>
      <c r="AZ14" s="15"/>
      <c r="BA14" s="69"/>
      <c r="BB14" s="69"/>
      <c r="BC14" s="69"/>
      <c r="BD14" s="69"/>
      <c r="BE14" s="69"/>
      <c r="BF14" s="69"/>
      <c r="BG14" s="69"/>
      <c r="BR14" s="88"/>
    </row>
    <row r="15" spans="1:70" x14ac:dyDescent="0.4">
      <c r="A15" s="85" t="s">
        <v>193</v>
      </c>
      <c r="B15" s="108" t="s">
        <v>72</v>
      </c>
      <c r="C15" s="129" t="s">
        <v>1</v>
      </c>
      <c r="D15" s="129" t="s">
        <v>484</v>
      </c>
      <c r="E15" s="129" t="s">
        <v>484</v>
      </c>
      <c r="F15" s="129" t="s">
        <v>484</v>
      </c>
      <c r="G15" s="129" t="s">
        <v>485</v>
      </c>
      <c r="H15" s="129" t="s">
        <v>484</v>
      </c>
      <c r="I15" s="111">
        <v>4.8</v>
      </c>
      <c r="J15" s="77" t="s">
        <v>81</v>
      </c>
      <c r="K15" s="84">
        <v>24.59</v>
      </c>
      <c r="L15" s="86">
        <v>8670</v>
      </c>
      <c r="M15" s="80">
        <v>0.4</v>
      </c>
      <c r="N15" s="81">
        <v>50</v>
      </c>
      <c r="O15" s="84">
        <v>1.83</v>
      </c>
      <c r="P15" s="94">
        <v>2.122823479</v>
      </c>
      <c r="Q15" s="81">
        <f t="shared" si="0"/>
        <v>0.86205943080206526</v>
      </c>
      <c r="R15" s="81">
        <f t="shared" si="1"/>
        <v>934256.90813173808</v>
      </c>
      <c r="S15" s="81">
        <v>7</v>
      </c>
      <c r="T15" s="81">
        <f t="shared" si="2"/>
        <v>133465.27259024829</v>
      </c>
      <c r="U15" s="81"/>
      <c r="V15" s="81"/>
      <c r="W15" s="81"/>
      <c r="Y15" s="75"/>
      <c r="Z15" s="75"/>
      <c r="AA15" s="75"/>
      <c r="AB15" s="98"/>
      <c r="AD15" s="88"/>
      <c r="AE15" s="99"/>
      <c r="AF15" s="69"/>
      <c r="AH15" s="15"/>
      <c r="AI15" s="69"/>
      <c r="AJ15" s="69"/>
      <c r="AK15" s="69"/>
      <c r="AL15" s="69"/>
      <c r="AM15" s="69"/>
      <c r="AN15" s="69"/>
      <c r="AO15" s="69"/>
      <c r="AQ15" s="75"/>
      <c r="AR15" s="75"/>
      <c r="AS15" s="75"/>
      <c r="AT15" s="98"/>
      <c r="AV15" s="88"/>
      <c r="AW15" s="99"/>
      <c r="AX15" s="69"/>
      <c r="AZ15" s="15"/>
      <c r="BA15" s="69"/>
      <c r="BB15" s="69"/>
      <c r="BC15" s="69"/>
      <c r="BD15" s="69"/>
      <c r="BE15" s="69"/>
      <c r="BF15" s="69"/>
      <c r="BG15" s="69"/>
      <c r="BR15" s="88"/>
    </row>
    <row r="16" spans="1:70" x14ac:dyDescent="0.4">
      <c r="A16" s="85" t="s">
        <v>194</v>
      </c>
      <c r="B16" s="107" t="s">
        <v>72</v>
      </c>
      <c r="C16" s="129" t="s">
        <v>1</v>
      </c>
      <c r="D16" s="129" t="s">
        <v>484</v>
      </c>
      <c r="E16" s="129" t="s">
        <v>484</v>
      </c>
      <c r="F16" s="129" t="s">
        <v>484</v>
      </c>
      <c r="G16" s="129" t="s">
        <v>485</v>
      </c>
      <c r="H16" s="129" t="s">
        <v>484</v>
      </c>
      <c r="I16" s="111">
        <v>4.8</v>
      </c>
      <c r="J16" s="77" t="s">
        <v>81</v>
      </c>
      <c r="K16" s="84">
        <v>24.53</v>
      </c>
      <c r="L16" s="86">
        <v>9030</v>
      </c>
      <c r="M16" s="80">
        <v>0.4</v>
      </c>
      <c r="N16" s="81">
        <v>50</v>
      </c>
      <c r="O16" s="84">
        <v>1.83</v>
      </c>
      <c r="P16" s="94">
        <v>2.122823479</v>
      </c>
      <c r="Q16" s="81">
        <f t="shared" si="0"/>
        <v>0.86205943080206526</v>
      </c>
      <c r="R16" s="81">
        <f t="shared" si="1"/>
        <v>973049.58251783112</v>
      </c>
      <c r="S16" s="81">
        <v>7</v>
      </c>
      <c r="T16" s="81">
        <f t="shared" si="2"/>
        <v>139007.08321683301</v>
      </c>
      <c r="U16" s="81">
        <f>AVERAGE(T14:T16)</f>
        <v>140187.28362805012</v>
      </c>
      <c r="V16" s="81">
        <f>_xlfn.STDEV.S(T14:T16)</f>
        <v>7383.1988727100088</v>
      </c>
      <c r="W16" s="81">
        <f>MAX(K14:K16)-MIN(K14:K16)</f>
        <v>0.16000000000000014</v>
      </c>
      <c r="Y16" s="75"/>
      <c r="Z16" s="75"/>
      <c r="AA16" s="75"/>
      <c r="AB16" s="98"/>
      <c r="AD16" s="88"/>
      <c r="AE16" s="99"/>
      <c r="AF16" s="69"/>
      <c r="AH16" s="15"/>
      <c r="AI16" s="69"/>
      <c r="AJ16" s="69"/>
      <c r="AK16" s="69"/>
      <c r="AL16" s="69"/>
      <c r="AM16" s="69"/>
      <c r="AN16" s="69"/>
      <c r="AO16" s="69"/>
      <c r="AQ16" s="75"/>
      <c r="AR16" s="75"/>
      <c r="AS16" s="75"/>
      <c r="AT16" s="98"/>
      <c r="AV16" s="88"/>
      <c r="AW16" s="99"/>
      <c r="AX16" s="69"/>
      <c r="AZ16" s="15"/>
      <c r="BA16" s="69"/>
      <c r="BB16" s="69"/>
      <c r="BC16" s="69"/>
      <c r="BD16" s="69"/>
      <c r="BE16" s="69"/>
      <c r="BF16" s="69"/>
      <c r="BG16" s="69"/>
      <c r="BR16" s="88"/>
    </row>
    <row r="17" spans="1:70" x14ac:dyDescent="0.4">
      <c r="A17" s="85" t="s">
        <v>195</v>
      </c>
      <c r="B17" s="107" t="s">
        <v>73</v>
      </c>
      <c r="C17" s="129" t="s">
        <v>2</v>
      </c>
      <c r="D17" s="129" t="s">
        <v>484</v>
      </c>
      <c r="E17" s="129" t="s">
        <v>485</v>
      </c>
      <c r="F17" s="129" t="s">
        <v>484</v>
      </c>
      <c r="G17" s="129" t="s">
        <v>484</v>
      </c>
      <c r="H17" s="129" t="s">
        <v>484</v>
      </c>
      <c r="I17" s="111">
        <v>4.8</v>
      </c>
      <c r="J17" s="77" t="s">
        <v>81</v>
      </c>
      <c r="K17" s="84">
        <v>23.26</v>
      </c>
      <c r="L17" s="86">
        <v>20700</v>
      </c>
      <c r="M17" s="80">
        <v>0.4</v>
      </c>
      <c r="N17" s="81">
        <v>50</v>
      </c>
      <c r="O17" s="84">
        <v>6.65</v>
      </c>
      <c r="P17" s="94">
        <v>5.1668836589999998</v>
      </c>
      <c r="Q17" s="81">
        <f t="shared" si="0"/>
        <v>1.2870427203091008</v>
      </c>
      <c r="R17" s="81">
        <f t="shared" si="1"/>
        <v>3330223.0387997981</v>
      </c>
      <c r="S17" s="81">
        <v>7</v>
      </c>
      <c r="T17" s="81">
        <f t="shared" si="2"/>
        <v>475746.14839997113</v>
      </c>
      <c r="U17" s="81"/>
      <c r="V17" s="81"/>
      <c r="W17" s="81"/>
      <c r="Y17" s="75"/>
      <c r="Z17" s="75"/>
      <c r="AA17" s="75"/>
      <c r="AB17" s="98"/>
      <c r="AD17" s="88"/>
      <c r="AE17" s="99"/>
      <c r="AF17" s="69"/>
      <c r="AH17" s="15"/>
      <c r="AI17" s="69"/>
      <c r="AJ17" s="69"/>
      <c r="AK17" s="69"/>
      <c r="AL17" s="69"/>
      <c r="AM17" s="69"/>
      <c r="AN17" s="69"/>
      <c r="AO17" s="69"/>
      <c r="AQ17" s="75"/>
      <c r="AR17" s="75"/>
      <c r="AS17" s="75"/>
      <c r="AT17" s="98"/>
      <c r="AW17" s="99"/>
      <c r="AX17" s="69"/>
      <c r="AZ17" s="15"/>
      <c r="BA17" s="69"/>
      <c r="BB17" s="69"/>
      <c r="BC17" s="69"/>
      <c r="BD17" s="69"/>
      <c r="BE17" s="69"/>
      <c r="BF17" s="69"/>
      <c r="BG17" s="69"/>
      <c r="BR17" s="88"/>
    </row>
    <row r="18" spans="1:70" x14ac:dyDescent="0.4">
      <c r="A18" s="85" t="s">
        <v>196</v>
      </c>
      <c r="B18" s="108" t="s">
        <v>73</v>
      </c>
      <c r="C18" s="129" t="s">
        <v>2</v>
      </c>
      <c r="D18" s="129" t="s">
        <v>484</v>
      </c>
      <c r="E18" s="129" t="s">
        <v>485</v>
      </c>
      <c r="F18" s="129" t="s">
        <v>484</v>
      </c>
      <c r="G18" s="129" t="s">
        <v>484</v>
      </c>
      <c r="H18" s="129" t="s">
        <v>484</v>
      </c>
      <c r="I18" s="111">
        <v>4.8</v>
      </c>
      <c r="J18" s="77" t="s">
        <v>81</v>
      </c>
      <c r="K18" s="84">
        <v>23.5</v>
      </c>
      <c r="L18" s="86">
        <v>17700</v>
      </c>
      <c r="M18" s="80">
        <v>0.4</v>
      </c>
      <c r="N18" s="81">
        <v>50</v>
      </c>
      <c r="O18" s="84">
        <v>6.65</v>
      </c>
      <c r="P18" s="94">
        <v>5.1668836589999998</v>
      </c>
      <c r="Q18" s="81">
        <f t="shared" si="0"/>
        <v>1.2870427203091008</v>
      </c>
      <c r="R18" s="81">
        <f t="shared" si="1"/>
        <v>2847582.0186838857</v>
      </c>
      <c r="S18" s="81">
        <v>7</v>
      </c>
      <c r="T18" s="81">
        <f t="shared" si="2"/>
        <v>406797.43124055507</v>
      </c>
      <c r="U18" s="81"/>
      <c r="V18" s="87"/>
      <c r="W18" s="87"/>
      <c r="Y18" s="75"/>
      <c r="Z18" s="75"/>
      <c r="AA18" s="75"/>
      <c r="AB18" s="98"/>
      <c r="AD18" s="88"/>
      <c r="AE18" s="99"/>
      <c r="AF18" s="69"/>
      <c r="AH18" s="15"/>
      <c r="AI18" s="69"/>
      <c r="AJ18" s="69"/>
      <c r="AK18" s="69"/>
      <c r="AL18" s="69"/>
      <c r="AM18" s="69"/>
      <c r="AN18" s="69"/>
      <c r="AO18" s="69"/>
      <c r="AQ18" s="75"/>
      <c r="AR18" s="75"/>
      <c r="AS18" s="75"/>
      <c r="AT18" s="98"/>
      <c r="AW18" s="99"/>
      <c r="AX18" s="69"/>
      <c r="AZ18" s="15"/>
      <c r="BA18" s="69"/>
      <c r="BB18" s="69"/>
      <c r="BC18" s="69"/>
      <c r="BD18" s="69"/>
      <c r="BE18" s="69"/>
      <c r="BF18" s="69"/>
      <c r="BG18" s="69"/>
      <c r="BR18" s="88"/>
    </row>
    <row r="19" spans="1:70" x14ac:dyDescent="0.4">
      <c r="A19" s="85" t="s">
        <v>197</v>
      </c>
      <c r="B19" s="107" t="s">
        <v>73</v>
      </c>
      <c r="C19" s="129" t="s">
        <v>2</v>
      </c>
      <c r="D19" s="129" t="s">
        <v>484</v>
      </c>
      <c r="E19" s="129" t="s">
        <v>485</v>
      </c>
      <c r="F19" s="129" t="s">
        <v>484</v>
      </c>
      <c r="G19" s="129" t="s">
        <v>484</v>
      </c>
      <c r="H19" s="129" t="s">
        <v>484</v>
      </c>
      <c r="I19" s="111">
        <v>4.8</v>
      </c>
      <c r="J19" s="77" t="s">
        <v>81</v>
      </c>
      <c r="K19" s="84">
        <v>23.32</v>
      </c>
      <c r="L19" s="86">
        <v>19900</v>
      </c>
      <c r="M19" s="80">
        <v>0.4</v>
      </c>
      <c r="N19" s="81">
        <v>50</v>
      </c>
      <c r="O19" s="84">
        <v>6.65</v>
      </c>
      <c r="P19" s="94">
        <v>5.1668836589999998</v>
      </c>
      <c r="Q19" s="81">
        <f t="shared" si="0"/>
        <v>1.2870427203091008</v>
      </c>
      <c r="R19" s="81">
        <f t="shared" si="1"/>
        <v>3201518.7667688881</v>
      </c>
      <c r="S19" s="81">
        <v>7</v>
      </c>
      <c r="T19" s="81">
        <f t="shared" si="2"/>
        <v>457359.82382412686</v>
      </c>
      <c r="U19" s="81">
        <f>AVERAGE(T17:T19)</f>
        <v>446634.46782155102</v>
      </c>
      <c r="V19" s="81">
        <f>_xlfn.STDEV.S(T17:T19)</f>
        <v>35703.730134522091</v>
      </c>
      <c r="W19" s="81">
        <f>MAX(K17:K19)-MIN(K17:K19)</f>
        <v>0.23999999999999844</v>
      </c>
      <c r="Y19" s="75"/>
      <c r="Z19" s="75"/>
      <c r="AA19" s="75"/>
      <c r="AB19" s="98"/>
      <c r="AD19" s="88"/>
      <c r="AE19" s="99"/>
      <c r="AF19" s="69"/>
      <c r="AH19" s="15"/>
      <c r="AI19" s="69"/>
      <c r="AJ19" s="69"/>
      <c r="AK19" s="69"/>
      <c r="AL19" s="69"/>
      <c r="AM19" s="69"/>
      <c r="AN19" s="69"/>
      <c r="AO19" s="69"/>
      <c r="AQ19" s="75"/>
      <c r="AR19" s="75"/>
      <c r="AS19" s="75"/>
      <c r="AT19" s="98"/>
      <c r="AW19" s="99"/>
      <c r="AX19" s="69"/>
      <c r="AZ19" s="15"/>
      <c r="BA19" s="69"/>
      <c r="BB19" s="69"/>
      <c r="BC19" s="69"/>
      <c r="BD19" s="69"/>
      <c r="BE19" s="69"/>
      <c r="BF19" s="69"/>
      <c r="BG19" s="69"/>
    </row>
    <row r="20" spans="1:70" x14ac:dyDescent="0.4">
      <c r="A20" s="85" t="s">
        <v>198</v>
      </c>
      <c r="B20" s="108" t="s">
        <v>74</v>
      </c>
      <c r="C20" s="129" t="s">
        <v>3</v>
      </c>
      <c r="D20" s="129" t="s">
        <v>484</v>
      </c>
      <c r="E20" s="129" t="s">
        <v>485</v>
      </c>
      <c r="F20" s="129" t="s">
        <v>484</v>
      </c>
      <c r="G20" s="129" t="s">
        <v>485</v>
      </c>
      <c r="H20" s="129" t="s">
        <v>484</v>
      </c>
      <c r="I20" s="111">
        <v>4.8</v>
      </c>
      <c r="J20" s="77" t="s">
        <v>81</v>
      </c>
      <c r="K20" s="84">
        <v>23.47</v>
      </c>
      <c r="L20" s="86">
        <v>18000</v>
      </c>
      <c r="M20" s="80">
        <v>0.4</v>
      </c>
      <c r="N20" s="81">
        <v>50</v>
      </c>
      <c r="O20" s="84">
        <v>2.6</v>
      </c>
      <c r="P20" s="94">
        <v>2.9581238569999999</v>
      </c>
      <c r="Q20" s="81">
        <f t="shared" si="0"/>
        <v>0.87893547589207666</v>
      </c>
      <c r="R20" s="81">
        <f t="shared" si="1"/>
        <v>1977604.8207571723</v>
      </c>
      <c r="S20" s="81">
        <v>7</v>
      </c>
      <c r="T20" s="81">
        <f t="shared" si="2"/>
        <v>282514.97439388174</v>
      </c>
      <c r="U20" s="81"/>
      <c r="V20" s="87"/>
      <c r="W20" s="87"/>
      <c r="Y20" s="75"/>
      <c r="Z20" s="75"/>
      <c r="AA20" s="75"/>
      <c r="AB20" s="98"/>
      <c r="AD20" s="88"/>
      <c r="AE20" s="99"/>
      <c r="AF20" s="69"/>
      <c r="AH20" s="15"/>
      <c r="AI20" s="69"/>
      <c r="AJ20" s="69"/>
      <c r="AK20" s="69"/>
      <c r="AL20" s="69"/>
      <c r="AM20" s="69"/>
      <c r="AN20" s="69"/>
      <c r="AO20" s="69"/>
      <c r="AQ20" s="75"/>
      <c r="AR20" s="75"/>
      <c r="AS20" s="75"/>
      <c r="AT20" s="98"/>
      <c r="AV20" s="88"/>
      <c r="AW20" s="99"/>
      <c r="AX20" s="69"/>
      <c r="AZ20" s="15"/>
      <c r="BA20" s="69"/>
      <c r="BB20" s="69"/>
      <c r="BC20" s="69"/>
      <c r="BD20" s="69"/>
      <c r="BE20" s="69"/>
      <c r="BF20" s="69"/>
      <c r="BG20" s="69"/>
      <c r="BL20" s="89"/>
    </row>
    <row r="21" spans="1:70" x14ac:dyDescent="0.4">
      <c r="A21" s="85" t="s">
        <v>199</v>
      </c>
      <c r="B21" s="110" t="s">
        <v>74</v>
      </c>
      <c r="C21" s="129" t="s">
        <v>3</v>
      </c>
      <c r="D21" s="129" t="s">
        <v>484</v>
      </c>
      <c r="E21" s="129" t="s">
        <v>485</v>
      </c>
      <c r="F21" s="129" t="s">
        <v>484</v>
      </c>
      <c r="G21" s="129" t="s">
        <v>485</v>
      </c>
      <c r="H21" s="129" t="s">
        <v>484</v>
      </c>
      <c r="I21" s="111">
        <v>4.8</v>
      </c>
      <c r="J21" s="77" t="s">
        <v>81</v>
      </c>
      <c r="K21" s="84">
        <v>23.52</v>
      </c>
      <c r="L21" s="86">
        <v>17500</v>
      </c>
      <c r="M21" s="80">
        <v>0.4</v>
      </c>
      <c r="N21" s="81">
        <v>50</v>
      </c>
      <c r="O21" s="84">
        <v>2.6</v>
      </c>
      <c r="P21" s="94">
        <v>2.9581238569999999</v>
      </c>
      <c r="Q21" s="81">
        <f t="shared" si="0"/>
        <v>0.87893547589207666</v>
      </c>
      <c r="R21" s="81">
        <f t="shared" si="1"/>
        <v>1922671.3535139177</v>
      </c>
      <c r="S21" s="81">
        <v>7</v>
      </c>
      <c r="T21" s="81">
        <f t="shared" si="2"/>
        <v>274667.33621627395</v>
      </c>
      <c r="U21" s="81"/>
      <c r="V21" s="91"/>
      <c r="W21" s="91"/>
      <c r="Y21" s="75"/>
      <c r="Z21" s="75"/>
      <c r="AA21" s="75"/>
      <c r="AB21" s="98"/>
      <c r="AD21" s="88"/>
      <c r="AE21" s="99"/>
      <c r="AF21" s="69"/>
      <c r="AH21" s="15"/>
      <c r="AI21" s="69"/>
      <c r="AJ21" s="69"/>
      <c r="AK21" s="69"/>
      <c r="AL21" s="69"/>
      <c r="AM21" s="69"/>
      <c r="AN21" s="69"/>
      <c r="AO21" s="69"/>
      <c r="AQ21" s="75"/>
      <c r="AR21" s="75"/>
      <c r="AS21" s="75"/>
      <c r="AT21" s="98"/>
      <c r="AV21" s="88"/>
      <c r="AW21" s="99"/>
      <c r="AX21" s="69"/>
      <c r="AZ21" s="15"/>
      <c r="BA21" s="69"/>
      <c r="BB21" s="69"/>
      <c r="BC21" s="69"/>
      <c r="BD21" s="69"/>
      <c r="BE21" s="69"/>
      <c r="BF21" s="69"/>
      <c r="BG21" s="69"/>
      <c r="BL21" s="89"/>
    </row>
    <row r="22" spans="1:70" x14ac:dyDescent="0.4">
      <c r="A22" s="85" t="s">
        <v>200</v>
      </c>
      <c r="B22" s="109" t="s">
        <v>74</v>
      </c>
      <c r="C22" s="129" t="s">
        <v>3</v>
      </c>
      <c r="D22" s="129" t="s">
        <v>484</v>
      </c>
      <c r="E22" s="129" t="s">
        <v>485</v>
      </c>
      <c r="F22" s="129" t="s">
        <v>484</v>
      </c>
      <c r="G22" s="129" t="s">
        <v>485</v>
      </c>
      <c r="H22" s="129" t="s">
        <v>484</v>
      </c>
      <c r="I22" s="111">
        <v>4.8</v>
      </c>
      <c r="J22" s="77" t="s">
        <v>81</v>
      </c>
      <c r="K22" s="84">
        <v>23.48</v>
      </c>
      <c r="L22" s="86">
        <v>18000</v>
      </c>
      <c r="M22" s="80">
        <v>0.4</v>
      </c>
      <c r="N22" s="81">
        <v>50</v>
      </c>
      <c r="O22" s="84">
        <v>2.6</v>
      </c>
      <c r="P22" s="94">
        <v>2.9581238569999999</v>
      </c>
      <c r="Q22" s="81">
        <f t="shared" si="0"/>
        <v>0.87893547589207666</v>
      </c>
      <c r="R22" s="81">
        <f t="shared" si="1"/>
        <v>1977604.8207571723</v>
      </c>
      <c r="S22" s="81">
        <v>7</v>
      </c>
      <c r="T22" s="81">
        <f t="shared" si="2"/>
        <v>282514.97439388174</v>
      </c>
      <c r="U22" s="81">
        <f>AVERAGE(T20:T22)</f>
        <v>279899.09500134579</v>
      </c>
      <c r="V22" s="81">
        <f>_xlfn.STDEV.S(T20:T22)</f>
        <v>4530.8360143446416</v>
      </c>
      <c r="W22" s="81">
        <f>MAX(K20:K22)-MIN(K20:K22)</f>
        <v>5.0000000000000711E-2</v>
      </c>
      <c r="Y22" s="75"/>
      <c r="Z22" s="2"/>
      <c r="AA22" s="75"/>
      <c r="AB22" s="98"/>
      <c r="AD22" s="88"/>
      <c r="AE22" s="99"/>
      <c r="AF22" s="69"/>
      <c r="AH22" s="15"/>
      <c r="AI22" s="69"/>
      <c r="AJ22" s="69"/>
      <c r="AL22" s="69"/>
      <c r="AM22" s="69"/>
      <c r="AN22" s="69"/>
      <c r="AO22" s="69"/>
      <c r="AQ22" s="75"/>
      <c r="AR22" s="2"/>
      <c r="AS22" s="75"/>
      <c r="AT22" s="98"/>
      <c r="AV22" s="88"/>
      <c r="AW22" s="99"/>
      <c r="AX22" s="69"/>
      <c r="AZ22" s="15"/>
      <c r="BA22" s="69"/>
      <c r="BB22" s="69"/>
      <c r="BD22" s="69"/>
      <c r="BE22" s="69"/>
      <c r="BF22" s="69"/>
      <c r="BG22" s="69"/>
      <c r="BL22" s="89"/>
      <c r="BR22" s="88"/>
    </row>
    <row r="23" spans="1:70" x14ac:dyDescent="0.4">
      <c r="A23" s="85" t="s">
        <v>201</v>
      </c>
      <c r="B23" s="109" t="s">
        <v>82</v>
      </c>
      <c r="C23" s="129" t="s">
        <v>0</v>
      </c>
      <c r="D23" s="129" t="s">
        <v>484</v>
      </c>
      <c r="E23" s="129" t="s">
        <v>484</v>
      </c>
      <c r="F23" s="129" t="s">
        <v>484</v>
      </c>
      <c r="G23" s="129" t="s">
        <v>484</v>
      </c>
      <c r="H23" s="129" t="s">
        <v>484</v>
      </c>
      <c r="I23" s="111">
        <v>5.8</v>
      </c>
      <c r="J23" s="77" t="s">
        <v>81</v>
      </c>
      <c r="K23" s="84">
        <v>10.130000000000001</v>
      </c>
      <c r="L23" s="86">
        <v>112000000</v>
      </c>
      <c r="M23" s="80">
        <v>0.4</v>
      </c>
      <c r="N23" s="81">
        <v>50</v>
      </c>
      <c r="O23" s="84">
        <v>25.81</v>
      </c>
      <c r="P23" s="94">
        <v>7.9015254659999998</v>
      </c>
      <c r="Q23" s="81">
        <f t="shared" si="0"/>
        <v>3.2664578645047171</v>
      </c>
      <c r="R23" s="81">
        <f t="shared" si="1"/>
        <v>45730410103.06604</v>
      </c>
      <c r="S23" s="81">
        <v>7</v>
      </c>
      <c r="T23" s="81">
        <f t="shared" si="2"/>
        <v>6532915729.0094347</v>
      </c>
      <c r="U23" s="81"/>
      <c r="V23" s="84"/>
      <c r="W23" s="84"/>
      <c r="Y23" s="75"/>
      <c r="Z23" s="2"/>
      <c r="AA23" s="75"/>
      <c r="AB23" s="98"/>
      <c r="AD23" s="88"/>
      <c r="AE23" s="99"/>
      <c r="AF23" s="69"/>
      <c r="AH23" s="15"/>
      <c r="AI23" s="69"/>
      <c r="AJ23" s="69"/>
      <c r="AL23" s="69"/>
      <c r="AM23" s="69"/>
      <c r="AQ23" s="75"/>
      <c r="AR23" s="2"/>
      <c r="AS23" s="75"/>
      <c r="AT23" s="98"/>
      <c r="AV23" s="88"/>
      <c r="AW23" s="99"/>
      <c r="AX23" s="69"/>
      <c r="AZ23" s="15"/>
      <c r="BA23" s="69"/>
      <c r="BB23" s="69"/>
      <c r="BD23" s="69"/>
      <c r="BE23" s="69"/>
      <c r="BR23" s="88"/>
    </row>
    <row r="24" spans="1:70" x14ac:dyDescent="0.4">
      <c r="A24" s="85" t="s">
        <v>202</v>
      </c>
      <c r="B24" s="109" t="s">
        <v>82</v>
      </c>
      <c r="C24" s="129" t="s">
        <v>0</v>
      </c>
      <c r="D24" s="129" t="s">
        <v>484</v>
      </c>
      <c r="E24" s="129" t="s">
        <v>484</v>
      </c>
      <c r="F24" s="129" t="s">
        <v>484</v>
      </c>
      <c r="G24" s="129" t="s">
        <v>484</v>
      </c>
      <c r="H24" s="129" t="s">
        <v>484</v>
      </c>
      <c r="I24" s="111">
        <v>5.8</v>
      </c>
      <c r="J24" s="77" t="s">
        <v>81</v>
      </c>
      <c r="K24" s="84">
        <v>10.25</v>
      </c>
      <c r="L24" s="86">
        <v>104000000</v>
      </c>
      <c r="M24" s="80">
        <v>0.4</v>
      </c>
      <c r="N24" s="81">
        <v>50</v>
      </c>
      <c r="O24" s="84">
        <v>25.81</v>
      </c>
      <c r="P24" s="94">
        <v>7.9015254659999998</v>
      </c>
      <c r="Q24" s="81">
        <f t="shared" si="0"/>
        <v>3.2664578645047171</v>
      </c>
      <c r="R24" s="81">
        <f t="shared" si="1"/>
        <v>42463952238.561317</v>
      </c>
      <c r="S24" s="81">
        <v>7</v>
      </c>
      <c r="T24" s="81">
        <f t="shared" si="2"/>
        <v>6066278891.2230453</v>
      </c>
      <c r="U24" s="81"/>
      <c r="V24" s="84"/>
      <c r="W24" s="84"/>
      <c r="Y24" s="75"/>
      <c r="Z24" s="2"/>
      <c r="AA24" s="75"/>
      <c r="AB24" s="98"/>
      <c r="AD24" s="88"/>
      <c r="AE24" s="99"/>
      <c r="AF24" s="69"/>
      <c r="AH24" s="15"/>
      <c r="AI24" s="69"/>
      <c r="AJ24" s="69"/>
      <c r="AL24" s="69"/>
      <c r="AM24" s="69"/>
      <c r="AQ24" s="75"/>
      <c r="AR24" s="2"/>
      <c r="AS24" s="75"/>
      <c r="AT24" s="98"/>
      <c r="AV24" s="88"/>
      <c r="AW24" s="99"/>
      <c r="AX24" s="69"/>
      <c r="AZ24" s="15"/>
      <c r="BA24" s="69"/>
      <c r="BB24" s="69"/>
      <c r="BD24" s="69"/>
      <c r="BE24" s="69"/>
      <c r="BR24" s="88"/>
    </row>
    <row r="25" spans="1:70" x14ac:dyDescent="0.4">
      <c r="A25" s="85" t="s">
        <v>203</v>
      </c>
      <c r="B25" s="109" t="s">
        <v>82</v>
      </c>
      <c r="C25" s="129" t="s">
        <v>0</v>
      </c>
      <c r="D25" s="129" t="s">
        <v>484</v>
      </c>
      <c r="E25" s="129" t="s">
        <v>484</v>
      </c>
      <c r="F25" s="129" t="s">
        <v>484</v>
      </c>
      <c r="G25" s="129" t="s">
        <v>484</v>
      </c>
      <c r="H25" s="129" t="s">
        <v>484</v>
      </c>
      <c r="I25" s="111">
        <v>5.8</v>
      </c>
      <c r="J25" s="77" t="s">
        <v>81</v>
      </c>
      <c r="K25" s="84">
        <v>10.28</v>
      </c>
      <c r="L25" s="86">
        <v>102000000</v>
      </c>
      <c r="M25" s="80">
        <v>0.4</v>
      </c>
      <c r="N25" s="81">
        <v>50</v>
      </c>
      <c r="O25" s="84">
        <v>25.81</v>
      </c>
      <c r="P25" s="94">
        <v>7.9015254659999998</v>
      </c>
      <c r="Q25" s="81">
        <f t="shared" si="0"/>
        <v>3.2664578645047171</v>
      </c>
      <c r="R25" s="81">
        <f t="shared" si="1"/>
        <v>41647337772.435135</v>
      </c>
      <c r="S25" s="81">
        <v>7</v>
      </c>
      <c r="T25" s="81">
        <f t="shared" si="2"/>
        <v>5949619681.7764482</v>
      </c>
      <c r="U25" s="81">
        <f>AVERAGE(T23:T25)</f>
        <v>6182938100.6696424</v>
      </c>
      <c r="V25" s="81">
        <f>_xlfn.STDEV.S(T23:T25)</f>
        <v>308651256.34109348</v>
      </c>
      <c r="W25" s="81">
        <f>MAX(K23:K25)-MIN(K23:K25)</f>
        <v>0.14999999999999858</v>
      </c>
      <c r="Y25" s="75"/>
      <c r="Z25" s="2"/>
      <c r="AA25" s="75"/>
      <c r="AB25" s="98"/>
      <c r="AD25" s="88"/>
      <c r="AE25" s="99"/>
      <c r="AF25" s="69"/>
      <c r="AH25" s="15"/>
      <c r="AI25" s="69"/>
      <c r="AJ25" s="69"/>
      <c r="AL25" s="69"/>
      <c r="AM25" s="69"/>
      <c r="AN25" s="69"/>
      <c r="AO25" s="69"/>
      <c r="AQ25" s="75"/>
      <c r="AR25" s="2"/>
      <c r="AS25" s="75"/>
      <c r="AT25" s="98"/>
      <c r="AV25" s="88"/>
      <c r="AW25" s="99"/>
      <c r="AX25" s="69"/>
      <c r="AZ25" s="15"/>
      <c r="BA25" s="69"/>
      <c r="BB25" s="69"/>
      <c r="BD25" s="69"/>
      <c r="BE25" s="69"/>
      <c r="BF25" s="69"/>
      <c r="BG25" s="69"/>
      <c r="BR25" s="88"/>
    </row>
    <row r="26" spans="1:70" x14ac:dyDescent="0.4">
      <c r="A26" s="85" t="s">
        <v>204</v>
      </c>
      <c r="B26" s="109" t="s">
        <v>83</v>
      </c>
      <c r="C26" s="129" t="s">
        <v>1</v>
      </c>
      <c r="D26" s="129" t="s">
        <v>484</v>
      </c>
      <c r="E26" s="129" t="s">
        <v>484</v>
      </c>
      <c r="F26" s="129" t="s">
        <v>484</v>
      </c>
      <c r="G26" s="129" t="s">
        <v>485</v>
      </c>
      <c r="H26" s="129" t="s">
        <v>484</v>
      </c>
      <c r="I26" s="111">
        <v>5.8</v>
      </c>
      <c r="J26" s="77" t="s">
        <v>81</v>
      </c>
      <c r="K26" s="84">
        <v>14.54</v>
      </c>
      <c r="L26" s="86">
        <v>6270000</v>
      </c>
      <c r="M26" s="80">
        <v>0.4</v>
      </c>
      <c r="N26" s="81">
        <v>50</v>
      </c>
      <c r="O26" s="84">
        <v>38.130000000000003</v>
      </c>
      <c r="P26" s="94">
        <v>5.3672855950000002</v>
      </c>
      <c r="Q26" s="81">
        <f t="shared" si="0"/>
        <v>7.1041496348770314</v>
      </c>
      <c r="R26" s="81">
        <f t="shared" si="1"/>
        <v>5567877276.3348732</v>
      </c>
      <c r="S26" s="81">
        <v>7</v>
      </c>
      <c r="T26" s="81">
        <f t="shared" si="2"/>
        <v>795411039.47641051</v>
      </c>
      <c r="U26" s="81"/>
      <c r="V26" s="84"/>
      <c r="W26" s="84"/>
      <c r="Y26" s="75"/>
      <c r="Z26" s="2"/>
      <c r="AA26" s="75"/>
      <c r="AB26" s="98"/>
      <c r="AD26" s="88"/>
      <c r="AE26" s="99"/>
      <c r="AF26" s="69"/>
      <c r="AH26" s="15"/>
      <c r="AI26" s="69"/>
      <c r="AJ26" s="69"/>
      <c r="AL26" s="69"/>
      <c r="AM26" s="69"/>
      <c r="AQ26" s="75"/>
      <c r="AR26" s="2"/>
      <c r="AS26" s="75"/>
      <c r="AT26" s="98"/>
      <c r="AV26" s="88"/>
      <c r="AW26" s="99"/>
      <c r="AX26" s="69"/>
      <c r="AZ26" s="15"/>
      <c r="BA26" s="69"/>
      <c r="BB26" s="69"/>
      <c r="BD26" s="69"/>
      <c r="BE26" s="69"/>
      <c r="BR26" s="88"/>
    </row>
    <row r="27" spans="1:70" x14ac:dyDescent="0.4">
      <c r="A27" s="85" t="s">
        <v>205</v>
      </c>
      <c r="B27" s="109" t="s">
        <v>83</v>
      </c>
      <c r="C27" s="129" t="s">
        <v>1</v>
      </c>
      <c r="D27" s="129" t="s">
        <v>484</v>
      </c>
      <c r="E27" s="129" t="s">
        <v>484</v>
      </c>
      <c r="F27" s="129" t="s">
        <v>484</v>
      </c>
      <c r="G27" s="129" t="s">
        <v>485</v>
      </c>
      <c r="H27" s="129" t="s">
        <v>484</v>
      </c>
      <c r="I27" s="111">
        <v>5.8</v>
      </c>
      <c r="J27" s="77" t="s">
        <v>81</v>
      </c>
      <c r="K27" s="84">
        <v>14.56</v>
      </c>
      <c r="L27" s="86">
        <v>6180000</v>
      </c>
      <c r="M27" s="80">
        <v>0.4</v>
      </c>
      <c r="N27" s="81">
        <v>50</v>
      </c>
      <c r="O27" s="84">
        <v>38.130000000000003</v>
      </c>
      <c r="P27" s="94">
        <v>5.3672855950000002</v>
      </c>
      <c r="Q27" s="81">
        <f t="shared" si="0"/>
        <v>7.1041496348770314</v>
      </c>
      <c r="R27" s="81">
        <f t="shared" si="1"/>
        <v>5487955592.9425068</v>
      </c>
      <c r="S27" s="81">
        <v>7</v>
      </c>
      <c r="T27" s="81">
        <f t="shared" si="2"/>
        <v>783993656.13464379</v>
      </c>
      <c r="U27" s="81"/>
      <c r="V27" s="84"/>
      <c r="W27" s="84"/>
      <c r="Y27" s="75"/>
      <c r="Z27" s="2"/>
      <c r="AA27" s="75"/>
      <c r="AB27" s="98"/>
      <c r="AD27" s="88"/>
      <c r="AE27" s="99"/>
      <c r="AF27" s="69"/>
      <c r="AH27" s="15"/>
      <c r="AI27" s="69"/>
      <c r="AJ27" s="69"/>
      <c r="AL27" s="69"/>
      <c r="AM27" s="69"/>
      <c r="AQ27" s="75"/>
      <c r="AR27" s="2"/>
      <c r="AS27" s="75"/>
      <c r="AT27" s="98"/>
      <c r="AV27" s="88"/>
      <c r="AW27" s="99"/>
      <c r="AX27" s="69"/>
      <c r="AZ27" s="15"/>
      <c r="BA27" s="69"/>
      <c r="BB27" s="69"/>
      <c r="BD27" s="69"/>
      <c r="BE27" s="69"/>
      <c r="BR27" s="88"/>
    </row>
    <row r="28" spans="1:70" x14ac:dyDescent="0.4">
      <c r="A28" s="85" t="s">
        <v>206</v>
      </c>
      <c r="B28" s="109" t="s">
        <v>83</v>
      </c>
      <c r="C28" s="129" t="s">
        <v>1</v>
      </c>
      <c r="D28" s="129" t="s">
        <v>484</v>
      </c>
      <c r="E28" s="129" t="s">
        <v>484</v>
      </c>
      <c r="F28" s="129" t="s">
        <v>484</v>
      </c>
      <c r="G28" s="129" t="s">
        <v>485</v>
      </c>
      <c r="H28" s="129" t="s">
        <v>484</v>
      </c>
      <c r="I28" s="111">
        <v>5.8</v>
      </c>
      <c r="J28" s="77" t="s">
        <v>81</v>
      </c>
      <c r="K28" s="84">
        <v>14.6</v>
      </c>
      <c r="L28" s="86">
        <v>6000000</v>
      </c>
      <c r="M28" s="80">
        <v>0.4</v>
      </c>
      <c r="N28" s="81">
        <v>50</v>
      </c>
      <c r="O28" s="84">
        <v>38.130000000000003</v>
      </c>
      <c r="P28" s="94">
        <v>5.3672855950000002</v>
      </c>
      <c r="Q28" s="81">
        <f t="shared" si="0"/>
        <v>7.1041496348770314</v>
      </c>
      <c r="R28" s="81">
        <f t="shared" si="1"/>
        <v>5328112226.157773</v>
      </c>
      <c r="S28" s="81">
        <v>7</v>
      </c>
      <c r="T28" s="81">
        <f t="shared" si="2"/>
        <v>761158889.45111048</v>
      </c>
      <c r="U28" s="81">
        <f>AVERAGE(T26:T28)</f>
        <v>780187861.6873883</v>
      </c>
      <c r="V28" s="81">
        <f>_xlfn.STDEV.S(T26:T28)</f>
        <v>17440341.133991215</v>
      </c>
      <c r="W28" s="81">
        <f>MAX(K26:K28)-MIN(K26:K28)</f>
        <v>6.0000000000000497E-2</v>
      </c>
      <c r="Y28" s="75"/>
      <c r="Z28" s="2"/>
      <c r="AA28" s="75"/>
      <c r="AB28" s="98"/>
      <c r="AD28" s="88"/>
      <c r="AE28" s="99"/>
      <c r="AF28" s="69"/>
      <c r="AH28" s="15"/>
      <c r="AI28" s="69"/>
      <c r="AJ28" s="69"/>
      <c r="AL28" s="69"/>
      <c r="AM28" s="69"/>
      <c r="AN28" s="69"/>
      <c r="AO28" s="69"/>
      <c r="AQ28" s="75"/>
      <c r="AR28" s="2"/>
      <c r="AS28" s="75"/>
      <c r="AT28" s="98"/>
      <c r="AV28" s="88"/>
      <c r="AW28" s="99"/>
      <c r="AX28" s="69"/>
      <c r="AZ28" s="15"/>
      <c r="BA28" s="69"/>
      <c r="BB28" s="69"/>
      <c r="BD28" s="69"/>
      <c r="BE28" s="69"/>
      <c r="BF28" s="69"/>
      <c r="BG28" s="69"/>
      <c r="BR28" s="88"/>
    </row>
    <row r="29" spans="1:70" x14ac:dyDescent="0.4">
      <c r="A29" s="85" t="s">
        <v>207</v>
      </c>
      <c r="B29" s="109" t="s">
        <v>84</v>
      </c>
      <c r="C29" s="129" t="s">
        <v>2</v>
      </c>
      <c r="D29" s="129" t="s">
        <v>484</v>
      </c>
      <c r="E29" s="129" t="s">
        <v>485</v>
      </c>
      <c r="F29" s="129" t="s">
        <v>484</v>
      </c>
      <c r="G29" s="129" t="s">
        <v>484</v>
      </c>
      <c r="H29" s="129" t="s">
        <v>484</v>
      </c>
      <c r="I29" s="111">
        <v>5.8</v>
      </c>
      <c r="J29" s="77" t="s">
        <v>81</v>
      </c>
      <c r="K29" s="84">
        <v>20.260000000000002</v>
      </c>
      <c r="L29" s="86">
        <v>147000</v>
      </c>
      <c r="M29" s="80">
        <v>0.4</v>
      </c>
      <c r="N29" s="81">
        <v>50</v>
      </c>
      <c r="O29" s="84">
        <v>50.72</v>
      </c>
      <c r="P29" s="94">
        <v>6.3145562860000002</v>
      </c>
      <c r="Q29" s="81">
        <f t="shared" si="0"/>
        <v>8.0322349984354862</v>
      </c>
      <c r="R29" s="81">
        <f t="shared" si="1"/>
        <v>147592318.09625205</v>
      </c>
      <c r="S29" s="81">
        <v>7</v>
      </c>
      <c r="T29" s="81">
        <f t="shared" si="2"/>
        <v>21084616.870893151</v>
      </c>
      <c r="U29" s="81"/>
      <c r="V29" s="84"/>
      <c r="W29" s="84"/>
      <c r="Y29" s="75"/>
      <c r="Z29" s="2"/>
      <c r="AA29" s="75"/>
      <c r="AB29" s="98"/>
      <c r="AD29" s="88"/>
      <c r="AE29" s="99"/>
      <c r="AF29" s="69"/>
      <c r="AH29" s="15"/>
      <c r="AI29" s="69"/>
      <c r="AJ29" s="69"/>
      <c r="AL29" s="69"/>
      <c r="AM29" s="69"/>
      <c r="AQ29" s="75"/>
      <c r="AR29" s="75"/>
      <c r="AS29" s="75"/>
      <c r="AT29" s="98"/>
      <c r="AW29" s="99"/>
      <c r="AZ29" s="15"/>
      <c r="BA29" s="69"/>
      <c r="BB29" s="69"/>
      <c r="BD29" s="69"/>
      <c r="BE29" s="69"/>
      <c r="BR29" s="88"/>
    </row>
    <row r="30" spans="1:70" x14ac:dyDescent="0.4">
      <c r="A30" s="85" t="s">
        <v>208</v>
      </c>
      <c r="B30" s="109" t="s">
        <v>84</v>
      </c>
      <c r="C30" s="129" t="s">
        <v>2</v>
      </c>
      <c r="D30" s="129" t="s">
        <v>484</v>
      </c>
      <c r="E30" s="129" t="s">
        <v>485</v>
      </c>
      <c r="F30" s="129" t="s">
        <v>484</v>
      </c>
      <c r="G30" s="129" t="s">
        <v>484</v>
      </c>
      <c r="H30" s="129" t="s">
        <v>484</v>
      </c>
      <c r="I30" s="111">
        <v>5.8</v>
      </c>
      <c r="J30" s="77" t="s">
        <v>81</v>
      </c>
      <c r="K30" s="84">
        <v>20.43</v>
      </c>
      <c r="L30" s="86">
        <v>133000</v>
      </c>
      <c r="M30" s="80">
        <v>0.4</v>
      </c>
      <c r="N30" s="81">
        <v>50</v>
      </c>
      <c r="O30" s="84">
        <v>50.72</v>
      </c>
      <c r="P30" s="94">
        <v>6.3145562860000002</v>
      </c>
      <c r="Q30" s="81">
        <f t="shared" si="0"/>
        <v>8.0322349984354862</v>
      </c>
      <c r="R30" s="81">
        <f t="shared" si="1"/>
        <v>133535906.84898995</v>
      </c>
      <c r="S30" s="81">
        <v>7</v>
      </c>
      <c r="T30" s="81">
        <f t="shared" si="2"/>
        <v>19076558.12128428</v>
      </c>
      <c r="U30" s="81"/>
      <c r="V30" s="84"/>
      <c r="W30" s="84"/>
      <c r="Y30" s="75"/>
      <c r="Z30" s="2"/>
      <c r="AA30" s="75"/>
      <c r="AB30" s="98"/>
      <c r="AD30" s="88"/>
      <c r="AE30" s="99"/>
      <c r="AF30" s="69"/>
      <c r="AH30" s="15"/>
      <c r="AI30" s="69"/>
      <c r="AJ30" s="69"/>
      <c r="AL30" s="69"/>
      <c r="AM30" s="69"/>
      <c r="AQ30" s="75"/>
      <c r="AR30" s="75"/>
      <c r="AS30" s="75"/>
      <c r="AT30" s="98"/>
      <c r="AW30" s="99"/>
      <c r="AZ30" s="15"/>
      <c r="BA30" s="69"/>
      <c r="BB30" s="69"/>
      <c r="BD30" s="69"/>
      <c r="BE30" s="69"/>
      <c r="BR30" s="88"/>
    </row>
    <row r="31" spans="1:70" x14ac:dyDescent="0.4">
      <c r="A31" s="85" t="s">
        <v>209</v>
      </c>
      <c r="B31" s="109" t="s">
        <v>84</v>
      </c>
      <c r="C31" s="129" t="s">
        <v>2</v>
      </c>
      <c r="D31" s="129" t="s">
        <v>484</v>
      </c>
      <c r="E31" s="129" t="s">
        <v>485</v>
      </c>
      <c r="F31" s="129" t="s">
        <v>484</v>
      </c>
      <c r="G31" s="129" t="s">
        <v>484</v>
      </c>
      <c r="H31" s="129" t="s">
        <v>484</v>
      </c>
      <c r="I31" s="111">
        <v>5.8</v>
      </c>
      <c r="J31" s="77" t="s">
        <v>81</v>
      </c>
      <c r="K31" s="84">
        <v>20.3</v>
      </c>
      <c r="L31" s="86">
        <v>143000</v>
      </c>
      <c r="M31" s="80">
        <v>0.4</v>
      </c>
      <c r="N31" s="81">
        <v>50</v>
      </c>
      <c r="O31" s="84">
        <v>50.72</v>
      </c>
      <c r="P31" s="94">
        <v>6.3145562860000002</v>
      </c>
      <c r="Q31" s="81">
        <f t="shared" si="0"/>
        <v>8.0322349984354862</v>
      </c>
      <c r="R31" s="81">
        <f t="shared" si="1"/>
        <v>143576200.59703431</v>
      </c>
      <c r="S31" s="81">
        <v>7</v>
      </c>
      <c r="T31" s="81">
        <f t="shared" si="2"/>
        <v>20510885.799576331</v>
      </c>
      <c r="U31" s="81">
        <f>AVERAGE(T29:T31)</f>
        <v>20224020.263917919</v>
      </c>
      <c r="V31" s="81">
        <f>_xlfn.STDEV.S(T29:T31)</f>
        <v>1034308.397979841</v>
      </c>
      <c r="W31" s="81">
        <f>MAX(K29:K31)-MIN(K29:K31)</f>
        <v>0.16999999999999815</v>
      </c>
      <c r="Y31" s="75"/>
      <c r="Z31" s="2"/>
      <c r="AA31" s="75"/>
      <c r="AB31" s="98"/>
      <c r="AD31" s="88"/>
      <c r="AE31" s="99"/>
      <c r="AF31" s="69"/>
      <c r="AH31" s="15"/>
      <c r="AI31" s="69"/>
      <c r="AJ31" s="69"/>
      <c r="AL31" s="69"/>
      <c r="AM31" s="69"/>
      <c r="AN31" s="69"/>
      <c r="AO31" s="69"/>
      <c r="AQ31" s="75"/>
      <c r="AR31" s="75"/>
      <c r="AS31" s="75"/>
      <c r="AT31" s="98"/>
      <c r="AW31" s="99"/>
      <c r="AZ31" s="15"/>
      <c r="BA31" s="69"/>
      <c r="BB31" s="69"/>
      <c r="BD31" s="69"/>
      <c r="BE31" s="69"/>
      <c r="BF31" s="69"/>
      <c r="BG31" s="69"/>
    </row>
    <row r="32" spans="1:70" x14ac:dyDescent="0.4">
      <c r="A32" s="85" t="s">
        <v>210</v>
      </c>
      <c r="B32" s="109" t="s">
        <v>85</v>
      </c>
      <c r="C32" s="129" t="s">
        <v>3</v>
      </c>
      <c r="D32" s="129" t="s">
        <v>484</v>
      </c>
      <c r="E32" s="129" t="s">
        <v>485</v>
      </c>
      <c r="F32" s="129" t="s">
        <v>484</v>
      </c>
      <c r="G32" s="129" t="s">
        <v>485</v>
      </c>
      <c r="H32" s="129" t="s">
        <v>484</v>
      </c>
      <c r="I32" s="111">
        <v>5.8</v>
      </c>
      <c r="J32" s="77" t="s">
        <v>81</v>
      </c>
      <c r="K32" s="84">
        <v>19.54</v>
      </c>
      <c r="L32" s="86">
        <v>236000</v>
      </c>
      <c r="M32" s="80">
        <v>0.4</v>
      </c>
      <c r="N32" s="81">
        <v>50</v>
      </c>
      <c r="O32" s="84">
        <v>69.39</v>
      </c>
      <c r="P32" s="94">
        <v>7.0441633360000004</v>
      </c>
      <c r="Q32" s="81">
        <f t="shared" si="0"/>
        <v>9.8507085497825546</v>
      </c>
      <c r="R32" s="81">
        <f t="shared" si="1"/>
        <v>290595902.21858531</v>
      </c>
      <c r="S32" s="81">
        <v>7</v>
      </c>
      <c r="T32" s="81">
        <f t="shared" si="2"/>
        <v>41513700.316940762</v>
      </c>
      <c r="U32" s="81"/>
      <c r="V32" s="84"/>
      <c r="W32" s="84"/>
      <c r="Y32" s="75"/>
      <c r="Z32" s="2"/>
      <c r="AA32" s="75"/>
      <c r="AB32" s="98"/>
      <c r="AD32" s="88"/>
      <c r="AE32" s="99"/>
      <c r="AF32" s="69"/>
      <c r="AH32" s="15"/>
      <c r="AI32" s="69"/>
      <c r="AJ32" s="69"/>
      <c r="AL32" s="69"/>
      <c r="AM32" s="69"/>
      <c r="AQ32" s="75"/>
      <c r="AR32" s="2"/>
      <c r="AS32" s="75"/>
      <c r="AT32" s="98"/>
      <c r="AV32" s="88"/>
      <c r="AW32" s="99"/>
      <c r="AX32" s="69"/>
      <c r="AZ32" s="15"/>
      <c r="BA32" s="69"/>
      <c r="BB32" s="69"/>
      <c r="BD32" s="69"/>
      <c r="BE32" s="69"/>
    </row>
    <row r="33" spans="1:70" x14ac:dyDescent="0.4">
      <c r="A33" s="85" t="s">
        <v>211</v>
      </c>
      <c r="B33" s="109" t="s">
        <v>85</v>
      </c>
      <c r="C33" s="129" t="s">
        <v>3</v>
      </c>
      <c r="D33" s="129" t="s">
        <v>484</v>
      </c>
      <c r="E33" s="129" t="s">
        <v>485</v>
      </c>
      <c r="F33" s="129" t="s">
        <v>484</v>
      </c>
      <c r="G33" s="129" t="s">
        <v>485</v>
      </c>
      <c r="H33" s="129" t="s">
        <v>484</v>
      </c>
      <c r="I33" s="111">
        <v>5.8</v>
      </c>
      <c r="J33" s="77" t="s">
        <v>81</v>
      </c>
      <c r="K33" s="84">
        <v>19.55</v>
      </c>
      <c r="L33" s="86">
        <v>235000</v>
      </c>
      <c r="M33" s="80">
        <v>0.4</v>
      </c>
      <c r="N33" s="81">
        <v>50</v>
      </c>
      <c r="O33" s="84">
        <v>69.39</v>
      </c>
      <c r="P33" s="94">
        <v>7.0441633360000004</v>
      </c>
      <c r="Q33" s="81">
        <f t="shared" si="0"/>
        <v>9.8507085497825546</v>
      </c>
      <c r="R33" s="81">
        <f t="shared" si="1"/>
        <v>289364563.64986253</v>
      </c>
      <c r="S33" s="81">
        <v>7</v>
      </c>
      <c r="T33" s="81">
        <f t="shared" si="2"/>
        <v>41337794.807123221</v>
      </c>
      <c r="U33" s="81"/>
      <c r="V33" s="84"/>
      <c r="W33" s="84"/>
      <c r="Y33" s="75"/>
      <c r="Z33" s="2"/>
      <c r="AA33" s="75"/>
      <c r="AB33" s="98"/>
      <c r="AD33" s="88"/>
      <c r="AE33" s="99"/>
      <c r="AF33" s="69"/>
      <c r="AH33" s="15"/>
      <c r="AI33" s="69"/>
      <c r="AJ33" s="69"/>
      <c r="AL33" s="69"/>
      <c r="AM33" s="69"/>
      <c r="AQ33" s="75"/>
      <c r="AR33" s="2"/>
      <c r="AS33" s="75"/>
      <c r="AT33" s="98"/>
      <c r="AV33" s="88"/>
      <c r="AW33" s="99"/>
      <c r="AX33" s="69"/>
      <c r="AZ33" s="15"/>
      <c r="BA33" s="69"/>
      <c r="BB33" s="69"/>
      <c r="BD33" s="69"/>
      <c r="BE33" s="69"/>
    </row>
    <row r="34" spans="1:70" x14ac:dyDescent="0.4">
      <c r="A34" s="85" t="s">
        <v>212</v>
      </c>
      <c r="B34" s="109" t="s">
        <v>85</v>
      </c>
      <c r="C34" s="129" t="s">
        <v>3</v>
      </c>
      <c r="D34" s="129" t="s">
        <v>484</v>
      </c>
      <c r="E34" s="129" t="s">
        <v>485</v>
      </c>
      <c r="F34" s="129" t="s">
        <v>484</v>
      </c>
      <c r="G34" s="129" t="s">
        <v>485</v>
      </c>
      <c r="H34" s="129" t="s">
        <v>484</v>
      </c>
      <c r="I34" s="111">
        <v>5.8</v>
      </c>
      <c r="J34" s="77" t="s">
        <v>81</v>
      </c>
      <c r="K34" s="84">
        <v>19.53</v>
      </c>
      <c r="L34" s="86">
        <v>238000</v>
      </c>
      <c r="M34" s="80">
        <v>0.4</v>
      </c>
      <c r="N34" s="81">
        <v>50</v>
      </c>
      <c r="O34" s="84">
        <v>69.39</v>
      </c>
      <c r="P34" s="94">
        <v>7.0441633360000004</v>
      </c>
      <c r="Q34" s="81">
        <f t="shared" si="0"/>
        <v>9.8507085497825546</v>
      </c>
      <c r="R34" s="81">
        <f t="shared" si="1"/>
        <v>293058579.356031</v>
      </c>
      <c r="S34" s="81">
        <v>7</v>
      </c>
      <c r="T34" s="81">
        <f t="shared" si="2"/>
        <v>41865511.336575858</v>
      </c>
      <c r="U34" s="81">
        <f>AVERAGE(T32:T34)</f>
        <v>41572335.486879945</v>
      </c>
      <c r="V34" s="81">
        <f>_xlfn.STDEV.S(T32:T34)</f>
        <v>268700.10463290068</v>
      </c>
      <c r="W34" s="81">
        <f>MAX(K32:K34)-MIN(K32:K34)</f>
        <v>1.9999999999999574E-2</v>
      </c>
      <c r="Y34" s="75"/>
      <c r="Z34" s="2"/>
      <c r="AA34" s="75"/>
      <c r="AB34" s="98"/>
      <c r="AD34" s="88"/>
      <c r="AE34" s="99"/>
      <c r="AF34" s="69"/>
      <c r="AH34" s="15"/>
      <c r="AI34" s="69"/>
      <c r="AJ34" s="69"/>
      <c r="AL34" s="69"/>
      <c r="AM34" s="69"/>
      <c r="AN34" s="69"/>
      <c r="AO34" s="69"/>
      <c r="AQ34" s="75"/>
      <c r="AR34" s="2"/>
      <c r="AS34" s="75"/>
      <c r="AT34" s="98"/>
      <c r="AV34" s="88"/>
      <c r="AW34" s="99"/>
      <c r="AX34" s="69"/>
      <c r="AZ34" s="15"/>
      <c r="BA34" s="69"/>
      <c r="BB34" s="69"/>
      <c r="BD34" s="69"/>
      <c r="BE34" s="69"/>
      <c r="BF34" s="69"/>
      <c r="BG34" s="69"/>
      <c r="BR34" s="88"/>
    </row>
    <row r="35" spans="1:70" x14ac:dyDescent="0.4">
      <c r="A35" s="85" t="s">
        <v>213</v>
      </c>
      <c r="B35" s="109" t="s">
        <v>92</v>
      </c>
      <c r="C35" s="129" t="s">
        <v>0</v>
      </c>
      <c r="D35" s="129" t="s">
        <v>484</v>
      </c>
      <c r="E35" s="129" t="s">
        <v>484</v>
      </c>
      <c r="F35" s="129" t="s">
        <v>484</v>
      </c>
      <c r="G35" s="129" t="s">
        <v>484</v>
      </c>
      <c r="H35" s="129" t="s">
        <v>484</v>
      </c>
      <c r="I35" s="111">
        <v>4.8</v>
      </c>
      <c r="J35" s="77" t="s">
        <v>132</v>
      </c>
      <c r="K35" s="84">
        <v>15.59</v>
      </c>
      <c r="L35" s="86">
        <v>3140000</v>
      </c>
      <c r="M35" s="80">
        <v>0.4</v>
      </c>
      <c r="N35" s="81">
        <v>50</v>
      </c>
      <c r="O35" s="84">
        <v>0.72</v>
      </c>
      <c r="P35" s="94">
        <v>4.2003374000000003E-2</v>
      </c>
      <c r="Q35" s="81">
        <f t="shared" si="0"/>
        <v>17.141480110621586</v>
      </c>
      <c r="R35" s="81">
        <f t="shared" si="1"/>
        <v>6728030943.418972</v>
      </c>
      <c r="S35" s="81">
        <v>7</v>
      </c>
      <c r="T35" s="81">
        <f t="shared" si="2"/>
        <v>961147277.63128173</v>
      </c>
      <c r="U35" s="81"/>
      <c r="V35" s="84"/>
      <c r="W35" s="84"/>
      <c r="Y35" s="75"/>
      <c r="Z35" s="2"/>
      <c r="AA35" s="75"/>
      <c r="AB35" s="98"/>
      <c r="AD35" s="88"/>
      <c r="AE35" s="99"/>
      <c r="AF35" s="69"/>
      <c r="AH35" s="15"/>
      <c r="AI35" s="69"/>
      <c r="AJ35" s="69"/>
      <c r="AL35" s="69"/>
      <c r="AM35" s="69"/>
      <c r="AQ35" s="75"/>
      <c r="AR35" s="2"/>
      <c r="AS35" s="75"/>
      <c r="AT35" s="98"/>
      <c r="AV35" s="88"/>
      <c r="AW35" s="99"/>
      <c r="AX35" s="69"/>
      <c r="AZ35" s="15"/>
      <c r="BA35" s="69"/>
      <c r="BB35" s="69"/>
      <c r="BD35" s="69"/>
      <c r="BE35" s="69"/>
      <c r="BR35" s="88"/>
    </row>
    <row r="36" spans="1:70" x14ac:dyDescent="0.4">
      <c r="A36" s="85" t="s">
        <v>214</v>
      </c>
      <c r="B36" s="109" t="s">
        <v>92</v>
      </c>
      <c r="C36" s="129" t="s">
        <v>0</v>
      </c>
      <c r="D36" s="129" t="s">
        <v>484</v>
      </c>
      <c r="E36" s="129" t="s">
        <v>484</v>
      </c>
      <c r="F36" s="129" t="s">
        <v>484</v>
      </c>
      <c r="G36" s="129" t="s">
        <v>484</v>
      </c>
      <c r="H36" s="129" t="s">
        <v>484</v>
      </c>
      <c r="I36" s="111">
        <v>4.8</v>
      </c>
      <c r="J36" s="77" t="s">
        <v>132</v>
      </c>
      <c r="K36" s="84">
        <v>15.72</v>
      </c>
      <c r="L36" s="86">
        <v>2890000</v>
      </c>
      <c r="M36" s="80">
        <v>0.4</v>
      </c>
      <c r="N36" s="81">
        <v>50</v>
      </c>
      <c r="O36" s="84">
        <v>0.72</v>
      </c>
      <c r="P36" s="94">
        <v>4.2003374000000003E-2</v>
      </c>
      <c r="Q36" s="81">
        <f t="shared" si="0"/>
        <v>17.141480110621586</v>
      </c>
      <c r="R36" s="81">
        <f t="shared" si="1"/>
        <v>6192359689.9620485</v>
      </c>
      <c r="S36" s="81">
        <v>7</v>
      </c>
      <c r="T36" s="81">
        <f t="shared" si="2"/>
        <v>884622812.85172117</v>
      </c>
      <c r="U36" s="81"/>
      <c r="V36" s="84"/>
      <c r="W36" s="84"/>
      <c r="Y36" s="75"/>
      <c r="Z36" s="2"/>
      <c r="AA36" s="75"/>
      <c r="AB36" s="98"/>
      <c r="AD36" s="88"/>
      <c r="AE36" s="99"/>
      <c r="AF36" s="69"/>
      <c r="AH36" s="15"/>
      <c r="AI36" s="69"/>
      <c r="AJ36" s="69"/>
      <c r="AL36" s="69"/>
      <c r="AM36" s="69"/>
      <c r="AQ36" s="75"/>
      <c r="AR36" s="2"/>
      <c r="AS36" s="75"/>
      <c r="AT36" s="98"/>
      <c r="AV36" s="88"/>
      <c r="AW36" s="99"/>
      <c r="AX36" s="69"/>
      <c r="AZ36" s="15"/>
      <c r="BA36" s="69"/>
      <c r="BB36" s="69"/>
      <c r="BD36" s="69"/>
      <c r="BE36" s="69"/>
      <c r="BR36" s="88"/>
    </row>
    <row r="37" spans="1:70" x14ac:dyDescent="0.4">
      <c r="A37" s="85" t="s">
        <v>215</v>
      </c>
      <c r="B37" s="109" t="s">
        <v>92</v>
      </c>
      <c r="C37" s="129" t="s">
        <v>0</v>
      </c>
      <c r="D37" s="129" t="s">
        <v>484</v>
      </c>
      <c r="E37" s="129" t="s">
        <v>484</v>
      </c>
      <c r="F37" s="129" t="s">
        <v>484</v>
      </c>
      <c r="G37" s="129" t="s">
        <v>484</v>
      </c>
      <c r="H37" s="129" t="s">
        <v>484</v>
      </c>
      <c r="I37" s="111">
        <v>4.8</v>
      </c>
      <c r="J37" s="77" t="s">
        <v>132</v>
      </c>
      <c r="K37" s="84">
        <v>15.68</v>
      </c>
      <c r="L37" s="86">
        <v>2970000</v>
      </c>
      <c r="M37" s="80">
        <v>0.4</v>
      </c>
      <c r="N37" s="81">
        <v>50</v>
      </c>
      <c r="O37" s="84">
        <v>0.72</v>
      </c>
      <c r="P37" s="94">
        <v>4.2003374000000003E-2</v>
      </c>
      <c r="Q37" s="81">
        <f t="shared" si="0"/>
        <v>17.141480110621586</v>
      </c>
      <c r="R37" s="81">
        <f t="shared" si="1"/>
        <v>6363774491.068264</v>
      </c>
      <c r="S37" s="81">
        <v>7</v>
      </c>
      <c r="T37" s="81">
        <f t="shared" si="2"/>
        <v>909110641.58118057</v>
      </c>
      <c r="U37" s="81">
        <f>AVERAGE(T35:T37)</f>
        <v>918293577.35472775</v>
      </c>
      <c r="V37" s="81">
        <f>_xlfn.STDEV.S(T35:T37)</f>
        <v>39079958.540348679</v>
      </c>
      <c r="W37" s="81">
        <f>MAX(K35:K37)-MIN(K35:K37)</f>
        <v>0.13000000000000078</v>
      </c>
      <c r="Y37" s="75"/>
      <c r="Z37" s="2"/>
      <c r="AA37" s="75"/>
      <c r="AB37" s="98"/>
      <c r="AD37" s="88"/>
      <c r="AE37" s="99"/>
      <c r="AF37" s="69"/>
      <c r="AH37" s="15"/>
      <c r="AI37" s="69"/>
      <c r="AJ37" s="69"/>
      <c r="AL37" s="69"/>
      <c r="AM37" s="69"/>
      <c r="AN37" s="69"/>
      <c r="AO37" s="69"/>
      <c r="AQ37" s="75"/>
      <c r="AR37" s="2"/>
      <c r="AS37" s="75"/>
      <c r="AT37" s="98"/>
      <c r="AV37" s="88"/>
      <c r="AW37" s="99"/>
      <c r="AX37" s="69"/>
      <c r="AZ37" s="15"/>
      <c r="BA37" s="69"/>
      <c r="BB37" s="69"/>
      <c r="BD37" s="69"/>
      <c r="BE37" s="69"/>
      <c r="BF37" s="69"/>
      <c r="BG37" s="69"/>
      <c r="BR37" s="88"/>
    </row>
    <row r="38" spans="1:70" x14ac:dyDescent="0.4">
      <c r="A38" s="85" t="s">
        <v>216</v>
      </c>
      <c r="B38" s="109" t="s">
        <v>93</v>
      </c>
      <c r="C38" s="129" t="s">
        <v>1</v>
      </c>
      <c r="D38" s="129" t="s">
        <v>484</v>
      </c>
      <c r="E38" s="129" t="s">
        <v>484</v>
      </c>
      <c r="F38" s="129" t="s">
        <v>484</v>
      </c>
      <c r="G38" s="129" t="s">
        <v>485</v>
      </c>
      <c r="H38" s="129" t="s">
        <v>484</v>
      </c>
      <c r="I38" s="111">
        <v>4.8</v>
      </c>
      <c r="J38" s="77" t="s">
        <v>132</v>
      </c>
      <c r="K38" s="84">
        <v>31.41</v>
      </c>
      <c r="L38" s="86">
        <v>62.8</v>
      </c>
      <c r="M38" s="80">
        <v>0.4</v>
      </c>
      <c r="N38" s="81">
        <v>50</v>
      </c>
      <c r="O38" s="84">
        <v>-0.18</v>
      </c>
      <c r="P38" s="94">
        <v>-0.251168689</v>
      </c>
      <c r="Q38" s="81">
        <f t="shared" si="0"/>
        <v>0.71664983687516881</v>
      </c>
      <c r="R38" s="81">
        <f t="shared" si="1"/>
        <v>5625.7012194700746</v>
      </c>
      <c r="S38" s="81">
        <v>7</v>
      </c>
      <c r="T38" s="81">
        <f t="shared" si="2"/>
        <v>803.67160278143922</v>
      </c>
      <c r="U38" s="81"/>
      <c r="V38" s="84"/>
      <c r="W38" s="84"/>
      <c r="Y38" s="75"/>
      <c r="Z38" s="2"/>
      <c r="AA38" s="75"/>
      <c r="AB38" s="98"/>
      <c r="AD38" s="88"/>
      <c r="AE38" s="99"/>
      <c r="AF38" s="69"/>
      <c r="AH38" s="15"/>
      <c r="AI38" s="69"/>
      <c r="AJ38" s="69"/>
      <c r="AL38" s="69"/>
      <c r="AM38" s="69"/>
      <c r="AQ38" s="75"/>
      <c r="AR38" s="2"/>
      <c r="AS38" s="75"/>
      <c r="AT38" s="98"/>
      <c r="AV38" s="88"/>
      <c r="AW38" s="99"/>
      <c r="AX38" s="69"/>
      <c r="AZ38" s="15"/>
      <c r="BA38" s="69"/>
      <c r="BB38" s="69"/>
      <c r="BD38" s="69"/>
      <c r="BE38" s="69"/>
      <c r="BR38" s="88"/>
    </row>
    <row r="39" spans="1:70" x14ac:dyDescent="0.4">
      <c r="A39" s="85" t="s">
        <v>217</v>
      </c>
      <c r="B39" s="109" t="s">
        <v>93</v>
      </c>
      <c r="C39" s="129" t="s">
        <v>1</v>
      </c>
      <c r="D39" s="129" t="s">
        <v>484</v>
      </c>
      <c r="E39" s="129" t="s">
        <v>484</v>
      </c>
      <c r="F39" s="129" t="s">
        <v>484</v>
      </c>
      <c r="G39" s="129" t="s">
        <v>485</v>
      </c>
      <c r="H39" s="129" t="s">
        <v>484</v>
      </c>
      <c r="I39" s="111">
        <v>4.8</v>
      </c>
      <c r="J39" s="77" t="s">
        <v>132</v>
      </c>
      <c r="K39" s="84">
        <v>31.08</v>
      </c>
      <c r="L39" s="86">
        <v>81</v>
      </c>
      <c r="M39" s="80">
        <v>0.4</v>
      </c>
      <c r="N39" s="81">
        <v>50</v>
      </c>
      <c r="O39" s="84">
        <v>-0.18</v>
      </c>
      <c r="P39" s="94">
        <v>-0.251168689</v>
      </c>
      <c r="Q39" s="81">
        <f t="shared" si="0"/>
        <v>0.71664983687516881</v>
      </c>
      <c r="R39" s="81">
        <f t="shared" si="1"/>
        <v>7256.0795983610842</v>
      </c>
      <c r="S39" s="81">
        <v>7</v>
      </c>
      <c r="T39" s="81">
        <f t="shared" si="2"/>
        <v>1036.5827997658691</v>
      </c>
      <c r="U39" s="81"/>
      <c r="V39" s="84"/>
      <c r="W39" s="84"/>
      <c r="Y39" s="75"/>
      <c r="Z39" s="2"/>
      <c r="AA39" s="75"/>
      <c r="AB39" s="98"/>
      <c r="AD39" s="88"/>
      <c r="AE39" s="99"/>
      <c r="AF39" s="69"/>
      <c r="AH39" s="15"/>
      <c r="AI39" s="69"/>
      <c r="AJ39" s="69"/>
      <c r="AL39" s="69"/>
      <c r="AM39" s="69"/>
      <c r="AQ39" s="75"/>
      <c r="AR39" s="2"/>
      <c r="AS39" s="75"/>
      <c r="AT39" s="98"/>
      <c r="AV39" s="88"/>
      <c r="AW39" s="99"/>
      <c r="AX39" s="69"/>
      <c r="AZ39" s="15"/>
      <c r="BA39" s="69"/>
      <c r="BB39" s="69"/>
      <c r="BD39" s="69"/>
      <c r="BE39" s="69"/>
      <c r="BR39" s="88"/>
    </row>
    <row r="40" spans="1:70" x14ac:dyDescent="0.4">
      <c r="A40" s="85" t="s">
        <v>218</v>
      </c>
      <c r="B40" s="109" t="s">
        <v>93</v>
      </c>
      <c r="C40" s="129" t="s">
        <v>1</v>
      </c>
      <c r="D40" s="129" t="s">
        <v>484</v>
      </c>
      <c r="E40" s="129" t="s">
        <v>484</v>
      </c>
      <c r="F40" s="129" t="s">
        <v>484</v>
      </c>
      <c r="G40" s="129" t="s">
        <v>485</v>
      </c>
      <c r="H40" s="129" t="s">
        <v>484</v>
      </c>
      <c r="I40" s="111">
        <v>4.8</v>
      </c>
      <c r="J40" s="77" t="s">
        <v>132</v>
      </c>
      <c r="K40" s="84">
        <v>31.68</v>
      </c>
      <c r="L40" s="86">
        <v>50.8</v>
      </c>
      <c r="M40" s="80">
        <v>0.4</v>
      </c>
      <c r="N40" s="81">
        <v>50</v>
      </c>
      <c r="O40" s="84">
        <v>-0.18</v>
      </c>
      <c r="P40" s="94">
        <v>-0.251168689</v>
      </c>
      <c r="Q40" s="81">
        <f t="shared" si="0"/>
        <v>0.71664983687516881</v>
      </c>
      <c r="R40" s="81">
        <f t="shared" si="1"/>
        <v>4550.726464157322</v>
      </c>
      <c r="S40" s="81">
        <v>7</v>
      </c>
      <c r="T40" s="81">
        <f t="shared" si="2"/>
        <v>650.10378059390314</v>
      </c>
      <c r="U40" s="81">
        <f>AVERAGE(T38:T40)</f>
        <v>830.11939438040383</v>
      </c>
      <c r="V40" s="81">
        <f>_xlfn.STDEV.S(T38:T40)</f>
        <v>194.59219492409673</v>
      </c>
      <c r="W40" s="81">
        <f>MAX(K38:K40)-MIN(K38:K40)</f>
        <v>0.60000000000000142</v>
      </c>
      <c r="Y40" s="75"/>
      <c r="Z40" s="2"/>
      <c r="AA40" s="75"/>
      <c r="AB40" s="98"/>
      <c r="AD40" s="88"/>
      <c r="AE40" s="99"/>
      <c r="AF40" s="69"/>
      <c r="AH40" s="15"/>
      <c r="AI40" s="69"/>
      <c r="AJ40" s="69"/>
      <c r="AL40" s="69"/>
      <c r="AM40" s="69"/>
      <c r="AN40" s="69"/>
      <c r="AO40" s="69"/>
      <c r="AQ40" s="75"/>
      <c r="AR40" s="2"/>
      <c r="AS40" s="75"/>
      <c r="AT40" s="98"/>
      <c r="AV40" s="88"/>
      <c r="AW40" s="99"/>
      <c r="AX40" s="69"/>
      <c r="AZ40" s="15"/>
      <c r="BA40" s="69"/>
      <c r="BB40" s="69"/>
      <c r="BD40" s="69"/>
      <c r="BE40" s="69"/>
      <c r="BF40" s="69"/>
      <c r="BG40" s="69"/>
      <c r="BR40" s="88"/>
    </row>
    <row r="41" spans="1:70" x14ac:dyDescent="0.4">
      <c r="A41" s="85" t="s">
        <v>219</v>
      </c>
      <c r="B41" s="109" t="s">
        <v>94</v>
      </c>
      <c r="C41" s="129" t="s">
        <v>2</v>
      </c>
      <c r="D41" s="129" t="s">
        <v>484</v>
      </c>
      <c r="E41" s="129" t="s">
        <v>485</v>
      </c>
      <c r="F41" s="129" t="s">
        <v>484</v>
      </c>
      <c r="G41" s="129" t="s">
        <v>484</v>
      </c>
      <c r="H41" s="129" t="s">
        <v>484</v>
      </c>
      <c r="I41" s="111">
        <v>4.8</v>
      </c>
      <c r="J41" s="77" t="s">
        <v>132</v>
      </c>
      <c r="K41" s="84">
        <v>30.78</v>
      </c>
      <c r="L41" s="86">
        <v>103</v>
      </c>
      <c r="M41" s="80">
        <v>0.4</v>
      </c>
      <c r="N41" s="81">
        <v>50</v>
      </c>
      <c r="O41" s="84">
        <v>-0.18</v>
      </c>
      <c r="P41" s="94">
        <v>-0.24969175199999999</v>
      </c>
      <c r="Q41" s="81">
        <f t="shared" si="0"/>
        <v>0.72088885018516746</v>
      </c>
      <c r="R41" s="81">
        <f t="shared" si="1"/>
        <v>9281.4439461340298</v>
      </c>
      <c r="S41" s="81">
        <v>7</v>
      </c>
      <c r="T41" s="81">
        <f t="shared" si="2"/>
        <v>1325.9205637334328</v>
      </c>
      <c r="U41" s="81"/>
      <c r="V41" s="84"/>
      <c r="W41" s="84"/>
      <c r="Y41" s="75"/>
      <c r="Z41" s="2"/>
      <c r="AA41" s="75"/>
      <c r="AB41" s="98"/>
      <c r="AD41" s="88"/>
      <c r="AE41" s="99"/>
      <c r="AF41" s="69"/>
      <c r="AH41" s="15"/>
      <c r="AI41" s="69"/>
      <c r="AJ41" s="69"/>
      <c r="AL41" s="69"/>
      <c r="AM41" s="69"/>
      <c r="AQ41" s="75"/>
      <c r="AR41" s="75"/>
      <c r="AS41" s="75"/>
      <c r="AT41" s="98"/>
      <c r="AW41" s="99"/>
      <c r="AZ41" s="15"/>
      <c r="BA41" s="69"/>
      <c r="BB41" s="69"/>
      <c r="BD41" s="69"/>
      <c r="BE41" s="69"/>
      <c r="BR41" s="88"/>
    </row>
    <row r="42" spans="1:70" x14ac:dyDescent="0.4">
      <c r="A42" s="85" t="s">
        <v>220</v>
      </c>
      <c r="B42" s="109" t="s">
        <v>94</v>
      </c>
      <c r="C42" s="129" t="s">
        <v>2</v>
      </c>
      <c r="D42" s="129" t="s">
        <v>484</v>
      </c>
      <c r="E42" s="129" t="s">
        <v>485</v>
      </c>
      <c r="F42" s="129" t="s">
        <v>484</v>
      </c>
      <c r="G42" s="129" t="s">
        <v>484</v>
      </c>
      <c r="H42" s="129" t="s">
        <v>484</v>
      </c>
      <c r="I42" s="111">
        <v>4.8</v>
      </c>
      <c r="J42" s="77" t="s">
        <v>132</v>
      </c>
      <c r="K42" s="84">
        <v>31.14</v>
      </c>
      <c r="L42" s="86">
        <v>77.599999999999994</v>
      </c>
      <c r="M42" s="80">
        <v>0.4</v>
      </c>
      <c r="N42" s="81">
        <v>50</v>
      </c>
      <c r="O42" s="84">
        <v>-0.18</v>
      </c>
      <c r="P42" s="94">
        <v>-0.24969175199999999</v>
      </c>
      <c r="Q42" s="81">
        <f t="shared" si="0"/>
        <v>0.72088885018516746</v>
      </c>
      <c r="R42" s="81">
        <f t="shared" si="1"/>
        <v>6992.6218467961235</v>
      </c>
      <c r="S42" s="81">
        <v>7</v>
      </c>
      <c r="T42" s="81">
        <f t="shared" si="2"/>
        <v>998.94597811373194</v>
      </c>
      <c r="U42" s="81"/>
      <c r="V42" s="84"/>
      <c r="W42" s="84"/>
      <c r="Y42" s="75"/>
      <c r="Z42" s="2"/>
      <c r="AA42" s="75"/>
      <c r="AB42" s="98"/>
      <c r="AD42" s="88"/>
      <c r="AE42" s="99"/>
      <c r="AF42" s="69"/>
      <c r="AH42" s="15"/>
      <c r="AI42" s="69"/>
      <c r="AJ42" s="69"/>
      <c r="AL42" s="69"/>
      <c r="AM42" s="69"/>
      <c r="AQ42" s="75"/>
      <c r="AR42" s="75"/>
      <c r="AS42" s="75"/>
      <c r="AT42" s="98"/>
      <c r="AW42" s="99"/>
      <c r="AZ42" s="15"/>
      <c r="BA42" s="69"/>
      <c r="BB42" s="69"/>
      <c r="BD42" s="69"/>
      <c r="BE42" s="69"/>
      <c r="BR42" s="88"/>
    </row>
    <row r="43" spans="1:70" x14ac:dyDescent="0.4">
      <c r="A43" s="85" t="s">
        <v>221</v>
      </c>
      <c r="B43" s="109" t="s">
        <v>94</v>
      </c>
      <c r="C43" s="129" t="s">
        <v>2</v>
      </c>
      <c r="D43" s="129" t="s">
        <v>484</v>
      </c>
      <c r="E43" s="129" t="s">
        <v>485</v>
      </c>
      <c r="F43" s="129" t="s">
        <v>484</v>
      </c>
      <c r="G43" s="129" t="s">
        <v>484</v>
      </c>
      <c r="H43" s="129" t="s">
        <v>484</v>
      </c>
      <c r="I43" s="111">
        <v>4.8</v>
      </c>
      <c r="J43" s="77" t="s">
        <v>132</v>
      </c>
      <c r="K43" s="84">
        <v>30.52</v>
      </c>
      <c r="L43" s="86">
        <v>125</v>
      </c>
      <c r="M43" s="80">
        <v>0.4</v>
      </c>
      <c r="N43" s="81">
        <v>50</v>
      </c>
      <c r="O43" s="84">
        <v>-0.18</v>
      </c>
      <c r="P43" s="94">
        <v>-0.24969175199999999</v>
      </c>
      <c r="Q43" s="81">
        <f t="shared" si="0"/>
        <v>0.72088885018516746</v>
      </c>
      <c r="R43" s="81">
        <f t="shared" si="1"/>
        <v>11263.888284143241</v>
      </c>
      <c r="S43" s="81">
        <v>7</v>
      </c>
      <c r="T43" s="81">
        <f t="shared" si="2"/>
        <v>1609.1268977347486</v>
      </c>
      <c r="U43" s="81">
        <f>AVERAGE(T41:T43)</f>
        <v>1311.3311465273043</v>
      </c>
      <c r="V43" s="81">
        <f>_xlfn.STDEV.S(T41:T43)</f>
        <v>305.35197230114352</v>
      </c>
      <c r="W43" s="81">
        <f>MAX(K41:K43)-MIN(K41:K43)</f>
        <v>0.62000000000000099</v>
      </c>
      <c r="Y43" s="75"/>
      <c r="Z43" s="2"/>
      <c r="AA43" s="75"/>
      <c r="AB43" s="98"/>
      <c r="AD43" s="88"/>
      <c r="AE43" s="99"/>
      <c r="AF43" s="69"/>
      <c r="AH43" s="15"/>
      <c r="AI43" s="69"/>
      <c r="AJ43" s="69"/>
      <c r="AL43" s="69"/>
      <c r="AM43" s="69"/>
      <c r="AN43" s="69"/>
      <c r="AO43" s="69"/>
      <c r="AQ43" s="75"/>
      <c r="AR43" s="75"/>
      <c r="AS43" s="75"/>
      <c r="AT43" s="98"/>
      <c r="AW43" s="99"/>
      <c r="AZ43" s="15"/>
      <c r="BA43" s="69"/>
      <c r="BB43" s="69"/>
      <c r="BD43" s="69"/>
      <c r="BE43" s="69"/>
      <c r="BF43" s="69"/>
      <c r="BG43" s="69"/>
    </row>
    <row r="44" spans="1:70" x14ac:dyDescent="0.4">
      <c r="A44" s="85" t="s">
        <v>222</v>
      </c>
      <c r="B44" s="109" t="s">
        <v>95</v>
      </c>
      <c r="C44" s="129" t="s">
        <v>3</v>
      </c>
      <c r="D44" s="129" t="s">
        <v>484</v>
      </c>
      <c r="E44" s="129" t="s">
        <v>485</v>
      </c>
      <c r="F44" s="129" t="s">
        <v>484</v>
      </c>
      <c r="G44" s="129" t="s">
        <v>485</v>
      </c>
      <c r="H44" s="129" t="s">
        <v>484</v>
      </c>
      <c r="I44" s="111">
        <v>4.8</v>
      </c>
      <c r="J44" s="77" t="s">
        <v>132</v>
      </c>
      <c r="K44" s="84">
        <v>31.04</v>
      </c>
      <c r="L44" s="86">
        <v>83.6</v>
      </c>
      <c r="M44" s="80">
        <v>0.4</v>
      </c>
      <c r="N44" s="81">
        <v>50</v>
      </c>
      <c r="O44" s="84">
        <v>-0.2</v>
      </c>
      <c r="P44" s="94">
        <v>-0.25744567299999999</v>
      </c>
      <c r="Q44" s="81">
        <f t="shared" si="0"/>
        <v>0.7768629306113839</v>
      </c>
      <c r="R44" s="81">
        <f t="shared" si="1"/>
        <v>8118.2176248889618</v>
      </c>
      <c r="S44" s="81">
        <v>7</v>
      </c>
      <c r="T44" s="81">
        <f t="shared" si="2"/>
        <v>1159.7453749841375</v>
      </c>
      <c r="U44" s="81"/>
      <c r="V44" s="84"/>
      <c r="W44" s="84"/>
      <c r="Y44" s="75"/>
      <c r="Z44" s="2"/>
      <c r="AA44" s="75"/>
      <c r="AB44" s="98"/>
      <c r="AD44" s="88"/>
      <c r="AE44" s="99"/>
      <c r="AF44" s="69"/>
      <c r="AH44" s="15"/>
      <c r="AI44" s="69"/>
      <c r="AJ44" s="69"/>
      <c r="AL44" s="69"/>
      <c r="AM44" s="69"/>
      <c r="AQ44" s="75"/>
      <c r="AR44" s="2"/>
      <c r="AS44" s="75"/>
      <c r="AT44" s="98"/>
      <c r="AV44" s="88"/>
      <c r="AW44" s="99"/>
      <c r="AX44" s="69"/>
      <c r="AZ44" s="15"/>
      <c r="BA44" s="69"/>
      <c r="BB44" s="69"/>
      <c r="BD44" s="69"/>
      <c r="BE44" s="69"/>
    </row>
    <row r="45" spans="1:70" x14ac:dyDescent="0.4">
      <c r="A45" s="85" t="s">
        <v>223</v>
      </c>
      <c r="B45" s="109" t="s">
        <v>95</v>
      </c>
      <c r="C45" s="129" t="s">
        <v>3</v>
      </c>
      <c r="D45" s="129" t="s">
        <v>484</v>
      </c>
      <c r="E45" s="129" t="s">
        <v>485</v>
      </c>
      <c r="F45" s="129" t="s">
        <v>484</v>
      </c>
      <c r="G45" s="129" t="s">
        <v>485</v>
      </c>
      <c r="H45" s="129" t="s">
        <v>484</v>
      </c>
      <c r="I45" s="111">
        <v>4.8</v>
      </c>
      <c r="J45" s="77" t="s">
        <v>132</v>
      </c>
      <c r="K45" s="84">
        <v>30.73</v>
      </c>
      <c r="L45" s="86">
        <v>106</v>
      </c>
      <c r="M45" s="80">
        <v>0.4</v>
      </c>
      <c r="N45" s="81">
        <v>50</v>
      </c>
      <c r="O45" s="84">
        <v>-0.2</v>
      </c>
      <c r="P45" s="94">
        <v>-0.25744567299999999</v>
      </c>
      <c r="Q45" s="81">
        <f t="shared" si="0"/>
        <v>0.7768629306113839</v>
      </c>
      <c r="R45" s="81">
        <f t="shared" si="1"/>
        <v>10293.433830600836</v>
      </c>
      <c r="S45" s="81">
        <v>7</v>
      </c>
      <c r="T45" s="81">
        <f t="shared" si="2"/>
        <v>1470.4905472286907</v>
      </c>
      <c r="U45" s="81"/>
      <c r="V45" s="84"/>
      <c r="W45" s="84"/>
      <c r="Y45" s="75"/>
      <c r="Z45" s="2"/>
      <c r="AA45" s="75"/>
      <c r="AB45" s="98"/>
      <c r="AD45" s="88"/>
      <c r="AE45" s="99"/>
      <c r="AF45" s="69"/>
      <c r="AH45" s="15"/>
      <c r="AI45" s="69"/>
      <c r="AJ45" s="69"/>
      <c r="AL45" s="69"/>
      <c r="AM45" s="69"/>
      <c r="AQ45" s="75"/>
      <c r="AR45" s="2"/>
      <c r="AS45" s="75"/>
      <c r="AT45" s="98"/>
      <c r="AV45" s="88"/>
      <c r="AW45" s="99"/>
      <c r="AX45" s="69"/>
      <c r="AZ45" s="15"/>
      <c r="BA45" s="69"/>
      <c r="BB45" s="69"/>
      <c r="BD45" s="69"/>
      <c r="BE45" s="69"/>
    </row>
    <row r="46" spans="1:70" x14ac:dyDescent="0.4">
      <c r="A46" s="85" t="s">
        <v>224</v>
      </c>
      <c r="B46" s="109" t="s">
        <v>95</v>
      </c>
      <c r="C46" s="129" t="s">
        <v>3</v>
      </c>
      <c r="D46" s="129" t="s">
        <v>484</v>
      </c>
      <c r="E46" s="129" t="s">
        <v>485</v>
      </c>
      <c r="F46" s="129" t="s">
        <v>484</v>
      </c>
      <c r="G46" s="129" t="s">
        <v>485</v>
      </c>
      <c r="H46" s="129" t="s">
        <v>484</v>
      </c>
      <c r="I46" s="111">
        <v>4.8</v>
      </c>
      <c r="J46" s="77" t="s">
        <v>132</v>
      </c>
      <c r="K46" s="84">
        <v>30.97</v>
      </c>
      <c r="L46" s="86">
        <v>88.7</v>
      </c>
      <c r="M46" s="80">
        <v>0.4</v>
      </c>
      <c r="N46" s="81">
        <v>50</v>
      </c>
      <c r="O46" s="84">
        <v>-0.2</v>
      </c>
      <c r="P46" s="94">
        <v>-0.25744567299999999</v>
      </c>
      <c r="Q46" s="81">
        <f t="shared" si="0"/>
        <v>0.7768629306113839</v>
      </c>
      <c r="R46" s="81">
        <f t="shared" si="1"/>
        <v>8613.4677431537184</v>
      </c>
      <c r="S46" s="81">
        <v>7</v>
      </c>
      <c r="T46" s="81">
        <f t="shared" si="2"/>
        <v>1230.4953918791027</v>
      </c>
      <c r="U46" s="81">
        <f>AVERAGE(T44:T46)</f>
        <v>1286.9104380306435</v>
      </c>
      <c r="V46" s="81">
        <f>_xlfn.STDEV.S(T44:T46)</f>
        <v>162.87305975063774</v>
      </c>
      <c r="W46" s="81">
        <f>MAX(K44:K46)-MIN(K44:K46)</f>
        <v>0.30999999999999872</v>
      </c>
      <c r="Y46" s="75"/>
      <c r="Z46" s="2"/>
      <c r="AA46" s="75"/>
      <c r="AB46" s="98"/>
      <c r="AD46" s="88"/>
      <c r="AE46" s="99"/>
      <c r="AF46" s="69"/>
      <c r="AH46" s="15"/>
      <c r="AI46" s="69"/>
      <c r="AJ46" s="69"/>
      <c r="AL46" s="69"/>
      <c r="AM46" s="69"/>
      <c r="AN46" s="69"/>
      <c r="AO46" s="69"/>
      <c r="AQ46" s="75"/>
      <c r="AR46" s="2"/>
      <c r="AS46" s="75"/>
      <c r="AT46" s="98"/>
      <c r="AV46" s="88"/>
      <c r="AW46" s="99"/>
      <c r="AX46" s="69"/>
      <c r="AZ46" s="15"/>
      <c r="BA46" s="69"/>
      <c r="BB46" s="69"/>
      <c r="BD46" s="69"/>
      <c r="BE46" s="69"/>
      <c r="BF46" s="69"/>
      <c r="BG46" s="69"/>
      <c r="BR46" s="88"/>
    </row>
    <row r="47" spans="1:70" x14ac:dyDescent="0.4">
      <c r="A47" s="85" t="s">
        <v>225</v>
      </c>
      <c r="B47" s="109" t="s">
        <v>102</v>
      </c>
      <c r="C47" s="129" t="s">
        <v>0</v>
      </c>
      <c r="D47" s="129" t="s">
        <v>484</v>
      </c>
      <c r="E47" s="129" t="s">
        <v>484</v>
      </c>
      <c r="F47" s="129" t="s">
        <v>484</v>
      </c>
      <c r="G47" s="129" t="s">
        <v>484</v>
      </c>
      <c r="H47" s="129" t="s">
        <v>484</v>
      </c>
      <c r="I47" s="111">
        <v>5.8</v>
      </c>
      <c r="J47" s="77" t="s">
        <v>132</v>
      </c>
      <c r="K47" s="84">
        <v>13.04</v>
      </c>
      <c r="L47" s="86">
        <v>16700000</v>
      </c>
      <c r="M47" s="80">
        <v>0.4</v>
      </c>
      <c r="N47" s="81">
        <v>50</v>
      </c>
      <c r="O47" s="84">
        <v>23.67</v>
      </c>
      <c r="P47" s="94">
        <v>5.9598143969999997</v>
      </c>
      <c r="Q47" s="81">
        <f t="shared" si="0"/>
        <v>3.9716001914279082</v>
      </c>
      <c r="R47" s="81">
        <f t="shared" si="1"/>
        <v>8290715399.6057577</v>
      </c>
      <c r="S47" s="81">
        <v>7</v>
      </c>
      <c r="T47" s="81">
        <f t="shared" si="2"/>
        <v>1184387914.229394</v>
      </c>
      <c r="U47" s="81"/>
      <c r="V47" s="84"/>
      <c r="W47" s="84"/>
      <c r="Y47" s="75"/>
      <c r="Z47" s="2"/>
      <c r="AA47" s="75"/>
      <c r="AB47" s="98"/>
      <c r="AD47" s="88"/>
      <c r="AE47" s="99"/>
      <c r="AF47" s="69"/>
      <c r="AH47" s="15"/>
      <c r="AI47" s="69"/>
      <c r="AJ47" s="69"/>
      <c r="AL47" s="69"/>
      <c r="AM47" s="69"/>
      <c r="AQ47" s="75"/>
      <c r="AR47" s="2"/>
      <c r="AS47" s="75"/>
      <c r="AT47" s="98"/>
      <c r="AV47" s="88"/>
      <c r="AW47" s="99"/>
      <c r="AX47" s="69"/>
      <c r="AZ47" s="15"/>
      <c r="BA47" s="69"/>
      <c r="BB47" s="69"/>
      <c r="BD47" s="69"/>
      <c r="BE47" s="69"/>
      <c r="BR47" s="88"/>
    </row>
    <row r="48" spans="1:70" x14ac:dyDescent="0.4">
      <c r="A48" s="85" t="s">
        <v>226</v>
      </c>
      <c r="B48" s="109" t="s">
        <v>102</v>
      </c>
      <c r="C48" s="129" t="s">
        <v>0</v>
      </c>
      <c r="D48" s="129" t="s">
        <v>484</v>
      </c>
      <c r="E48" s="129" t="s">
        <v>484</v>
      </c>
      <c r="F48" s="129" t="s">
        <v>484</v>
      </c>
      <c r="G48" s="129" t="s">
        <v>484</v>
      </c>
      <c r="H48" s="129" t="s">
        <v>484</v>
      </c>
      <c r="I48" s="111">
        <v>5.8</v>
      </c>
      <c r="J48" s="77" t="s">
        <v>132</v>
      </c>
      <c r="K48" s="84">
        <v>13.32</v>
      </c>
      <c r="L48" s="86">
        <v>13900000</v>
      </c>
      <c r="M48" s="80">
        <v>0.4</v>
      </c>
      <c r="N48" s="81">
        <v>50</v>
      </c>
      <c r="O48" s="84">
        <v>23.67</v>
      </c>
      <c r="P48" s="94">
        <v>5.9598143969999997</v>
      </c>
      <c r="Q48" s="81">
        <f t="shared" si="0"/>
        <v>3.9716001914279082</v>
      </c>
      <c r="R48" s="81">
        <f t="shared" si="1"/>
        <v>6900655332.6059895</v>
      </c>
      <c r="S48" s="81">
        <v>7</v>
      </c>
      <c r="T48" s="81">
        <f t="shared" si="2"/>
        <v>985807904.65799844</v>
      </c>
      <c r="U48" s="81"/>
      <c r="V48" s="84"/>
      <c r="W48" s="84"/>
      <c r="Y48" s="75"/>
      <c r="Z48" s="2"/>
      <c r="AA48" s="75"/>
      <c r="AB48" s="98"/>
      <c r="AD48" s="88"/>
      <c r="AE48" s="99"/>
      <c r="AF48" s="69"/>
      <c r="AH48" s="15"/>
      <c r="AI48" s="69"/>
      <c r="AJ48" s="69"/>
      <c r="AL48" s="69"/>
      <c r="AM48" s="69"/>
      <c r="AQ48" s="75"/>
      <c r="AR48" s="2"/>
      <c r="AS48" s="75"/>
      <c r="AT48" s="98"/>
      <c r="AV48" s="88"/>
      <c r="AW48" s="99"/>
      <c r="AX48" s="69"/>
      <c r="AZ48" s="15"/>
      <c r="BA48" s="69"/>
      <c r="BB48" s="69"/>
      <c r="BD48" s="69"/>
      <c r="BE48" s="69"/>
      <c r="BR48" s="88"/>
    </row>
    <row r="49" spans="1:70" x14ac:dyDescent="0.4">
      <c r="A49" s="85" t="s">
        <v>227</v>
      </c>
      <c r="B49" s="109" t="s">
        <v>102</v>
      </c>
      <c r="C49" s="129" t="s">
        <v>0</v>
      </c>
      <c r="D49" s="129" t="s">
        <v>484</v>
      </c>
      <c r="E49" s="129" t="s">
        <v>484</v>
      </c>
      <c r="F49" s="129" t="s">
        <v>484</v>
      </c>
      <c r="G49" s="129" t="s">
        <v>484</v>
      </c>
      <c r="H49" s="129" t="s">
        <v>484</v>
      </c>
      <c r="I49" s="111">
        <v>5.8</v>
      </c>
      <c r="J49" s="77" t="s">
        <v>132</v>
      </c>
      <c r="K49" s="84">
        <v>13.09</v>
      </c>
      <c r="L49" s="86">
        <v>16200000</v>
      </c>
      <c r="M49" s="80">
        <v>0.4</v>
      </c>
      <c r="N49" s="81">
        <v>50</v>
      </c>
      <c r="O49" s="84">
        <v>23.67</v>
      </c>
      <c r="P49" s="94">
        <v>5.9598143969999997</v>
      </c>
      <c r="Q49" s="81">
        <f t="shared" si="0"/>
        <v>3.9716001914279082</v>
      </c>
      <c r="R49" s="81">
        <f t="shared" si="1"/>
        <v>8042490387.6415138</v>
      </c>
      <c r="S49" s="81">
        <v>7</v>
      </c>
      <c r="T49" s="81">
        <f t="shared" si="2"/>
        <v>1148927198.2345021</v>
      </c>
      <c r="U49" s="81">
        <f>AVERAGE(T47:T49)</f>
        <v>1106374339.0406315</v>
      </c>
      <c r="V49" s="81">
        <f>_xlfn.STDEV.S(T47:T49)</f>
        <v>105908283.05436698</v>
      </c>
      <c r="W49" s="81">
        <f>MAX(K47:K49)-MIN(K47:K49)</f>
        <v>0.28000000000000114</v>
      </c>
      <c r="Y49" s="75"/>
      <c r="Z49" s="2"/>
      <c r="AA49" s="75"/>
      <c r="AB49" s="98"/>
      <c r="AD49" s="88"/>
      <c r="AE49" s="99"/>
      <c r="AF49" s="69"/>
      <c r="AH49" s="15"/>
      <c r="AI49" s="69"/>
      <c r="AJ49" s="69"/>
      <c r="AL49" s="69"/>
      <c r="AM49" s="69"/>
      <c r="AN49" s="69"/>
      <c r="AO49" s="69"/>
      <c r="AQ49" s="75"/>
      <c r="AR49" s="2"/>
      <c r="AS49" s="75"/>
      <c r="AT49" s="98"/>
      <c r="AV49" s="88"/>
      <c r="AW49" s="99"/>
      <c r="AX49" s="69"/>
      <c r="AZ49" s="15"/>
      <c r="BA49" s="69"/>
      <c r="BB49" s="69"/>
      <c r="BD49" s="69"/>
      <c r="BE49" s="69"/>
      <c r="BF49" s="69"/>
      <c r="BG49" s="69"/>
      <c r="BR49" s="88"/>
    </row>
    <row r="50" spans="1:70" x14ac:dyDescent="0.4">
      <c r="A50" s="85" t="s">
        <v>228</v>
      </c>
      <c r="B50" s="109" t="s">
        <v>103</v>
      </c>
      <c r="C50" s="129" t="s">
        <v>1</v>
      </c>
      <c r="D50" s="129" t="s">
        <v>484</v>
      </c>
      <c r="E50" s="129" t="s">
        <v>484</v>
      </c>
      <c r="F50" s="129" t="s">
        <v>484</v>
      </c>
      <c r="G50" s="129" t="s">
        <v>485</v>
      </c>
      <c r="H50" s="129" t="s">
        <v>484</v>
      </c>
      <c r="I50" s="111">
        <v>5.8</v>
      </c>
      <c r="J50" s="77" t="s">
        <v>132</v>
      </c>
      <c r="K50" s="84">
        <v>20.23</v>
      </c>
      <c r="L50" s="86">
        <v>151000</v>
      </c>
      <c r="M50" s="80">
        <v>0.4</v>
      </c>
      <c r="N50" s="81">
        <v>50</v>
      </c>
      <c r="O50" s="84">
        <v>6.15</v>
      </c>
      <c r="P50" s="94">
        <v>3.2833269989999998</v>
      </c>
      <c r="Q50" s="81">
        <f t="shared" si="0"/>
        <v>1.8731000603574059</v>
      </c>
      <c r="R50" s="81">
        <f t="shared" si="1"/>
        <v>35354763.639246039</v>
      </c>
      <c r="S50" s="81">
        <v>7</v>
      </c>
      <c r="T50" s="81">
        <f t="shared" si="2"/>
        <v>5050680.5198922912</v>
      </c>
      <c r="U50" s="81"/>
      <c r="V50" s="84"/>
      <c r="W50" s="84"/>
      <c r="Y50" s="75"/>
      <c r="Z50" s="2"/>
      <c r="AA50" s="75"/>
      <c r="AB50" s="98"/>
      <c r="AD50" s="88"/>
      <c r="AE50" s="99"/>
      <c r="AF50" s="69"/>
      <c r="AH50" s="15"/>
      <c r="AI50" s="69"/>
      <c r="AJ50" s="69"/>
      <c r="AL50" s="69"/>
      <c r="AM50" s="69"/>
      <c r="AQ50" s="75"/>
      <c r="AR50" s="2"/>
      <c r="AS50" s="75"/>
      <c r="AT50" s="98"/>
      <c r="AV50" s="88"/>
      <c r="AW50" s="99"/>
      <c r="AX50" s="69"/>
      <c r="AZ50" s="15"/>
      <c r="BA50" s="69"/>
      <c r="BB50" s="69"/>
      <c r="BD50" s="69"/>
      <c r="BE50" s="69"/>
      <c r="BR50" s="88"/>
    </row>
    <row r="51" spans="1:70" x14ac:dyDescent="0.4">
      <c r="A51" s="85" t="s">
        <v>229</v>
      </c>
      <c r="B51" s="109" t="s">
        <v>103</v>
      </c>
      <c r="C51" s="129" t="s">
        <v>1</v>
      </c>
      <c r="D51" s="129" t="s">
        <v>484</v>
      </c>
      <c r="E51" s="129" t="s">
        <v>484</v>
      </c>
      <c r="F51" s="129" t="s">
        <v>484</v>
      </c>
      <c r="G51" s="129" t="s">
        <v>485</v>
      </c>
      <c r="H51" s="129" t="s">
        <v>484</v>
      </c>
      <c r="I51" s="111">
        <v>5.8</v>
      </c>
      <c r="J51" s="77" t="s">
        <v>132</v>
      </c>
      <c r="K51" s="84">
        <v>20.27</v>
      </c>
      <c r="L51" s="86">
        <v>147000</v>
      </c>
      <c r="M51" s="80">
        <v>0.4</v>
      </c>
      <c r="N51" s="81">
        <v>50</v>
      </c>
      <c r="O51" s="84">
        <v>6.15</v>
      </c>
      <c r="P51" s="94">
        <v>3.2833269989999998</v>
      </c>
      <c r="Q51" s="81">
        <f t="shared" si="0"/>
        <v>1.8731000603574059</v>
      </c>
      <c r="R51" s="81">
        <f t="shared" si="1"/>
        <v>34418213.609067328</v>
      </c>
      <c r="S51" s="81">
        <v>7</v>
      </c>
      <c r="T51" s="81">
        <f t="shared" si="2"/>
        <v>4916887.6584381899</v>
      </c>
      <c r="U51" s="81"/>
      <c r="V51" s="84"/>
      <c r="W51" s="84"/>
      <c r="Y51" s="75"/>
      <c r="Z51" s="2"/>
      <c r="AA51" s="75"/>
      <c r="AB51" s="98"/>
      <c r="AD51" s="88"/>
      <c r="AE51" s="99"/>
      <c r="AF51" s="69"/>
      <c r="AH51" s="15"/>
      <c r="AI51" s="69"/>
      <c r="AJ51" s="69"/>
      <c r="AL51" s="69"/>
      <c r="AM51" s="69"/>
      <c r="AQ51" s="75"/>
      <c r="AR51" s="2"/>
      <c r="AS51" s="75"/>
      <c r="AT51" s="98"/>
      <c r="AV51" s="88"/>
      <c r="AW51" s="99"/>
      <c r="AX51" s="69"/>
      <c r="AZ51" s="15"/>
      <c r="BA51" s="69"/>
      <c r="BB51" s="69"/>
      <c r="BD51" s="69"/>
      <c r="BE51" s="69"/>
      <c r="BR51" s="88"/>
    </row>
    <row r="52" spans="1:70" x14ac:dyDescent="0.4">
      <c r="A52" s="85" t="s">
        <v>230</v>
      </c>
      <c r="B52" s="109" t="s">
        <v>103</v>
      </c>
      <c r="C52" s="129" t="s">
        <v>1</v>
      </c>
      <c r="D52" s="129" t="s">
        <v>484</v>
      </c>
      <c r="E52" s="129" t="s">
        <v>484</v>
      </c>
      <c r="F52" s="129" t="s">
        <v>484</v>
      </c>
      <c r="G52" s="129" t="s">
        <v>485</v>
      </c>
      <c r="H52" s="129" t="s">
        <v>484</v>
      </c>
      <c r="I52" s="111">
        <v>5.8</v>
      </c>
      <c r="J52" s="77" t="s">
        <v>132</v>
      </c>
      <c r="K52" s="84">
        <v>20.420000000000002</v>
      </c>
      <c r="L52" s="86">
        <v>133000</v>
      </c>
      <c r="M52" s="80">
        <v>0.4</v>
      </c>
      <c r="N52" s="81">
        <v>50</v>
      </c>
      <c r="O52" s="84">
        <v>6.15</v>
      </c>
      <c r="P52" s="94">
        <v>3.2833269989999998</v>
      </c>
      <c r="Q52" s="81">
        <f t="shared" si="0"/>
        <v>1.8731000603574059</v>
      </c>
      <c r="R52" s="81">
        <f t="shared" si="1"/>
        <v>31140288.503441874</v>
      </c>
      <c r="S52" s="81">
        <v>7</v>
      </c>
      <c r="T52" s="81">
        <f t="shared" si="2"/>
        <v>4448612.6433488391</v>
      </c>
      <c r="U52" s="81">
        <f>AVERAGE(T50:T52)</f>
        <v>4805393.6072264398</v>
      </c>
      <c r="V52" s="81">
        <f>_xlfn.STDEV.S(T50:T52)</f>
        <v>316140.197670419</v>
      </c>
      <c r="W52" s="81">
        <f>MAX(K50:K52)-MIN(K50:K52)</f>
        <v>0.19000000000000128</v>
      </c>
      <c r="Y52" s="75"/>
      <c r="Z52" s="2"/>
      <c r="AA52" s="75"/>
      <c r="AB52" s="98"/>
      <c r="AD52" s="88"/>
      <c r="AE52" s="99"/>
      <c r="AF52" s="69"/>
      <c r="AH52" s="15"/>
      <c r="AI52" s="69"/>
      <c r="AJ52" s="69"/>
      <c r="AL52" s="69"/>
      <c r="AM52" s="69"/>
      <c r="AN52" s="69"/>
      <c r="AO52" s="69"/>
      <c r="AQ52" s="75"/>
      <c r="AR52" s="2"/>
      <c r="AS52" s="75"/>
      <c r="AT52" s="98"/>
      <c r="AV52" s="88"/>
      <c r="AW52" s="99"/>
      <c r="AX52" s="69"/>
      <c r="AZ52" s="15"/>
      <c r="BA52" s="69"/>
      <c r="BB52" s="69"/>
      <c r="BD52" s="69"/>
      <c r="BE52" s="69"/>
      <c r="BF52" s="69"/>
      <c r="BG52" s="69"/>
      <c r="BR52" s="88"/>
    </row>
    <row r="53" spans="1:70" x14ac:dyDescent="0.4">
      <c r="A53" s="85" t="s">
        <v>231</v>
      </c>
      <c r="B53" s="109" t="s">
        <v>104</v>
      </c>
      <c r="C53" s="129" t="s">
        <v>2</v>
      </c>
      <c r="D53" s="129" t="s">
        <v>484</v>
      </c>
      <c r="E53" s="129" t="s">
        <v>485</v>
      </c>
      <c r="F53" s="129" t="s">
        <v>484</v>
      </c>
      <c r="G53" s="129" t="s">
        <v>484</v>
      </c>
      <c r="H53" s="129" t="s">
        <v>484</v>
      </c>
      <c r="I53" s="111">
        <v>5.8</v>
      </c>
      <c r="J53" s="77" t="s">
        <v>132</v>
      </c>
      <c r="K53" s="84">
        <v>20.260000000000002</v>
      </c>
      <c r="L53" s="86">
        <v>148000</v>
      </c>
      <c r="M53" s="80">
        <v>0.4</v>
      </c>
      <c r="N53" s="81">
        <v>50</v>
      </c>
      <c r="O53" s="84">
        <v>21.96</v>
      </c>
      <c r="P53" s="94">
        <v>6.384433885</v>
      </c>
      <c r="Q53" s="81">
        <f t="shared" si="0"/>
        <v>3.4396158524868179</v>
      </c>
      <c r="R53" s="81">
        <f t="shared" si="1"/>
        <v>63632893.27100613</v>
      </c>
      <c r="S53" s="81">
        <v>7</v>
      </c>
      <c r="T53" s="81">
        <f t="shared" si="2"/>
        <v>9090413.3244294468</v>
      </c>
      <c r="U53" s="81"/>
      <c r="V53" s="84"/>
      <c r="W53" s="84"/>
      <c r="Y53" s="75"/>
      <c r="Z53" s="2"/>
      <c r="AA53" s="75"/>
      <c r="AB53" s="98"/>
      <c r="AD53" s="88"/>
      <c r="AE53" s="99"/>
      <c r="AF53" s="69"/>
      <c r="AH53" s="15"/>
      <c r="AI53" s="69"/>
      <c r="AJ53" s="69"/>
      <c r="AL53" s="69"/>
      <c r="AM53" s="69"/>
      <c r="AQ53" s="75"/>
      <c r="AR53" s="75"/>
      <c r="AS53" s="75"/>
      <c r="AT53" s="98"/>
      <c r="AW53" s="99"/>
      <c r="AZ53" s="15"/>
      <c r="BA53" s="69"/>
      <c r="BB53" s="69"/>
      <c r="BD53" s="69"/>
      <c r="BE53" s="69"/>
      <c r="BR53" s="88"/>
    </row>
    <row r="54" spans="1:70" x14ac:dyDescent="0.4">
      <c r="A54" s="85" t="s">
        <v>232</v>
      </c>
      <c r="B54" s="109" t="s">
        <v>104</v>
      </c>
      <c r="C54" s="129" t="s">
        <v>2</v>
      </c>
      <c r="D54" s="129" t="s">
        <v>484</v>
      </c>
      <c r="E54" s="129" t="s">
        <v>485</v>
      </c>
      <c r="F54" s="129" t="s">
        <v>484</v>
      </c>
      <c r="G54" s="129" t="s">
        <v>484</v>
      </c>
      <c r="H54" s="129" t="s">
        <v>484</v>
      </c>
      <c r="I54" s="111">
        <v>5.8</v>
      </c>
      <c r="J54" s="77" t="s">
        <v>132</v>
      </c>
      <c r="K54" s="84">
        <v>20.420000000000002</v>
      </c>
      <c r="L54" s="86">
        <v>133000</v>
      </c>
      <c r="M54" s="80">
        <v>0.4</v>
      </c>
      <c r="N54" s="81">
        <v>50</v>
      </c>
      <c r="O54" s="84">
        <v>21.96</v>
      </c>
      <c r="P54" s="94">
        <v>6.384433885</v>
      </c>
      <c r="Q54" s="81">
        <f t="shared" si="0"/>
        <v>3.4396158524868179</v>
      </c>
      <c r="R54" s="81">
        <f t="shared" si="1"/>
        <v>57183613.54759334</v>
      </c>
      <c r="S54" s="81">
        <v>7</v>
      </c>
      <c r="T54" s="81">
        <f t="shared" si="2"/>
        <v>8169087.6496561915</v>
      </c>
      <c r="U54" s="81"/>
      <c r="V54" s="84"/>
      <c r="W54" s="84"/>
      <c r="Y54" s="75"/>
      <c r="Z54" s="2"/>
      <c r="AA54" s="75"/>
      <c r="AB54" s="98"/>
      <c r="AD54" s="88"/>
      <c r="AE54" s="99"/>
      <c r="AF54" s="69"/>
      <c r="AH54" s="15"/>
      <c r="AI54" s="69"/>
      <c r="AJ54" s="69"/>
      <c r="AL54" s="69"/>
      <c r="AM54" s="69"/>
      <c r="AQ54" s="75"/>
      <c r="AR54" s="75"/>
      <c r="AS54" s="75"/>
      <c r="AT54" s="98"/>
      <c r="AW54" s="99"/>
      <c r="AZ54" s="15"/>
      <c r="BA54" s="69"/>
      <c r="BB54" s="69"/>
      <c r="BD54" s="69"/>
      <c r="BE54" s="69"/>
      <c r="BR54" s="88"/>
    </row>
    <row r="55" spans="1:70" x14ac:dyDescent="0.4">
      <c r="A55" s="85" t="s">
        <v>233</v>
      </c>
      <c r="B55" s="109" t="s">
        <v>104</v>
      </c>
      <c r="C55" s="129" t="s">
        <v>2</v>
      </c>
      <c r="D55" s="129" t="s">
        <v>484</v>
      </c>
      <c r="E55" s="129" t="s">
        <v>485</v>
      </c>
      <c r="F55" s="129" t="s">
        <v>484</v>
      </c>
      <c r="G55" s="129" t="s">
        <v>484</v>
      </c>
      <c r="H55" s="129" t="s">
        <v>484</v>
      </c>
      <c r="I55" s="111">
        <v>5.8</v>
      </c>
      <c r="J55" s="77" t="s">
        <v>132</v>
      </c>
      <c r="K55" s="84">
        <v>20.27</v>
      </c>
      <c r="L55" s="86">
        <v>147000</v>
      </c>
      <c r="M55" s="80">
        <v>0.4</v>
      </c>
      <c r="N55" s="81">
        <v>50</v>
      </c>
      <c r="O55" s="84">
        <v>21.96</v>
      </c>
      <c r="P55" s="94">
        <v>6.384433885</v>
      </c>
      <c r="Q55" s="81">
        <f t="shared" si="0"/>
        <v>3.4396158524868179</v>
      </c>
      <c r="R55" s="81">
        <f t="shared" si="1"/>
        <v>63202941.289445281</v>
      </c>
      <c r="S55" s="81">
        <v>7</v>
      </c>
      <c r="T55" s="81">
        <f t="shared" si="2"/>
        <v>9028991.6127778981</v>
      </c>
      <c r="U55" s="81">
        <f>AVERAGE(T53:T55)</f>
        <v>8762830.8622878436</v>
      </c>
      <c r="V55" s="81">
        <f>_xlfn.STDEV.S(T53:T55)</f>
        <v>515113.00563582126</v>
      </c>
      <c r="W55" s="81">
        <f>MAX(K53:K55)-MIN(K53:K55)</f>
        <v>0.16000000000000014</v>
      </c>
      <c r="Y55" s="75"/>
      <c r="Z55" s="2"/>
      <c r="AA55" s="75"/>
      <c r="AB55" s="98"/>
      <c r="AD55" s="88"/>
      <c r="AE55" s="99"/>
      <c r="AF55" s="69"/>
      <c r="AH55" s="15"/>
      <c r="AI55" s="69"/>
      <c r="AJ55" s="69"/>
      <c r="AL55" s="69"/>
      <c r="AM55" s="69"/>
      <c r="AN55" s="69"/>
      <c r="AO55" s="69"/>
      <c r="AQ55" s="75"/>
      <c r="AR55" s="75"/>
      <c r="AS55" s="75"/>
      <c r="AT55" s="98"/>
      <c r="AW55" s="99"/>
      <c r="AZ55" s="15"/>
      <c r="BA55" s="69"/>
      <c r="BB55" s="69"/>
      <c r="BD55" s="69"/>
      <c r="BE55" s="69"/>
      <c r="BF55" s="69"/>
      <c r="BG55" s="69"/>
    </row>
    <row r="56" spans="1:70" x14ac:dyDescent="0.4">
      <c r="A56" s="85" t="s">
        <v>234</v>
      </c>
      <c r="B56" s="109" t="s">
        <v>105</v>
      </c>
      <c r="C56" s="129" t="s">
        <v>3</v>
      </c>
      <c r="D56" s="129" t="s">
        <v>484</v>
      </c>
      <c r="E56" s="129" t="s">
        <v>485</v>
      </c>
      <c r="F56" s="129" t="s">
        <v>484</v>
      </c>
      <c r="G56" s="129" t="s">
        <v>485</v>
      </c>
      <c r="H56" s="129" t="s">
        <v>484</v>
      </c>
      <c r="I56" s="111">
        <v>5.8</v>
      </c>
      <c r="J56" s="77" t="s">
        <v>132</v>
      </c>
      <c r="K56" s="84">
        <v>20.71</v>
      </c>
      <c r="L56" s="86">
        <v>110000</v>
      </c>
      <c r="M56" s="80">
        <v>0.4</v>
      </c>
      <c r="N56" s="81">
        <v>50</v>
      </c>
      <c r="O56" s="84">
        <v>23.46</v>
      </c>
      <c r="P56" s="94">
        <v>6.0713231670000001</v>
      </c>
      <c r="Q56" s="81">
        <f t="shared" si="0"/>
        <v>3.8640670830230572</v>
      </c>
      <c r="R56" s="81">
        <f t="shared" si="1"/>
        <v>53130922.391567029</v>
      </c>
      <c r="S56" s="81">
        <v>7</v>
      </c>
      <c r="T56" s="81">
        <f t="shared" si="2"/>
        <v>7590131.7702238616</v>
      </c>
      <c r="U56" s="81"/>
      <c r="V56" s="84"/>
      <c r="W56" s="84"/>
      <c r="Y56" s="75"/>
      <c r="Z56" s="2"/>
      <c r="AA56" s="75"/>
      <c r="AB56" s="98"/>
      <c r="AD56" s="88"/>
      <c r="AE56" s="99"/>
      <c r="AF56" s="69"/>
      <c r="AH56" s="15"/>
      <c r="AI56" s="69"/>
      <c r="AJ56" s="69"/>
      <c r="AL56" s="69"/>
      <c r="AM56" s="69"/>
      <c r="AQ56" s="75"/>
      <c r="AR56" s="2"/>
      <c r="AS56" s="75"/>
      <c r="AT56" s="98"/>
      <c r="AV56" s="88"/>
      <c r="AW56" s="99"/>
      <c r="AX56" s="69"/>
      <c r="AZ56" s="15"/>
      <c r="BA56" s="69"/>
      <c r="BB56" s="69"/>
      <c r="BD56" s="69"/>
      <c r="BE56" s="69"/>
    </row>
    <row r="57" spans="1:70" x14ac:dyDescent="0.4">
      <c r="A57" s="85" t="s">
        <v>235</v>
      </c>
      <c r="B57" s="109" t="s">
        <v>105</v>
      </c>
      <c r="C57" s="129" t="s">
        <v>3</v>
      </c>
      <c r="D57" s="129" t="s">
        <v>484</v>
      </c>
      <c r="E57" s="129" t="s">
        <v>485</v>
      </c>
      <c r="F57" s="129" t="s">
        <v>484</v>
      </c>
      <c r="G57" s="129" t="s">
        <v>485</v>
      </c>
      <c r="H57" s="129" t="s">
        <v>484</v>
      </c>
      <c r="I57" s="111">
        <v>5.8</v>
      </c>
      <c r="J57" s="77" t="s">
        <v>132</v>
      </c>
      <c r="K57" s="84">
        <v>20.75</v>
      </c>
      <c r="L57" s="86">
        <v>107000</v>
      </c>
      <c r="M57" s="80">
        <v>0.4</v>
      </c>
      <c r="N57" s="81">
        <v>50</v>
      </c>
      <c r="O57" s="84">
        <v>23.46</v>
      </c>
      <c r="P57" s="94">
        <v>6.0713231670000001</v>
      </c>
      <c r="Q57" s="81">
        <f t="shared" si="0"/>
        <v>3.8640670830230572</v>
      </c>
      <c r="R57" s="81">
        <f t="shared" si="1"/>
        <v>51681897.235433392</v>
      </c>
      <c r="S57" s="81">
        <v>7</v>
      </c>
      <c r="T57" s="81">
        <f t="shared" si="2"/>
        <v>7383128.1764904847</v>
      </c>
      <c r="U57" s="81"/>
      <c r="V57" s="84"/>
      <c r="W57" s="84"/>
      <c r="Y57" s="75"/>
      <c r="Z57" s="2"/>
      <c r="AA57" s="75"/>
      <c r="AB57" s="98"/>
      <c r="AD57" s="88"/>
      <c r="AE57" s="99"/>
      <c r="AF57" s="69"/>
      <c r="AH57" s="15"/>
      <c r="AI57" s="69"/>
      <c r="AJ57" s="69"/>
      <c r="AL57" s="69"/>
      <c r="AM57" s="69"/>
      <c r="AQ57" s="75"/>
      <c r="AR57" s="2"/>
      <c r="AS57" s="75"/>
      <c r="AT57" s="98"/>
      <c r="AV57" s="88"/>
      <c r="AW57" s="99"/>
      <c r="AX57" s="69"/>
      <c r="AZ57" s="15"/>
      <c r="BA57" s="69"/>
      <c r="BB57" s="69"/>
      <c r="BD57" s="69"/>
      <c r="BE57" s="69"/>
    </row>
    <row r="58" spans="1:70" x14ac:dyDescent="0.4">
      <c r="A58" s="85" t="s">
        <v>236</v>
      </c>
      <c r="B58" s="109" t="s">
        <v>105</v>
      </c>
      <c r="C58" s="129" t="s">
        <v>3</v>
      </c>
      <c r="D58" s="129" t="s">
        <v>484</v>
      </c>
      <c r="E58" s="129" t="s">
        <v>485</v>
      </c>
      <c r="F58" s="129" t="s">
        <v>484</v>
      </c>
      <c r="G58" s="129" t="s">
        <v>485</v>
      </c>
      <c r="H58" s="129" t="s">
        <v>484</v>
      </c>
      <c r="I58" s="111">
        <v>5.8</v>
      </c>
      <c r="J58" s="77" t="s">
        <v>132</v>
      </c>
      <c r="K58" s="84">
        <v>20.72</v>
      </c>
      <c r="L58" s="86">
        <v>109000</v>
      </c>
      <c r="M58" s="80">
        <v>0.4</v>
      </c>
      <c r="N58" s="81">
        <v>50</v>
      </c>
      <c r="O58" s="84">
        <v>23.46</v>
      </c>
      <c r="P58" s="94">
        <v>6.0713231670000001</v>
      </c>
      <c r="Q58" s="81">
        <f t="shared" si="0"/>
        <v>3.8640670830230572</v>
      </c>
      <c r="R58" s="81">
        <f t="shared" si="1"/>
        <v>52647914.006189153</v>
      </c>
      <c r="S58" s="81">
        <v>7</v>
      </c>
      <c r="T58" s="81">
        <f t="shared" si="2"/>
        <v>7521130.572312736</v>
      </c>
      <c r="U58" s="81">
        <f>AVERAGE(T56:T58)</f>
        <v>7498130.1730090268</v>
      </c>
      <c r="V58" s="81">
        <f>_xlfn.STDEV.S(T56:T58)</f>
        <v>105401.07082345396</v>
      </c>
      <c r="W58" s="81">
        <f>MAX(K56:K58)-MIN(K56:K58)</f>
        <v>3.9999999999999147E-2</v>
      </c>
      <c r="Y58" s="75"/>
      <c r="Z58" s="2"/>
      <c r="AA58" s="75"/>
      <c r="AB58" s="98"/>
      <c r="AD58" s="88"/>
      <c r="AE58" s="99"/>
      <c r="AF58" s="69"/>
      <c r="AH58" s="15"/>
      <c r="AI58" s="69"/>
      <c r="AJ58" s="69"/>
      <c r="AL58" s="69"/>
      <c r="AM58" s="69"/>
      <c r="AN58" s="69"/>
      <c r="AO58" s="69"/>
      <c r="AQ58" s="75"/>
      <c r="AR58" s="2"/>
      <c r="AS58" s="75"/>
      <c r="AT58" s="98"/>
      <c r="AV58" s="88"/>
      <c r="AW58" s="99"/>
      <c r="AX58" s="69"/>
      <c r="AZ58" s="15"/>
      <c r="BA58" s="69"/>
      <c r="BB58" s="69"/>
      <c r="BD58" s="69"/>
      <c r="BE58" s="69"/>
      <c r="BF58" s="69"/>
      <c r="BG58" s="69"/>
      <c r="BR58" s="88"/>
    </row>
    <row r="59" spans="1:70" x14ac:dyDescent="0.4">
      <c r="A59" s="85" t="s">
        <v>237</v>
      </c>
      <c r="B59" s="109" t="s">
        <v>112</v>
      </c>
      <c r="C59" s="129" t="s">
        <v>0</v>
      </c>
      <c r="D59" s="129" t="s">
        <v>484</v>
      </c>
      <c r="E59" s="129" t="s">
        <v>484</v>
      </c>
      <c r="F59" s="129" t="s">
        <v>484</v>
      </c>
      <c r="G59" s="129" t="s">
        <v>484</v>
      </c>
      <c r="H59" s="129" t="s">
        <v>484</v>
      </c>
      <c r="I59" s="111">
        <v>4.8</v>
      </c>
      <c r="J59" s="77" t="s">
        <v>133</v>
      </c>
      <c r="K59" s="84">
        <v>16.260000000000002</v>
      </c>
      <c r="L59" s="86">
        <v>2030000</v>
      </c>
      <c r="M59" s="80">
        <v>0.4</v>
      </c>
      <c r="N59" s="81">
        <v>50</v>
      </c>
      <c r="O59" s="84">
        <v>3.5</v>
      </c>
      <c r="P59" s="94">
        <v>2.827784136</v>
      </c>
      <c r="Q59" s="81">
        <f t="shared" si="0"/>
        <v>1.2377182386173482</v>
      </c>
      <c r="R59" s="81">
        <f t="shared" si="1"/>
        <v>314071003.04915208</v>
      </c>
      <c r="S59" s="81">
        <v>7</v>
      </c>
      <c r="T59" s="81">
        <f t="shared" si="2"/>
        <v>44867286.149878867</v>
      </c>
      <c r="U59" s="81"/>
      <c r="V59" s="84"/>
      <c r="W59" s="84"/>
      <c r="Y59" s="75"/>
      <c r="Z59" s="2"/>
      <c r="AA59" s="75"/>
      <c r="AB59" s="98"/>
      <c r="AD59" s="88"/>
      <c r="AE59" s="99"/>
      <c r="AF59" s="69"/>
      <c r="AH59" s="15"/>
      <c r="AI59" s="69"/>
      <c r="AJ59" s="69"/>
      <c r="AL59" s="69"/>
      <c r="AM59" s="69"/>
      <c r="AQ59" s="75"/>
      <c r="AR59" s="2"/>
      <c r="AS59" s="75"/>
      <c r="AT59" s="98"/>
      <c r="AV59" s="88"/>
      <c r="AW59" s="99"/>
      <c r="AX59" s="69"/>
      <c r="AZ59" s="15"/>
      <c r="BA59" s="69"/>
      <c r="BB59" s="69"/>
      <c r="BD59" s="69"/>
      <c r="BE59" s="69"/>
      <c r="BR59" s="88"/>
    </row>
    <row r="60" spans="1:70" x14ac:dyDescent="0.4">
      <c r="A60" s="85" t="s">
        <v>238</v>
      </c>
      <c r="B60" s="109" t="s">
        <v>112</v>
      </c>
      <c r="C60" s="129" t="s">
        <v>0</v>
      </c>
      <c r="D60" s="129" t="s">
        <v>484</v>
      </c>
      <c r="E60" s="129" t="s">
        <v>484</v>
      </c>
      <c r="F60" s="129" t="s">
        <v>484</v>
      </c>
      <c r="G60" s="129" t="s">
        <v>484</v>
      </c>
      <c r="H60" s="129" t="s">
        <v>484</v>
      </c>
      <c r="I60" s="111">
        <v>4.8</v>
      </c>
      <c r="J60" s="77" t="s">
        <v>133</v>
      </c>
      <c r="K60" s="84">
        <v>16.43</v>
      </c>
      <c r="L60" s="86">
        <v>1810000</v>
      </c>
      <c r="M60" s="80">
        <v>0.4</v>
      </c>
      <c r="N60" s="81">
        <v>50</v>
      </c>
      <c r="O60" s="84">
        <v>3.5</v>
      </c>
      <c r="P60" s="94">
        <v>2.827784136</v>
      </c>
      <c r="Q60" s="81">
        <f t="shared" si="0"/>
        <v>1.2377182386173482</v>
      </c>
      <c r="R60" s="81">
        <f t="shared" si="1"/>
        <v>280033751.48717505</v>
      </c>
      <c r="S60" s="81">
        <v>7</v>
      </c>
      <c r="T60" s="81">
        <f t="shared" si="2"/>
        <v>40004821.641025007</v>
      </c>
      <c r="U60" s="81"/>
      <c r="V60" s="84"/>
      <c r="W60" s="84"/>
      <c r="Y60" s="75"/>
      <c r="Z60" s="2"/>
      <c r="AA60" s="75"/>
      <c r="AB60" s="98"/>
      <c r="AD60" s="88"/>
      <c r="AE60" s="99"/>
      <c r="AF60" s="69"/>
      <c r="AH60" s="15"/>
      <c r="AI60" s="69"/>
      <c r="AJ60" s="69"/>
      <c r="AL60" s="69"/>
      <c r="AM60" s="69"/>
      <c r="AQ60" s="75"/>
      <c r="AR60" s="2"/>
      <c r="AS60" s="75"/>
      <c r="AT60" s="98"/>
      <c r="AV60" s="88"/>
      <c r="AW60" s="99"/>
      <c r="AX60" s="69"/>
      <c r="AZ60" s="15"/>
      <c r="BA60" s="69"/>
      <c r="BB60" s="69"/>
      <c r="BD60" s="69"/>
      <c r="BE60" s="69"/>
      <c r="BR60" s="88"/>
    </row>
    <row r="61" spans="1:70" x14ac:dyDescent="0.4">
      <c r="A61" s="85" t="s">
        <v>239</v>
      </c>
      <c r="B61" s="109" t="s">
        <v>112</v>
      </c>
      <c r="C61" s="129" t="s">
        <v>0</v>
      </c>
      <c r="D61" s="129" t="s">
        <v>484</v>
      </c>
      <c r="E61" s="129" t="s">
        <v>484</v>
      </c>
      <c r="F61" s="129" t="s">
        <v>484</v>
      </c>
      <c r="G61" s="129" t="s">
        <v>484</v>
      </c>
      <c r="H61" s="129" t="s">
        <v>484</v>
      </c>
      <c r="I61" s="111">
        <v>4.8</v>
      </c>
      <c r="J61" s="77" t="s">
        <v>133</v>
      </c>
      <c r="K61" s="84">
        <v>16.29</v>
      </c>
      <c r="L61" s="86">
        <v>1990000</v>
      </c>
      <c r="M61" s="80">
        <v>0.4</v>
      </c>
      <c r="N61" s="81">
        <v>50</v>
      </c>
      <c r="O61" s="84">
        <v>3.5</v>
      </c>
      <c r="P61" s="94">
        <v>2.827784136</v>
      </c>
      <c r="Q61" s="81">
        <f t="shared" si="0"/>
        <v>1.2377182386173482</v>
      </c>
      <c r="R61" s="81">
        <f t="shared" si="1"/>
        <v>307882411.85606533</v>
      </c>
      <c r="S61" s="81">
        <v>7</v>
      </c>
      <c r="T61" s="81">
        <f t="shared" si="2"/>
        <v>43983201.693723619</v>
      </c>
      <c r="U61" s="81">
        <f>AVERAGE(T59:T61)</f>
        <v>42951769.828209162</v>
      </c>
      <c r="V61" s="81">
        <f>_xlfn.STDEV.S(T59:T61)</f>
        <v>2590131.086424937</v>
      </c>
      <c r="W61" s="81">
        <f>MAX(K59:K61)-MIN(K59:K61)</f>
        <v>0.16999999999999815</v>
      </c>
      <c r="Y61" s="75"/>
      <c r="Z61" s="2"/>
      <c r="AA61" s="75"/>
      <c r="AB61" s="98"/>
      <c r="AD61" s="88"/>
      <c r="AE61" s="99"/>
      <c r="AF61" s="69"/>
      <c r="AH61" s="15"/>
      <c r="AI61" s="69"/>
      <c r="AJ61" s="69"/>
      <c r="AL61" s="69"/>
      <c r="AM61" s="69"/>
      <c r="AN61" s="69"/>
      <c r="AO61" s="69"/>
      <c r="AQ61" s="75"/>
      <c r="AR61" s="2"/>
      <c r="AS61" s="75"/>
      <c r="AT61" s="98"/>
      <c r="AV61" s="88"/>
      <c r="AW61" s="99"/>
      <c r="AX61" s="69"/>
      <c r="AZ61" s="15"/>
      <c r="BA61" s="69"/>
      <c r="BB61" s="69"/>
      <c r="BD61" s="69"/>
      <c r="BE61" s="69"/>
      <c r="BF61" s="69"/>
      <c r="BG61" s="69"/>
      <c r="BR61" s="88"/>
    </row>
    <row r="62" spans="1:70" x14ac:dyDescent="0.4">
      <c r="A62" s="85" t="s">
        <v>240</v>
      </c>
      <c r="B62" s="109" t="s">
        <v>113</v>
      </c>
      <c r="C62" s="129" t="s">
        <v>1</v>
      </c>
      <c r="D62" s="129" t="s">
        <v>484</v>
      </c>
      <c r="E62" s="129" t="s">
        <v>484</v>
      </c>
      <c r="F62" s="129" t="s">
        <v>484</v>
      </c>
      <c r="G62" s="129" t="s">
        <v>485</v>
      </c>
      <c r="H62" s="129" t="s">
        <v>484</v>
      </c>
      <c r="I62" s="111">
        <v>4.8</v>
      </c>
      <c r="J62" s="77" t="s">
        <v>133</v>
      </c>
      <c r="K62" s="84">
        <v>20.100000000000001</v>
      </c>
      <c r="L62" s="86">
        <v>164000</v>
      </c>
      <c r="M62" s="80">
        <v>0.4</v>
      </c>
      <c r="N62" s="81">
        <v>50</v>
      </c>
      <c r="O62" s="84">
        <v>3.02</v>
      </c>
      <c r="P62" s="94">
        <v>3.1959107699999998</v>
      </c>
      <c r="Q62" s="81">
        <f t="shared" si="0"/>
        <v>0.9449575464836899</v>
      </c>
      <c r="R62" s="81">
        <f t="shared" si="1"/>
        <v>19371629.702915642</v>
      </c>
      <c r="S62" s="81">
        <v>7</v>
      </c>
      <c r="T62" s="81">
        <f t="shared" si="2"/>
        <v>2767375.671845092</v>
      </c>
      <c r="U62" s="81"/>
      <c r="V62" s="84"/>
      <c r="W62" s="84"/>
      <c r="Y62" s="75"/>
      <c r="Z62" s="2"/>
      <c r="AA62" s="75"/>
      <c r="AB62" s="98"/>
      <c r="AD62" s="88"/>
      <c r="AE62" s="99"/>
      <c r="AF62" s="69"/>
      <c r="AH62" s="15"/>
      <c r="AI62" s="69"/>
      <c r="AJ62" s="69"/>
      <c r="AL62" s="69"/>
      <c r="AM62" s="69"/>
      <c r="AQ62" s="75"/>
      <c r="AR62" s="2"/>
      <c r="AS62" s="75"/>
      <c r="AT62" s="98"/>
      <c r="AV62" s="88"/>
      <c r="AW62" s="99"/>
      <c r="AX62" s="69"/>
      <c r="AZ62" s="15"/>
      <c r="BA62" s="69"/>
      <c r="BB62" s="69"/>
      <c r="BD62" s="69"/>
      <c r="BE62" s="69"/>
      <c r="BR62" s="88"/>
    </row>
    <row r="63" spans="1:70" x14ac:dyDescent="0.4">
      <c r="A63" s="85" t="s">
        <v>241</v>
      </c>
      <c r="B63" s="109" t="s">
        <v>113</v>
      </c>
      <c r="C63" s="129" t="s">
        <v>1</v>
      </c>
      <c r="D63" s="129" t="s">
        <v>484</v>
      </c>
      <c r="E63" s="129" t="s">
        <v>484</v>
      </c>
      <c r="F63" s="129" t="s">
        <v>484</v>
      </c>
      <c r="G63" s="129" t="s">
        <v>485</v>
      </c>
      <c r="H63" s="129" t="s">
        <v>484</v>
      </c>
      <c r="I63" s="111">
        <v>4.8</v>
      </c>
      <c r="J63" s="77" t="s">
        <v>133</v>
      </c>
      <c r="K63" s="84">
        <v>20.2</v>
      </c>
      <c r="L63" s="86">
        <v>154000</v>
      </c>
      <c r="M63" s="80">
        <v>0.4</v>
      </c>
      <c r="N63" s="81">
        <v>50</v>
      </c>
      <c r="O63" s="84">
        <v>3.02</v>
      </c>
      <c r="P63" s="94">
        <v>3.1959107699999998</v>
      </c>
      <c r="Q63" s="81">
        <f t="shared" si="0"/>
        <v>0.9449575464836899</v>
      </c>
      <c r="R63" s="81">
        <f t="shared" si="1"/>
        <v>18190432.76981103</v>
      </c>
      <c r="S63" s="81">
        <v>7</v>
      </c>
      <c r="T63" s="81">
        <f t="shared" si="2"/>
        <v>2598633.2528301473</v>
      </c>
      <c r="U63" s="81"/>
      <c r="V63" s="84"/>
      <c r="W63" s="84"/>
      <c r="Y63" s="75"/>
      <c r="Z63" s="2"/>
      <c r="AA63" s="75"/>
      <c r="AB63" s="98"/>
      <c r="AD63" s="88"/>
      <c r="AE63" s="99"/>
      <c r="AF63" s="69"/>
      <c r="AH63" s="15"/>
      <c r="AI63" s="69"/>
      <c r="AJ63" s="69"/>
      <c r="AL63" s="69"/>
      <c r="AM63" s="69"/>
      <c r="AQ63" s="75"/>
      <c r="AR63" s="2"/>
      <c r="AS63" s="75"/>
      <c r="AT63" s="98"/>
      <c r="AV63" s="88"/>
      <c r="AW63" s="99"/>
      <c r="AX63" s="69"/>
      <c r="AZ63" s="15"/>
      <c r="BA63" s="69"/>
      <c r="BB63" s="69"/>
      <c r="BD63" s="69"/>
      <c r="BE63" s="69"/>
      <c r="BR63" s="88"/>
    </row>
    <row r="64" spans="1:70" x14ac:dyDescent="0.4">
      <c r="A64" s="85" t="s">
        <v>242</v>
      </c>
      <c r="B64" s="109" t="s">
        <v>113</v>
      </c>
      <c r="C64" s="129" t="s">
        <v>1</v>
      </c>
      <c r="D64" s="129" t="s">
        <v>484</v>
      </c>
      <c r="E64" s="129" t="s">
        <v>484</v>
      </c>
      <c r="F64" s="129" t="s">
        <v>484</v>
      </c>
      <c r="G64" s="129" t="s">
        <v>485</v>
      </c>
      <c r="H64" s="129" t="s">
        <v>484</v>
      </c>
      <c r="I64" s="111">
        <v>4.8</v>
      </c>
      <c r="J64" s="77" t="s">
        <v>133</v>
      </c>
      <c r="K64" s="84">
        <v>20.23</v>
      </c>
      <c r="L64" s="86">
        <v>151000</v>
      </c>
      <c r="M64" s="80">
        <v>0.4</v>
      </c>
      <c r="N64" s="81">
        <v>50</v>
      </c>
      <c r="O64" s="84">
        <v>3.02</v>
      </c>
      <c r="P64" s="94">
        <v>3.1959107699999998</v>
      </c>
      <c r="Q64" s="81">
        <f t="shared" si="0"/>
        <v>0.9449575464836899</v>
      </c>
      <c r="R64" s="81">
        <f t="shared" si="1"/>
        <v>17836073.689879645</v>
      </c>
      <c r="S64" s="81">
        <v>7</v>
      </c>
      <c r="T64" s="81">
        <f t="shared" si="2"/>
        <v>2548010.5271256636</v>
      </c>
      <c r="U64" s="81">
        <f>AVERAGE(T62:T64)</f>
        <v>2638006.4839336346</v>
      </c>
      <c r="V64" s="81">
        <f>_xlfn.STDEV.S(T62:T64)</f>
        <v>114860.59017387289</v>
      </c>
      <c r="W64" s="81">
        <f>MAX(K62:K64)-MIN(K62:K64)</f>
        <v>0.12999999999999901</v>
      </c>
      <c r="Y64" s="75"/>
      <c r="Z64" s="2"/>
      <c r="AA64" s="75"/>
      <c r="AB64" s="98"/>
      <c r="AD64" s="88"/>
      <c r="AE64" s="99"/>
      <c r="AF64" s="69"/>
      <c r="AH64" s="15"/>
      <c r="AI64" s="69"/>
      <c r="AJ64" s="69"/>
      <c r="AL64" s="69"/>
      <c r="AM64" s="69"/>
      <c r="AN64" s="69"/>
      <c r="AO64" s="69"/>
      <c r="AQ64" s="75"/>
      <c r="AR64" s="2"/>
      <c r="AS64" s="75"/>
      <c r="AT64" s="98"/>
      <c r="AV64" s="88"/>
      <c r="AW64" s="99"/>
      <c r="AX64" s="69"/>
      <c r="AZ64" s="15"/>
      <c r="BA64" s="69"/>
      <c r="BB64" s="69"/>
      <c r="BD64" s="69"/>
      <c r="BE64" s="69"/>
      <c r="BF64" s="69"/>
      <c r="BG64" s="69"/>
      <c r="BR64" s="88"/>
    </row>
    <row r="65" spans="1:70" x14ac:dyDescent="0.4">
      <c r="A65" s="85" t="s">
        <v>243</v>
      </c>
      <c r="B65" s="109" t="s">
        <v>114</v>
      </c>
      <c r="C65" s="129" t="s">
        <v>2</v>
      </c>
      <c r="D65" s="129" t="s">
        <v>484</v>
      </c>
      <c r="E65" s="129" t="s">
        <v>485</v>
      </c>
      <c r="F65" s="129" t="s">
        <v>484</v>
      </c>
      <c r="G65" s="129" t="s">
        <v>484</v>
      </c>
      <c r="H65" s="129" t="s">
        <v>484</v>
      </c>
      <c r="I65" s="111">
        <v>4.8</v>
      </c>
      <c r="J65" s="77" t="s">
        <v>133</v>
      </c>
      <c r="K65" s="84">
        <v>24.22</v>
      </c>
      <c r="L65" s="86">
        <v>11000</v>
      </c>
      <c r="M65" s="80">
        <v>0.4</v>
      </c>
      <c r="N65" s="81">
        <v>50</v>
      </c>
      <c r="O65" s="84">
        <v>4.87</v>
      </c>
      <c r="P65" s="94">
        <v>5.485071349</v>
      </c>
      <c r="Q65" s="81">
        <f t="shared" si="0"/>
        <v>0.88786447616362629</v>
      </c>
      <c r="R65" s="81">
        <f t="shared" si="1"/>
        <v>1220813.6547249861</v>
      </c>
      <c r="S65" s="81">
        <v>7</v>
      </c>
      <c r="T65" s="81">
        <f t="shared" si="2"/>
        <v>174401.95067499802</v>
      </c>
      <c r="U65" s="81"/>
      <c r="V65" s="84"/>
      <c r="W65" s="84"/>
      <c r="Y65" s="75"/>
      <c r="Z65" s="2"/>
      <c r="AA65" s="75"/>
      <c r="AB65" s="98"/>
      <c r="AD65" s="88"/>
      <c r="AE65" s="99"/>
      <c r="AF65" s="69"/>
      <c r="AH65" s="15"/>
      <c r="AI65" s="69"/>
      <c r="AJ65" s="69"/>
      <c r="AL65" s="69"/>
      <c r="AM65" s="69"/>
      <c r="AQ65" s="75"/>
      <c r="AR65" s="75"/>
      <c r="AS65" s="75"/>
      <c r="AT65" s="98"/>
      <c r="AW65" s="99"/>
      <c r="AZ65" s="15"/>
      <c r="BA65" s="69"/>
      <c r="BB65" s="69"/>
      <c r="BD65" s="69"/>
      <c r="BE65" s="69"/>
      <c r="BR65" s="88"/>
    </row>
    <row r="66" spans="1:70" x14ac:dyDescent="0.4">
      <c r="A66" s="85" t="s">
        <v>244</v>
      </c>
      <c r="B66" s="109" t="s">
        <v>114</v>
      </c>
      <c r="C66" s="129" t="s">
        <v>2</v>
      </c>
      <c r="D66" s="129" t="s">
        <v>484</v>
      </c>
      <c r="E66" s="129" t="s">
        <v>485</v>
      </c>
      <c r="F66" s="129" t="s">
        <v>484</v>
      </c>
      <c r="G66" s="129" t="s">
        <v>484</v>
      </c>
      <c r="H66" s="129" t="s">
        <v>484</v>
      </c>
      <c r="I66" s="111">
        <v>4.8</v>
      </c>
      <c r="J66" s="77" t="s">
        <v>133</v>
      </c>
      <c r="K66" s="84">
        <v>24.48</v>
      </c>
      <c r="L66" s="86">
        <v>9330</v>
      </c>
      <c r="M66" s="80">
        <v>0.4</v>
      </c>
      <c r="N66" s="81">
        <v>50</v>
      </c>
      <c r="O66" s="84">
        <v>4.87</v>
      </c>
      <c r="P66" s="94">
        <v>5.485071349</v>
      </c>
      <c r="Q66" s="81">
        <f t="shared" si="0"/>
        <v>0.88786447616362629</v>
      </c>
      <c r="R66" s="81">
        <f t="shared" si="1"/>
        <v>1035471.9453258291</v>
      </c>
      <c r="S66" s="81">
        <v>7</v>
      </c>
      <c r="T66" s="81">
        <f t="shared" si="2"/>
        <v>147924.5636179756</v>
      </c>
      <c r="U66" s="81"/>
      <c r="V66" s="84"/>
      <c r="W66" s="84"/>
      <c r="Y66" s="75"/>
      <c r="Z66" s="2"/>
      <c r="AA66" s="75"/>
      <c r="AB66" s="98"/>
      <c r="AD66" s="88"/>
      <c r="AE66" s="99"/>
      <c r="AF66" s="69"/>
      <c r="AH66" s="15"/>
      <c r="AI66" s="69"/>
      <c r="AJ66" s="69"/>
      <c r="AL66" s="69"/>
      <c r="AM66" s="69"/>
      <c r="AQ66" s="75"/>
      <c r="AR66" s="75"/>
      <c r="AS66" s="75"/>
      <c r="AT66" s="98"/>
      <c r="AW66" s="99"/>
      <c r="AZ66" s="15"/>
      <c r="BA66" s="69"/>
      <c r="BB66" s="69"/>
      <c r="BD66" s="69"/>
      <c r="BE66" s="69"/>
      <c r="BR66" s="88"/>
    </row>
    <row r="67" spans="1:70" x14ac:dyDescent="0.4">
      <c r="A67" s="85" t="s">
        <v>245</v>
      </c>
      <c r="B67" s="109" t="s">
        <v>114</v>
      </c>
      <c r="C67" s="129" t="s">
        <v>2</v>
      </c>
      <c r="D67" s="129" t="s">
        <v>484</v>
      </c>
      <c r="E67" s="129" t="s">
        <v>485</v>
      </c>
      <c r="F67" s="129" t="s">
        <v>484</v>
      </c>
      <c r="G67" s="129" t="s">
        <v>484</v>
      </c>
      <c r="H67" s="129" t="s">
        <v>484</v>
      </c>
      <c r="I67" s="111">
        <v>4.8</v>
      </c>
      <c r="J67" s="77" t="s">
        <v>133</v>
      </c>
      <c r="K67" s="84">
        <v>24.26</v>
      </c>
      <c r="L67" s="86">
        <v>10700</v>
      </c>
      <c r="M67" s="80">
        <v>0.4</v>
      </c>
      <c r="N67" s="81">
        <v>50</v>
      </c>
      <c r="O67" s="84">
        <v>4.87</v>
      </c>
      <c r="P67" s="94">
        <v>5.485071349</v>
      </c>
      <c r="Q67" s="81">
        <f t="shared" si="0"/>
        <v>0.88786447616362629</v>
      </c>
      <c r="R67" s="81">
        <f t="shared" si="1"/>
        <v>1187518.73686885</v>
      </c>
      <c r="S67" s="81">
        <v>7</v>
      </c>
      <c r="T67" s="81">
        <f t="shared" si="2"/>
        <v>169645.53383840714</v>
      </c>
      <c r="U67" s="81">
        <f>AVERAGE(T65:T67)</f>
        <v>163990.68271046024</v>
      </c>
      <c r="V67" s="81">
        <f>_xlfn.STDEV.S(T65:T67)</f>
        <v>14115.452961250527</v>
      </c>
      <c r="W67" s="81">
        <f>MAX(K65:K67)-MIN(K65:K67)</f>
        <v>0.26000000000000156</v>
      </c>
      <c r="Y67" s="75"/>
      <c r="Z67" s="2"/>
      <c r="AA67" s="75"/>
      <c r="AB67" s="98"/>
      <c r="AD67" s="88"/>
      <c r="AE67" s="99"/>
      <c r="AF67" s="69"/>
      <c r="AH67" s="15"/>
      <c r="AI67" s="69"/>
      <c r="AJ67" s="69"/>
      <c r="AL67" s="69"/>
      <c r="AM67" s="69"/>
      <c r="AN67" s="69"/>
      <c r="AO67" s="69"/>
      <c r="AQ67" s="75"/>
      <c r="AR67" s="75"/>
      <c r="AS67" s="75"/>
      <c r="AT67" s="98"/>
      <c r="AW67" s="99"/>
      <c r="AZ67" s="15"/>
      <c r="BA67" s="69"/>
      <c r="BB67" s="69"/>
      <c r="BD67" s="69"/>
      <c r="BE67" s="69"/>
      <c r="BF67" s="69"/>
      <c r="BG67" s="69"/>
    </row>
    <row r="68" spans="1:70" x14ac:dyDescent="0.4">
      <c r="A68" s="85" t="s">
        <v>246</v>
      </c>
      <c r="B68" s="109" t="s">
        <v>115</v>
      </c>
      <c r="C68" s="129" t="s">
        <v>3</v>
      </c>
      <c r="D68" s="129" t="s">
        <v>484</v>
      </c>
      <c r="E68" s="129" t="s">
        <v>485</v>
      </c>
      <c r="F68" s="129" t="s">
        <v>484</v>
      </c>
      <c r="G68" s="129" t="s">
        <v>485</v>
      </c>
      <c r="H68" s="129" t="s">
        <v>484</v>
      </c>
      <c r="I68" s="111">
        <v>4.8</v>
      </c>
      <c r="J68" s="77" t="s">
        <v>133</v>
      </c>
      <c r="K68" s="84">
        <v>24.26</v>
      </c>
      <c r="L68" s="86">
        <v>10700</v>
      </c>
      <c r="M68" s="80">
        <v>0.4</v>
      </c>
      <c r="N68" s="81">
        <v>50</v>
      </c>
      <c r="O68" s="84">
        <v>4.04</v>
      </c>
      <c r="P68" s="94">
        <v>3.981826055</v>
      </c>
      <c r="Q68" s="81">
        <f t="shared" si="0"/>
        <v>1.0146098659751726</v>
      </c>
      <c r="R68" s="81">
        <f t="shared" si="1"/>
        <v>1357040.6957417931</v>
      </c>
      <c r="S68" s="81">
        <v>7</v>
      </c>
      <c r="T68" s="81">
        <f t="shared" si="2"/>
        <v>193862.95653454188</v>
      </c>
      <c r="U68" s="81"/>
      <c r="V68" s="84"/>
      <c r="W68" s="84"/>
      <c r="Y68" s="75"/>
      <c r="Z68" s="2"/>
      <c r="AA68" s="75"/>
      <c r="AB68" s="98"/>
      <c r="AD68" s="88"/>
      <c r="AE68" s="99"/>
      <c r="AF68" s="69"/>
      <c r="AH68" s="15"/>
      <c r="AI68" s="69"/>
      <c r="AJ68" s="69"/>
      <c r="AL68" s="69"/>
      <c r="AM68" s="69"/>
      <c r="AQ68" s="75"/>
      <c r="AR68" s="2"/>
      <c r="AS68" s="75"/>
      <c r="AT68" s="98"/>
      <c r="AV68" s="88"/>
      <c r="AW68" s="99"/>
      <c r="AX68" s="69"/>
      <c r="AZ68" s="15"/>
      <c r="BA68" s="69"/>
      <c r="BB68" s="69"/>
      <c r="BD68" s="69"/>
      <c r="BE68" s="69"/>
    </row>
    <row r="69" spans="1:70" x14ac:dyDescent="0.4">
      <c r="A69" s="85" t="s">
        <v>247</v>
      </c>
      <c r="B69" s="109" t="s">
        <v>115</v>
      </c>
      <c r="C69" s="129" t="s">
        <v>3</v>
      </c>
      <c r="D69" s="129" t="s">
        <v>484</v>
      </c>
      <c r="E69" s="129" t="s">
        <v>485</v>
      </c>
      <c r="F69" s="129" t="s">
        <v>484</v>
      </c>
      <c r="G69" s="129" t="s">
        <v>485</v>
      </c>
      <c r="H69" s="129" t="s">
        <v>484</v>
      </c>
      <c r="I69" s="111">
        <v>4.8</v>
      </c>
      <c r="J69" s="77" t="s">
        <v>133</v>
      </c>
      <c r="K69" s="84">
        <v>24.48</v>
      </c>
      <c r="L69" s="86">
        <v>9310</v>
      </c>
      <c r="M69" s="80">
        <v>0.4</v>
      </c>
      <c r="N69" s="81">
        <v>50</v>
      </c>
      <c r="O69" s="84">
        <v>4.04</v>
      </c>
      <c r="P69" s="94">
        <v>3.981826055</v>
      </c>
      <c r="Q69" s="81">
        <f t="shared" si="0"/>
        <v>1.0146098659751726</v>
      </c>
      <c r="R69" s="81">
        <f t="shared" si="1"/>
        <v>1180752.231528607</v>
      </c>
      <c r="S69" s="81">
        <v>7</v>
      </c>
      <c r="T69" s="81">
        <f t="shared" si="2"/>
        <v>168678.89021837243</v>
      </c>
      <c r="U69" s="81"/>
      <c r="V69" s="84"/>
      <c r="W69" s="84"/>
      <c r="Y69" s="75"/>
      <c r="Z69" s="2"/>
      <c r="AA69" s="75"/>
      <c r="AB69" s="98"/>
      <c r="AD69" s="88"/>
      <c r="AE69" s="99"/>
      <c r="AF69" s="69"/>
      <c r="AH69" s="15"/>
      <c r="AI69" s="69"/>
      <c r="AJ69" s="69"/>
      <c r="AL69" s="69"/>
      <c r="AM69" s="69"/>
      <c r="AQ69" s="75"/>
      <c r="AR69" s="2"/>
      <c r="AS69" s="75"/>
      <c r="AT69" s="98"/>
      <c r="AV69" s="88"/>
      <c r="AW69" s="99"/>
      <c r="AX69" s="69"/>
      <c r="AZ69" s="15"/>
      <c r="BA69" s="69"/>
      <c r="BB69" s="69"/>
      <c r="BD69" s="69"/>
      <c r="BE69" s="69"/>
    </row>
    <row r="70" spans="1:70" x14ac:dyDescent="0.4">
      <c r="A70" s="85" t="s">
        <v>248</v>
      </c>
      <c r="B70" s="109" t="s">
        <v>115</v>
      </c>
      <c r="C70" s="129" t="s">
        <v>3</v>
      </c>
      <c r="D70" s="129" t="s">
        <v>484</v>
      </c>
      <c r="E70" s="129" t="s">
        <v>485</v>
      </c>
      <c r="F70" s="129" t="s">
        <v>484</v>
      </c>
      <c r="G70" s="129" t="s">
        <v>485</v>
      </c>
      <c r="H70" s="129" t="s">
        <v>484</v>
      </c>
      <c r="I70" s="111">
        <v>4.8</v>
      </c>
      <c r="J70" s="77" t="s">
        <v>133</v>
      </c>
      <c r="K70" s="84">
        <v>24.42</v>
      </c>
      <c r="L70" s="86">
        <v>9700</v>
      </c>
      <c r="M70" s="80">
        <v>0.4</v>
      </c>
      <c r="N70" s="81">
        <v>50</v>
      </c>
      <c r="O70" s="84">
        <v>4.04</v>
      </c>
      <c r="P70" s="94">
        <v>3.981826055</v>
      </c>
      <c r="Q70" s="81">
        <f t="shared" si="0"/>
        <v>1.0146098659751726</v>
      </c>
      <c r="R70" s="81">
        <f t="shared" si="1"/>
        <v>1230214.4624948967</v>
      </c>
      <c r="S70" s="81">
        <v>7</v>
      </c>
      <c r="T70" s="81">
        <f t="shared" si="2"/>
        <v>175744.92321355667</v>
      </c>
      <c r="U70" s="81">
        <f>AVERAGE(T68:T70)</f>
        <v>179428.923322157</v>
      </c>
      <c r="V70" s="81">
        <f>_xlfn.STDEV.S(T68:T70)</f>
        <v>12989.92654538241</v>
      </c>
      <c r="W70" s="81">
        <f>MAX(K68:K70)-MIN(K68:K70)</f>
        <v>0.21999999999999886</v>
      </c>
      <c r="Y70" s="75"/>
      <c r="Z70" s="2"/>
      <c r="AA70" s="75"/>
      <c r="AB70" s="98"/>
      <c r="AD70" s="88"/>
      <c r="AE70" s="99"/>
      <c r="AF70" s="69"/>
      <c r="AH70" s="15"/>
      <c r="AI70" s="69"/>
      <c r="AJ70" s="69"/>
      <c r="AL70" s="69"/>
      <c r="AM70" s="69"/>
      <c r="AN70" s="69"/>
      <c r="AO70" s="69"/>
      <c r="AQ70" s="75"/>
      <c r="AR70" s="2"/>
      <c r="AS70" s="75"/>
      <c r="AT70" s="98"/>
      <c r="AV70" s="88"/>
      <c r="AW70" s="99"/>
      <c r="AX70" s="69"/>
      <c r="AZ70" s="15"/>
      <c r="BA70" s="69"/>
      <c r="BB70" s="69"/>
      <c r="BD70" s="69"/>
      <c r="BE70" s="69"/>
      <c r="BF70" s="69"/>
      <c r="BG70" s="69"/>
      <c r="BR70" s="88"/>
    </row>
    <row r="71" spans="1:70" x14ac:dyDescent="0.4">
      <c r="A71" s="85" t="s">
        <v>249</v>
      </c>
      <c r="B71" s="109" t="s">
        <v>122</v>
      </c>
      <c r="C71" s="129" t="s">
        <v>0</v>
      </c>
      <c r="D71" s="129" t="s">
        <v>484</v>
      </c>
      <c r="E71" s="129" t="s">
        <v>484</v>
      </c>
      <c r="F71" s="129" t="s">
        <v>484</v>
      </c>
      <c r="G71" s="129" t="s">
        <v>484</v>
      </c>
      <c r="H71" s="129" t="s">
        <v>484</v>
      </c>
      <c r="I71" s="111">
        <v>5.8</v>
      </c>
      <c r="J71" s="77" t="s">
        <v>133</v>
      </c>
      <c r="K71" s="84">
        <v>10.86</v>
      </c>
      <c r="L71" s="86">
        <v>69900000</v>
      </c>
      <c r="M71" s="80">
        <v>0.4</v>
      </c>
      <c r="N71" s="81">
        <v>50</v>
      </c>
      <c r="O71" s="84">
        <v>40.74</v>
      </c>
      <c r="P71" s="94">
        <v>6.9645010279999999</v>
      </c>
      <c r="Q71" s="81">
        <f t="shared" si="0"/>
        <v>5.8496653006740003</v>
      </c>
      <c r="R71" s="81">
        <f t="shared" si="1"/>
        <v>51111450564.639076</v>
      </c>
      <c r="S71" s="81">
        <v>7</v>
      </c>
      <c r="T71" s="81">
        <f t="shared" si="2"/>
        <v>7301635794.9484396</v>
      </c>
      <c r="U71" s="81"/>
      <c r="V71" s="84"/>
      <c r="W71" s="84"/>
      <c r="Y71" s="75"/>
      <c r="Z71" s="2"/>
      <c r="AA71" s="75"/>
      <c r="AB71" s="98"/>
      <c r="AD71" s="88"/>
      <c r="AE71" s="99"/>
      <c r="AF71" s="69"/>
      <c r="AH71" s="15"/>
      <c r="AI71" s="69"/>
      <c r="AJ71" s="69"/>
      <c r="AL71" s="69"/>
      <c r="AM71" s="69"/>
      <c r="AQ71" s="75"/>
      <c r="AR71" s="2"/>
      <c r="AS71" s="75"/>
      <c r="AT71" s="98"/>
      <c r="AV71" s="88"/>
      <c r="AW71" s="99"/>
      <c r="AX71" s="69"/>
      <c r="AZ71" s="15"/>
      <c r="BA71" s="69"/>
      <c r="BB71" s="69"/>
      <c r="BD71" s="69"/>
      <c r="BE71" s="69"/>
      <c r="BR71" s="88"/>
    </row>
    <row r="72" spans="1:70" x14ac:dyDescent="0.4">
      <c r="A72" s="85" t="s">
        <v>250</v>
      </c>
      <c r="B72" s="109" t="s">
        <v>122</v>
      </c>
      <c r="C72" s="129" t="s">
        <v>0</v>
      </c>
      <c r="D72" s="129" t="s">
        <v>484</v>
      </c>
      <c r="E72" s="129" t="s">
        <v>484</v>
      </c>
      <c r="F72" s="129" t="s">
        <v>484</v>
      </c>
      <c r="G72" s="129" t="s">
        <v>484</v>
      </c>
      <c r="H72" s="129" t="s">
        <v>484</v>
      </c>
      <c r="I72" s="111">
        <v>5.8</v>
      </c>
      <c r="J72" s="77" t="s">
        <v>133</v>
      </c>
      <c r="K72" s="84">
        <v>10.92</v>
      </c>
      <c r="L72" s="86">
        <v>67000000</v>
      </c>
      <c r="M72" s="80">
        <v>0.4</v>
      </c>
      <c r="N72" s="81">
        <v>50</v>
      </c>
      <c r="O72" s="84">
        <v>40.74</v>
      </c>
      <c r="P72" s="94">
        <v>6.9645010279999999</v>
      </c>
      <c r="Q72" s="81">
        <f t="shared" si="0"/>
        <v>5.8496653006740003</v>
      </c>
      <c r="R72" s="81">
        <f t="shared" si="1"/>
        <v>48990946893.144745</v>
      </c>
      <c r="S72" s="81">
        <v>7</v>
      </c>
      <c r="T72" s="81">
        <f t="shared" si="2"/>
        <v>6998706699.0206776</v>
      </c>
      <c r="U72" s="81"/>
      <c r="V72" s="84"/>
      <c r="W72" s="84"/>
      <c r="Y72" s="75"/>
      <c r="Z72" s="2"/>
      <c r="AA72" s="75"/>
      <c r="AB72" s="98"/>
      <c r="AD72" s="88"/>
      <c r="AE72" s="99"/>
      <c r="AF72" s="69"/>
      <c r="AH72" s="15"/>
      <c r="AI72" s="69"/>
      <c r="AJ72" s="69"/>
      <c r="AL72" s="69"/>
      <c r="AM72" s="69"/>
      <c r="AQ72" s="75"/>
      <c r="AR72" s="2"/>
      <c r="AS72" s="75"/>
      <c r="AT72" s="98"/>
      <c r="AV72" s="88"/>
      <c r="AW72" s="99"/>
      <c r="AX72" s="69"/>
      <c r="AZ72" s="15"/>
      <c r="BA72" s="69"/>
      <c r="BB72" s="69"/>
      <c r="BD72" s="69"/>
      <c r="BE72" s="69"/>
      <c r="BR72" s="88"/>
    </row>
    <row r="73" spans="1:70" x14ac:dyDescent="0.4">
      <c r="A73" s="85" t="s">
        <v>251</v>
      </c>
      <c r="B73" s="109" t="s">
        <v>122</v>
      </c>
      <c r="C73" s="129" t="s">
        <v>0</v>
      </c>
      <c r="D73" s="129" t="s">
        <v>484</v>
      </c>
      <c r="E73" s="129" t="s">
        <v>484</v>
      </c>
      <c r="F73" s="129" t="s">
        <v>484</v>
      </c>
      <c r="G73" s="129" t="s">
        <v>484</v>
      </c>
      <c r="H73" s="129" t="s">
        <v>484</v>
      </c>
      <c r="I73" s="111">
        <v>5.8</v>
      </c>
      <c r="J73" s="77" t="s">
        <v>133</v>
      </c>
      <c r="K73" s="84">
        <v>10.89</v>
      </c>
      <c r="L73" s="86">
        <v>68600000</v>
      </c>
      <c r="M73" s="80">
        <v>0.4</v>
      </c>
      <c r="N73" s="81">
        <v>50</v>
      </c>
      <c r="O73" s="84">
        <v>40.74</v>
      </c>
      <c r="P73" s="94">
        <v>6.9645010279999999</v>
      </c>
      <c r="Q73" s="81">
        <f t="shared" si="0"/>
        <v>5.8496653006740003</v>
      </c>
      <c r="R73" s="81">
        <f t="shared" si="1"/>
        <v>50160879953.279549</v>
      </c>
      <c r="S73" s="81">
        <v>7</v>
      </c>
      <c r="T73" s="81">
        <f t="shared" si="2"/>
        <v>7165839993.3256502</v>
      </c>
      <c r="U73" s="81">
        <f>AVERAGE(T71:T73)</f>
        <v>7155394162.4315882</v>
      </c>
      <c r="V73" s="81">
        <f>_xlfn.STDEV.S(T71:T73)</f>
        <v>151734458.27234927</v>
      </c>
      <c r="W73" s="81">
        <f>MAX(K71:K73)-MIN(K71:K73)</f>
        <v>6.0000000000000497E-2</v>
      </c>
      <c r="Y73" s="75"/>
      <c r="Z73" s="2"/>
      <c r="AA73" s="75"/>
      <c r="AB73" s="98"/>
      <c r="AD73" s="88"/>
      <c r="AE73" s="99"/>
      <c r="AF73" s="69"/>
      <c r="AH73" s="15"/>
      <c r="AI73" s="69"/>
      <c r="AJ73" s="69"/>
      <c r="AL73" s="69"/>
      <c r="AM73" s="69"/>
      <c r="AN73" s="69"/>
      <c r="AO73" s="69"/>
      <c r="AQ73" s="75"/>
      <c r="AR73" s="2"/>
      <c r="AS73" s="75"/>
      <c r="AT73" s="98"/>
      <c r="AV73" s="88"/>
      <c r="AW73" s="99"/>
      <c r="AX73" s="69"/>
      <c r="AZ73" s="15"/>
      <c r="BA73" s="69"/>
      <c r="BB73" s="69"/>
      <c r="BD73" s="69"/>
      <c r="BE73" s="69"/>
      <c r="BF73" s="69"/>
      <c r="BG73" s="69"/>
      <c r="BR73" s="88"/>
    </row>
    <row r="74" spans="1:70" x14ac:dyDescent="0.4">
      <c r="A74" s="85" t="s">
        <v>252</v>
      </c>
      <c r="B74" s="109" t="s">
        <v>123</v>
      </c>
      <c r="C74" s="129" t="s">
        <v>1</v>
      </c>
      <c r="D74" s="129" t="s">
        <v>484</v>
      </c>
      <c r="E74" s="129" t="s">
        <v>484</v>
      </c>
      <c r="F74" s="129" t="s">
        <v>484</v>
      </c>
      <c r="G74" s="129" t="s">
        <v>485</v>
      </c>
      <c r="H74" s="129" t="s">
        <v>484</v>
      </c>
      <c r="I74" s="111">
        <v>5.8</v>
      </c>
      <c r="J74" s="77" t="s">
        <v>133</v>
      </c>
      <c r="K74" s="84">
        <v>13.77</v>
      </c>
      <c r="L74" s="86">
        <v>10300000</v>
      </c>
      <c r="M74" s="80">
        <v>0.4</v>
      </c>
      <c r="N74" s="81">
        <v>50</v>
      </c>
      <c r="O74" s="84">
        <v>67.64</v>
      </c>
      <c r="P74" s="94">
        <v>7.3428739140000001</v>
      </c>
      <c r="Q74" s="81">
        <f t="shared" si="0"/>
        <v>9.2116521122658614</v>
      </c>
      <c r="R74" s="81">
        <f t="shared" si="1"/>
        <v>11860002094.542295</v>
      </c>
      <c r="S74" s="81">
        <v>7</v>
      </c>
      <c r="T74" s="81">
        <f t="shared" si="2"/>
        <v>1694286013.5060422</v>
      </c>
      <c r="U74" s="81"/>
      <c r="V74" s="84"/>
      <c r="W74" s="84"/>
      <c r="Y74" s="75"/>
      <c r="Z74" s="2"/>
      <c r="AA74" s="75"/>
      <c r="AB74" s="98"/>
      <c r="AD74" s="88"/>
      <c r="AE74" s="99"/>
      <c r="AF74" s="69"/>
      <c r="AH74" s="15"/>
      <c r="AI74" s="69"/>
      <c r="AJ74" s="69"/>
      <c r="AL74" s="69"/>
      <c r="AM74" s="69"/>
      <c r="AQ74" s="75"/>
      <c r="AR74" s="2"/>
      <c r="AS74" s="75"/>
      <c r="AT74" s="98"/>
      <c r="AV74" s="88"/>
      <c r="AW74" s="99"/>
      <c r="AX74" s="69"/>
      <c r="AZ74" s="15"/>
      <c r="BA74" s="69"/>
      <c r="BB74" s="69"/>
      <c r="BD74" s="69"/>
      <c r="BE74" s="69"/>
      <c r="BR74" s="88"/>
    </row>
    <row r="75" spans="1:70" x14ac:dyDescent="0.4">
      <c r="A75" s="85" t="s">
        <v>253</v>
      </c>
      <c r="B75" s="109" t="s">
        <v>123</v>
      </c>
      <c r="C75" s="129" t="s">
        <v>1</v>
      </c>
      <c r="D75" s="129" t="s">
        <v>484</v>
      </c>
      <c r="E75" s="129" t="s">
        <v>484</v>
      </c>
      <c r="F75" s="129" t="s">
        <v>484</v>
      </c>
      <c r="G75" s="129" t="s">
        <v>485</v>
      </c>
      <c r="H75" s="129" t="s">
        <v>484</v>
      </c>
      <c r="I75" s="111">
        <v>5.8</v>
      </c>
      <c r="J75" s="77" t="s">
        <v>133</v>
      </c>
      <c r="K75" s="84">
        <v>13.85</v>
      </c>
      <c r="L75" s="86">
        <v>9870000</v>
      </c>
      <c r="M75" s="80">
        <v>0.4</v>
      </c>
      <c r="N75" s="81">
        <v>50</v>
      </c>
      <c r="O75" s="84">
        <v>67.64</v>
      </c>
      <c r="P75" s="94">
        <v>7.3428739140000001</v>
      </c>
      <c r="Q75" s="81">
        <f t="shared" ref="Q75:Q138" si="3">O75/P75</f>
        <v>9.2116521122658614</v>
      </c>
      <c r="R75" s="81">
        <f t="shared" ref="R75:R138" si="4">(L75*N75*Q75)/M75</f>
        <v>11364875793.508007</v>
      </c>
      <c r="S75" s="81">
        <v>7</v>
      </c>
      <c r="T75" s="81">
        <f t="shared" ref="T75:T138" si="5">R75/S75</f>
        <v>1623553684.7868581</v>
      </c>
      <c r="U75" s="81"/>
      <c r="V75" s="84"/>
      <c r="W75" s="84"/>
      <c r="Y75" s="75"/>
      <c r="Z75" s="2"/>
      <c r="AA75" s="75"/>
      <c r="AB75" s="98"/>
      <c r="AD75" s="88"/>
      <c r="AE75" s="99"/>
      <c r="AF75" s="69"/>
      <c r="AH75" s="15"/>
      <c r="AI75" s="69"/>
      <c r="AJ75" s="69"/>
      <c r="AL75" s="69"/>
      <c r="AM75" s="69"/>
      <c r="AQ75" s="75"/>
      <c r="AR75" s="2"/>
      <c r="AS75" s="75"/>
      <c r="AT75" s="98"/>
      <c r="AV75" s="88"/>
      <c r="AW75" s="99"/>
      <c r="AX75" s="69"/>
      <c r="AZ75" s="15"/>
      <c r="BA75" s="69"/>
      <c r="BB75" s="69"/>
      <c r="BD75" s="69"/>
      <c r="BE75" s="69"/>
      <c r="BR75" s="88"/>
    </row>
    <row r="76" spans="1:70" x14ac:dyDescent="0.4">
      <c r="A76" s="85" t="s">
        <v>254</v>
      </c>
      <c r="B76" s="109" t="s">
        <v>123</v>
      </c>
      <c r="C76" s="129" t="s">
        <v>1</v>
      </c>
      <c r="D76" s="129" t="s">
        <v>484</v>
      </c>
      <c r="E76" s="129" t="s">
        <v>484</v>
      </c>
      <c r="F76" s="129" t="s">
        <v>484</v>
      </c>
      <c r="G76" s="129" t="s">
        <v>485</v>
      </c>
      <c r="H76" s="129" t="s">
        <v>484</v>
      </c>
      <c r="I76" s="111">
        <v>5.8</v>
      </c>
      <c r="J76" s="77" t="s">
        <v>133</v>
      </c>
      <c r="K76" s="84">
        <v>13.89</v>
      </c>
      <c r="L76" s="86">
        <v>9610000</v>
      </c>
      <c r="M76" s="80">
        <v>0.4</v>
      </c>
      <c r="N76" s="81">
        <v>50</v>
      </c>
      <c r="O76" s="84">
        <v>67.64</v>
      </c>
      <c r="P76" s="94">
        <v>7.3428739140000001</v>
      </c>
      <c r="Q76" s="81">
        <f t="shared" si="3"/>
        <v>9.2116521122658614</v>
      </c>
      <c r="R76" s="81">
        <f t="shared" si="4"/>
        <v>11065497099.859365</v>
      </c>
      <c r="S76" s="81">
        <v>7</v>
      </c>
      <c r="T76" s="81">
        <f t="shared" si="5"/>
        <v>1580785299.9799094</v>
      </c>
      <c r="U76" s="81">
        <f>AVERAGE(T74:T76)</f>
        <v>1632874999.4242699</v>
      </c>
      <c r="V76" s="81">
        <f>_xlfn.STDEV.S(T74:T76)</f>
        <v>57321620.464380965</v>
      </c>
      <c r="W76" s="81">
        <f>MAX(K74:K76)-MIN(K74:K76)</f>
        <v>0.12000000000000099</v>
      </c>
      <c r="Y76" s="75"/>
      <c r="Z76" s="2"/>
      <c r="AA76" s="75"/>
      <c r="AB76" s="98"/>
      <c r="AD76" s="88"/>
      <c r="AE76" s="99"/>
      <c r="AF76" s="69"/>
      <c r="AH76" s="15"/>
      <c r="AI76" s="69"/>
      <c r="AJ76" s="69"/>
      <c r="AL76" s="69"/>
      <c r="AM76" s="69"/>
      <c r="AN76" s="69"/>
      <c r="AO76" s="69"/>
      <c r="AQ76" s="75"/>
      <c r="AR76" s="2"/>
      <c r="AS76" s="75"/>
      <c r="AT76" s="98"/>
      <c r="AV76" s="88"/>
      <c r="AW76" s="99"/>
      <c r="AX76" s="69"/>
      <c r="AZ76" s="15"/>
      <c r="BA76" s="69"/>
      <c r="BB76" s="69"/>
      <c r="BD76" s="69"/>
      <c r="BE76" s="69"/>
      <c r="BF76" s="69"/>
      <c r="BG76" s="69"/>
      <c r="BR76" s="88"/>
    </row>
    <row r="77" spans="1:70" x14ac:dyDescent="0.4">
      <c r="A77" s="85" t="s">
        <v>255</v>
      </c>
      <c r="B77" s="109" t="s">
        <v>124</v>
      </c>
      <c r="C77" s="129" t="s">
        <v>2</v>
      </c>
      <c r="D77" s="129" t="s">
        <v>484</v>
      </c>
      <c r="E77" s="129" t="s">
        <v>485</v>
      </c>
      <c r="F77" s="129" t="s">
        <v>484</v>
      </c>
      <c r="G77" s="129" t="s">
        <v>484</v>
      </c>
      <c r="H77" s="129" t="s">
        <v>484</v>
      </c>
      <c r="I77" s="111">
        <v>5.8</v>
      </c>
      <c r="J77" s="77" t="s">
        <v>133</v>
      </c>
      <c r="K77" s="84">
        <v>16.53</v>
      </c>
      <c r="L77" s="86">
        <v>1700000</v>
      </c>
      <c r="M77" s="80">
        <v>0.4</v>
      </c>
      <c r="N77" s="81">
        <v>50</v>
      </c>
      <c r="O77" s="84">
        <v>39.68</v>
      </c>
      <c r="P77" s="94">
        <v>7.8670020550000004</v>
      </c>
      <c r="Q77" s="81">
        <f t="shared" si="3"/>
        <v>5.0438527564360722</v>
      </c>
      <c r="R77" s="81">
        <f t="shared" si="4"/>
        <v>1071818710.7426653</v>
      </c>
      <c r="S77" s="81">
        <v>7</v>
      </c>
      <c r="T77" s="81">
        <f t="shared" si="5"/>
        <v>153116958.67752361</v>
      </c>
      <c r="U77" s="81"/>
      <c r="V77" s="84"/>
      <c r="W77" s="84"/>
      <c r="Y77" s="75"/>
      <c r="Z77" s="2"/>
      <c r="AA77" s="75"/>
      <c r="AB77" s="98"/>
      <c r="AD77" s="88"/>
      <c r="AE77" s="99"/>
      <c r="AF77" s="69"/>
      <c r="AH77" s="15"/>
      <c r="AI77" s="69"/>
      <c r="AJ77" s="69"/>
      <c r="AL77" s="69"/>
      <c r="AM77" s="69"/>
      <c r="AQ77" s="75"/>
      <c r="AR77" s="75"/>
      <c r="AS77" s="75"/>
      <c r="AT77" s="98"/>
      <c r="AW77" s="99"/>
      <c r="AZ77" s="15"/>
      <c r="BA77" s="69"/>
      <c r="BB77" s="69"/>
      <c r="BD77" s="69"/>
      <c r="BE77" s="69"/>
      <c r="BR77" s="88"/>
    </row>
    <row r="78" spans="1:70" x14ac:dyDescent="0.4">
      <c r="A78" s="85" t="s">
        <v>256</v>
      </c>
      <c r="B78" s="109" t="s">
        <v>124</v>
      </c>
      <c r="C78" s="129" t="s">
        <v>2</v>
      </c>
      <c r="D78" s="129" t="s">
        <v>484</v>
      </c>
      <c r="E78" s="129" t="s">
        <v>485</v>
      </c>
      <c r="F78" s="129" t="s">
        <v>484</v>
      </c>
      <c r="G78" s="129" t="s">
        <v>484</v>
      </c>
      <c r="H78" s="129" t="s">
        <v>484</v>
      </c>
      <c r="I78" s="111">
        <v>5.8</v>
      </c>
      <c r="J78" s="77" t="s">
        <v>133</v>
      </c>
      <c r="K78" s="84">
        <v>16.600000000000001</v>
      </c>
      <c r="L78" s="86">
        <v>1620000</v>
      </c>
      <c r="M78" s="80">
        <v>0.4</v>
      </c>
      <c r="N78" s="81">
        <v>50</v>
      </c>
      <c r="O78" s="84">
        <v>39.68</v>
      </c>
      <c r="P78" s="94">
        <v>7.8670020550000004</v>
      </c>
      <c r="Q78" s="81">
        <f t="shared" si="3"/>
        <v>5.0438527564360722</v>
      </c>
      <c r="R78" s="81">
        <f t="shared" si="4"/>
        <v>1021380183.1783046</v>
      </c>
      <c r="S78" s="81">
        <v>7</v>
      </c>
      <c r="T78" s="81">
        <f t="shared" si="5"/>
        <v>145911454.73975781</v>
      </c>
      <c r="U78" s="81"/>
      <c r="V78" s="84"/>
      <c r="W78" s="84"/>
      <c r="Y78" s="75"/>
      <c r="Z78" s="2"/>
      <c r="AA78" s="75"/>
      <c r="AB78" s="98"/>
      <c r="AD78" s="88"/>
      <c r="AE78" s="99"/>
      <c r="AF78" s="69"/>
      <c r="AH78" s="15"/>
      <c r="AI78" s="69"/>
      <c r="AJ78" s="69"/>
      <c r="AL78" s="69"/>
      <c r="AM78" s="69"/>
      <c r="AQ78" s="75"/>
      <c r="AR78" s="75"/>
      <c r="AS78" s="75"/>
      <c r="AT78" s="98"/>
      <c r="AW78" s="99"/>
      <c r="AZ78" s="15"/>
      <c r="BA78" s="69"/>
      <c r="BB78" s="69"/>
      <c r="BD78" s="69"/>
      <c r="BE78" s="69"/>
      <c r="BR78" s="88"/>
    </row>
    <row r="79" spans="1:70" x14ac:dyDescent="0.4">
      <c r="A79" s="85" t="s">
        <v>257</v>
      </c>
      <c r="B79" s="109" t="s">
        <v>124</v>
      </c>
      <c r="C79" s="129" t="s">
        <v>2</v>
      </c>
      <c r="D79" s="129" t="s">
        <v>484</v>
      </c>
      <c r="E79" s="129" t="s">
        <v>485</v>
      </c>
      <c r="F79" s="129" t="s">
        <v>484</v>
      </c>
      <c r="G79" s="129" t="s">
        <v>484</v>
      </c>
      <c r="H79" s="129" t="s">
        <v>484</v>
      </c>
      <c r="I79" s="111">
        <v>5.8</v>
      </c>
      <c r="J79" s="77" t="s">
        <v>133</v>
      </c>
      <c r="K79" s="84">
        <v>16.59</v>
      </c>
      <c r="L79" s="86">
        <v>1630000</v>
      </c>
      <c r="M79" s="80">
        <v>0.4</v>
      </c>
      <c r="N79" s="81">
        <v>50</v>
      </c>
      <c r="O79" s="84">
        <v>39.68</v>
      </c>
      <c r="P79" s="94">
        <v>7.8670020550000004</v>
      </c>
      <c r="Q79" s="81">
        <f t="shared" si="3"/>
        <v>5.0438527564360722</v>
      </c>
      <c r="R79" s="81">
        <f t="shared" si="4"/>
        <v>1027684999.1238496</v>
      </c>
      <c r="S79" s="81">
        <v>7</v>
      </c>
      <c r="T79" s="81">
        <f t="shared" si="5"/>
        <v>146812142.73197851</v>
      </c>
      <c r="U79" s="81">
        <f>AVERAGE(T77:T79)</f>
        <v>148613518.71641997</v>
      </c>
      <c r="V79" s="81">
        <f>_xlfn.STDEV.S(T77:T79)</f>
        <v>3926007.9377506985</v>
      </c>
      <c r="W79" s="81">
        <f>MAX(K77:K79)-MIN(K77:K79)</f>
        <v>7.0000000000000284E-2</v>
      </c>
      <c r="Y79" s="75"/>
      <c r="Z79" s="2"/>
      <c r="AA79" s="75"/>
      <c r="AB79" s="98"/>
      <c r="AD79" s="88"/>
      <c r="AE79" s="99"/>
      <c r="AF79" s="69"/>
      <c r="AH79" s="15"/>
      <c r="AI79" s="69"/>
      <c r="AJ79" s="69"/>
      <c r="AL79" s="69"/>
      <c r="AM79" s="69"/>
      <c r="AN79" s="69"/>
      <c r="AO79" s="69"/>
      <c r="AQ79" s="75"/>
      <c r="AR79" s="75"/>
      <c r="AS79" s="75"/>
      <c r="AT79" s="98"/>
      <c r="AW79" s="99"/>
      <c r="AZ79" s="15"/>
      <c r="BA79" s="69"/>
      <c r="BB79" s="69"/>
      <c r="BD79" s="69"/>
      <c r="BE79" s="69"/>
      <c r="BF79" s="69"/>
      <c r="BG79" s="69"/>
    </row>
    <row r="80" spans="1:70" x14ac:dyDescent="0.4">
      <c r="A80" s="85" t="s">
        <v>258</v>
      </c>
      <c r="B80" s="109" t="s">
        <v>125</v>
      </c>
      <c r="C80" s="129" t="s">
        <v>3</v>
      </c>
      <c r="D80" s="129" t="s">
        <v>484</v>
      </c>
      <c r="E80" s="129" t="s">
        <v>485</v>
      </c>
      <c r="F80" s="129" t="s">
        <v>484</v>
      </c>
      <c r="G80" s="129" t="s">
        <v>485</v>
      </c>
      <c r="H80" s="129" t="s">
        <v>484</v>
      </c>
      <c r="I80" s="111">
        <v>5.8</v>
      </c>
      <c r="J80" s="77" t="s">
        <v>133</v>
      </c>
      <c r="K80" s="84">
        <v>16.850000000000001</v>
      </c>
      <c r="L80" s="86">
        <v>1380000</v>
      </c>
      <c r="M80" s="80">
        <v>0.4</v>
      </c>
      <c r="N80" s="81">
        <v>50</v>
      </c>
      <c r="O80" s="84">
        <v>46.37</v>
      </c>
      <c r="P80" s="94">
        <v>8.8434422589999997</v>
      </c>
      <c r="Q80" s="81">
        <f t="shared" si="3"/>
        <v>5.243433342125245</v>
      </c>
      <c r="R80" s="81">
        <f t="shared" si="4"/>
        <v>904492251.51660466</v>
      </c>
      <c r="S80" s="81">
        <v>7</v>
      </c>
      <c r="T80" s="81">
        <f t="shared" si="5"/>
        <v>129213178.78808638</v>
      </c>
      <c r="U80" s="81"/>
      <c r="V80" s="84"/>
      <c r="W80" s="84"/>
      <c r="Y80" s="75"/>
      <c r="Z80" s="2"/>
      <c r="AA80" s="75"/>
      <c r="AB80" s="98"/>
      <c r="AD80" s="88"/>
      <c r="AE80" s="99"/>
      <c r="AF80" s="69"/>
      <c r="AH80" s="15"/>
      <c r="AI80" s="69"/>
      <c r="AJ80" s="69"/>
      <c r="AL80" s="69"/>
      <c r="AM80" s="69"/>
      <c r="AQ80" s="75"/>
      <c r="AR80" s="2"/>
      <c r="AS80" s="75"/>
      <c r="AT80" s="98"/>
      <c r="AV80" s="88"/>
      <c r="AW80" s="99"/>
      <c r="AZ80" s="15"/>
      <c r="BA80" s="69"/>
      <c r="BB80" s="69"/>
      <c r="BD80" s="69"/>
      <c r="BE80" s="69"/>
    </row>
    <row r="81" spans="1:70" x14ac:dyDescent="0.4">
      <c r="A81" s="85" t="s">
        <v>259</v>
      </c>
      <c r="B81" s="109" t="s">
        <v>125</v>
      </c>
      <c r="C81" s="129" t="s">
        <v>3</v>
      </c>
      <c r="D81" s="129" t="s">
        <v>484</v>
      </c>
      <c r="E81" s="129" t="s">
        <v>485</v>
      </c>
      <c r="F81" s="129" t="s">
        <v>484</v>
      </c>
      <c r="G81" s="129" t="s">
        <v>485</v>
      </c>
      <c r="H81" s="129" t="s">
        <v>484</v>
      </c>
      <c r="I81" s="111">
        <v>5.8</v>
      </c>
      <c r="J81" s="77" t="s">
        <v>133</v>
      </c>
      <c r="K81" s="84">
        <v>16.88</v>
      </c>
      <c r="L81" s="86">
        <v>1360000</v>
      </c>
      <c r="M81" s="80">
        <v>0.4</v>
      </c>
      <c r="N81" s="81">
        <v>50</v>
      </c>
      <c r="O81" s="84">
        <v>46.37</v>
      </c>
      <c r="P81" s="94">
        <v>8.8434422589999997</v>
      </c>
      <c r="Q81" s="81">
        <f t="shared" si="3"/>
        <v>5.243433342125245</v>
      </c>
      <c r="R81" s="81">
        <f t="shared" si="4"/>
        <v>891383668.1612916</v>
      </c>
      <c r="S81" s="81">
        <v>7</v>
      </c>
      <c r="T81" s="81">
        <f t="shared" si="5"/>
        <v>127340524.02304165</v>
      </c>
      <c r="U81" s="81"/>
      <c r="V81" s="84"/>
      <c r="W81" s="84"/>
      <c r="Y81" s="75"/>
      <c r="Z81" s="2"/>
      <c r="AA81" s="75"/>
      <c r="AB81" s="98"/>
      <c r="AD81" s="88"/>
      <c r="AE81" s="99"/>
      <c r="AF81" s="69"/>
      <c r="AH81" s="15"/>
      <c r="AI81" s="69"/>
      <c r="AJ81" s="69"/>
      <c r="AL81" s="69"/>
      <c r="AM81" s="69"/>
      <c r="AQ81" s="75"/>
      <c r="AR81" s="2"/>
      <c r="AS81" s="75"/>
      <c r="AT81" s="98"/>
      <c r="AV81" s="88"/>
      <c r="AW81" s="99"/>
      <c r="AZ81" s="15"/>
      <c r="BA81" s="69"/>
      <c r="BB81" s="69"/>
      <c r="BD81" s="69"/>
      <c r="BE81" s="69"/>
    </row>
    <row r="82" spans="1:70" x14ac:dyDescent="0.4">
      <c r="A82" s="85" t="s">
        <v>260</v>
      </c>
      <c r="B82" s="109" t="s">
        <v>125</v>
      </c>
      <c r="C82" s="129" t="s">
        <v>3</v>
      </c>
      <c r="D82" s="129" t="s">
        <v>484</v>
      </c>
      <c r="E82" s="129" t="s">
        <v>485</v>
      </c>
      <c r="F82" s="129" t="s">
        <v>484</v>
      </c>
      <c r="G82" s="129" t="s">
        <v>485</v>
      </c>
      <c r="H82" s="129" t="s">
        <v>484</v>
      </c>
      <c r="I82" s="111">
        <v>5.8</v>
      </c>
      <c r="J82" s="77" t="s">
        <v>133</v>
      </c>
      <c r="K82" s="84">
        <v>16.91</v>
      </c>
      <c r="L82" s="86">
        <v>1330000</v>
      </c>
      <c r="M82" s="80">
        <v>0.4</v>
      </c>
      <c r="N82" s="81">
        <v>50</v>
      </c>
      <c r="O82" s="84">
        <v>46.37</v>
      </c>
      <c r="P82" s="94">
        <v>8.8434422589999997</v>
      </c>
      <c r="Q82" s="81">
        <f t="shared" si="3"/>
        <v>5.243433342125245</v>
      </c>
      <c r="R82" s="81">
        <f t="shared" si="4"/>
        <v>871720793.12832189</v>
      </c>
      <c r="S82" s="81">
        <v>7</v>
      </c>
      <c r="T82" s="81">
        <f t="shared" si="5"/>
        <v>124531541.87547456</v>
      </c>
      <c r="U82" s="81">
        <f>AVERAGE(T80:T82)</f>
        <v>127028414.8955342</v>
      </c>
      <c r="V82" s="81">
        <f>_xlfn.STDEV.S(T80:T82)</f>
        <v>2356372.2384180939</v>
      </c>
      <c r="W82" s="81">
        <f>MAX(K80:K82)-MIN(K80:K82)</f>
        <v>5.9999999999998721E-2</v>
      </c>
      <c r="Y82" s="75"/>
      <c r="Z82" s="2"/>
      <c r="AA82" s="75"/>
      <c r="AB82" s="98"/>
      <c r="AD82" s="88"/>
      <c r="AE82" s="99"/>
      <c r="AF82" s="69"/>
      <c r="AH82" s="15"/>
      <c r="AI82" s="69"/>
      <c r="AJ82" s="69"/>
      <c r="AL82" s="69"/>
      <c r="AM82" s="69"/>
      <c r="AN82" s="69"/>
      <c r="AO82" s="69"/>
      <c r="AQ82" s="75"/>
      <c r="AR82" s="2"/>
      <c r="AS82" s="75"/>
      <c r="AT82" s="98"/>
      <c r="AV82" s="88"/>
      <c r="AW82" s="99"/>
      <c r="AZ82" s="15"/>
      <c r="BA82" s="69"/>
      <c r="BB82" s="69"/>
      <c r="BD82" s="69"/>
      <c r="BE82" s="69"/>
      <c r="BF82" s="69"/>
      <c r="BG82" s="69"/>
      <c r="BR82" s="88"/>
    </row>
    <row r="83" spans="1:70" x14ac:dyDescent="0.4">
      <c r="A83" s="85" t="s">
        <v>261</v>
      </c>
      <c r="B83" s="109" t="s">
        <v>134</v>
      </c>
      <c r="C83" s="131" t="s">
        <v>480</v>
      </c>
      <c r="D83" s="131"/>
      <c r="E83" s="131"/>
      <c r="F83" s="131"/>
      <c r="G83" s="131"/>
      <c r="H83" s="131"/>
      <c r="I83" s="111" t="s">
        <v>480</v>
      </c>
      <c r="J83" s="77" t="s">
        <v>81</v>
      </c>
      <c r="K83" s="84">
        <v>13.62</v>
      </c>
      <c r="L83" s="86">
        <v>11400000</v>
      </c>
      <c r="M83" s="80">
        <v>0.4</v>
      </c>
      <c r="N83" s="81">
        <v>50</v>
      </c>
      <c r="O83" s="84">
        <v>7.19</v>
      </c>
      <c r="P83" s="94">
        <v>6.316494767</v>
      </c>
      <c r="Q83" s="81">
        <f t="shared" si="3"/>
        <v>1.138289552231335</v>
      </c>
      <c r="R83" s="81">
        <f t="shared" si="4"/>
        <v>1622062611.9296522</v>
      </c>
      <c r="S83" s="81">
        <v>7</v>
      </c>
      <c r="T83" s="81">
        <f t="shared" si="5"/>
        <v>231723230.2756646</v>
      </c>
      <c r="U83" s="81"/>
      <c r="V83" s="84"/>
      <c r="W83" s="84"/>
      <c r="Y83" s="75"/>
      <c r="Z83" s="2"/>
      <c r="AA83" s="75"/>
      <c r="AB83" s="98"/>
      <c r="AD83" s="88"/>
      <c r="AE83" s="99"/>
      <c r="AF83" s="69"/>
      <c r="AH83" s="15"/>
      <c r="AI83" s="69"/>
      <c r="AJ83" s="69"/>
      <c r="AL83" s="69"/>
      <c r="AM83" s="69"/>
      <c r="AQ83" s="75"/>
      <c r="AR83" s="2"/>
      <c r="AS83" s="75"/>
      <c r="AT83" s="98"/>
      <c r="AV83" s="88"/>
      <c r="AW83" s="99"/>
      <c r="AX83" s="69"/>
      <c r="AZ83" s="15"/>
      <c r="BA83" s="69"/>
      <c r="BB83" s="69"/>
      <c r="BD83" s="69"/>
      <c r="BE83" s="69"/>
      <c r="BL83" s="93"/>
      <c r="BR83" s="88"/>
    </row>
    <row r="84" spans="1:70" x14ac:dyDescent="0.4">
      <c r="A84" s="85" t="s">
        <v>262</v>
      </c>
      <c r="B84" s="109" t="s">
        <v>134</v>
      </c>
      <c r="C84" s="131" t="s">
        <v>480</v>
      </c>
      <c r="D84" s="131"/>
      <c r="E84" s="131"/>
      <c r="F84" s="131"/>
      <c r="G84" s="131"/>
      <c r="H84" s="131"/>
      <c r="I84" s="111" t="s">
        <v>480</v>
      </c>
      <c r="J84" s="77" t="s">
        <v>81</v>
      </c>
      <c r="K84" s="84">
        <v>13.71</v>
      </c>
      <c r="L84" s="86">
        <v>10800000</v>
      </c>
      <c r="M84" s="80">
        <v>0.4</v>
      </c>
      <c r="N84" s="81">
        <v>50</v>
      </c>
      <c r="O84" s="84">
        <v>7.19</v>
      </c>
      <c r="P84" s="94">
        <v>6.316494767</v>
      </c>
      <c r="Q84" s="81">
        <f t="shared" si="3"/>
        <v>1.138289552231335</v>
      </c>
      <c r="R84" s="81">
        <f t="shared" si="4"/>
        <v>1536690895.5123022</v>
      </c>
      <c r="S84" s="81">
        <v>7</v>
      </c>
      <c r="T84" s="81">
        <f t="shared" si="5"/>
        <v>219527270.78747174</v>
      </c>
      <c r="U84" s="81"/>
      <c r="V84" s="84"/>
      <c r="W84" s="84"/>
      <c r="Y84" s="75"/>
      <c r="Z84" s="2"/>
      <c r="AA84" s="75"/>
      <c r="AB84" s="98"/>
      <c r="AD84" s="88"/>
      <c r="AE84" s="99"/>
      <c r="AF84" s="69"/>
      <c r="AH84" s="15"/>
      <c r="AI84" s="69"/>
      <c r="AJ84" s="69"/>
      <c r="AL84" s="69"/>
      <c r="AM84" s="69"/>
      <c r="AQ84" s="75"/>
      <c r="AR84" s="2"/>
      <c r="AS84" s="75"/>
      <c r="AT84" s="98"/>
      <c r="AV84" s="88"/>
      <c r="AW84" s="99"/>
      <c r="AX84" s="69"/>
      <c r="AZ84" s="15"/>
      <c r="BA84" s="69"/>
      <c r="BB84" s="69"/>
      <c r="BD84" s="69"/>
      <c r="BE84" s="69"/>
      <c r="BR84" s="88"/>
    </row>
    <row r="85" spans="1:70" x14ac:dyDescent="0.4">
      <c r="A85" s="85" t="s">
        <v>263</v>
      </c>
      <c r="B85" s="109" t="s">
        <v>134</v>
      </c>
      <c r="C85" s="131" t="s">
        <v>480</v>
      </c>
      <c r="D85" s="131"/>
      <c r="E85" s="131"/>
      <c r="F85" s="131"/>
      <c r="G85" s="131"/>
      <c r="H85" s="131"/>
      <c r="I85" s="111" t="s">
        <v>480</v>
      </c>
      <c r="J85" s="77" t="s">
        <v>81</v>
      </c>
      <c r="K85" s="84">
        <v>13.65</v>
      </c>
      <c r="L85" s="86">
        <v>11300000</v>
      </c>
      <c r="M85" s="80">
        <v>0.4</v>
      </c>
      <c r="N85" s="81">
        <v>50</v>
      </c>
      <c r="O85" s="84">
        <v>7.19</v>
      </c>
      <c r="P85" s="94">
        <v>6.316494767</v>
      </c>
      <c r="Q85" s="81">
        <f t="shared" si="3"/>
        <v>1.138289552231335</v>
      </c>
      <c r="R85" s="81">
        <f t="shared" si="4"/>
        <v>1607833992.5267606</v>
      </c>
      <c r="S85" s="81">
        <v>7</v>
      </c>
      <c r="T85" s="81">
        <f t="shared" si="5"/>
        <v>229690570.36096579</v>
      </c>
      <c r="U85" s="81">
        <f>AVERAGE(T83:T85)</f>
        <v>226980357.14136735</v>
      </c>
      <c r="V85" s="81">
        <f>_xlfn.STDEV.S(T83:T85)</f>
        <v>6534087.4444083497</v>
      </c>
      <c r="W85" s="81">
        <f>MAX(K83:K85)-MIN(K83:K85)</f>
        <v>9.0000000000001634E-2</v>
      </c>
      <c r="Y85" s="75"/>
      <c r="Z85" s="2"/>
      <c r="AA85" s="75"/>
      <c r="AB85" s="98"/>
      <c r="AD85" s="88"/>
      <c r="AE85" s="99"/>
      <c r="AF85" s="69"/>
      <c r="AH85" s="15"/>
      <c r="AI85" s="69"/>
      <c r="AJ85" s="69"/>
      <c r="AL85" s="69"/>
      <c r="AM85" s="69"/>
      <c r="AN85" s="69"/>
      <c r="AO85" s="69"/>
      <c r="AQ85" s="75"/>
      <c r="AR85" s="2"/>
      <c r="AS85" s="75"/>
      <c r="AT85" s="98"/>
      <c r="AV85" s="88"/>
      <c r="AW85" s="99"/>
      <c r="AX85" s="69"/>
      <c r="AZ85" s="15"/>
      <c r="BA85" s="69"/>
      <c r="BB85" s="69"/>
      <c r="BD85" s="69"/>
      <c r="BE85" s="69"/>
      <c r="BF85" s="69"/>
      <c r="BG85" s="69"/>
      <c r="BR85" s="88"/>
    </row>
    <row r="86" spans="1:70" x14ac:dyDescent="0.4">
      <c r="A86" s="85" t="s">
        <v>264</v>
      </c>
      <c r="B86" s="109" t="s">
        <v>134</v>
      </c>
      <c r="C86" s="131" t="s">
        <v>480</v>
      </c>
      <c r="D86" s="131"/>
      <c r="E86" s="131"/>
      <c r="F86" s="131"/>
      <c r="G86" s="131"/>
      <c r="H86" s="131"/>
      <c r="I86" s="111" t="s">
        <v>480</v>
      </c>
      <c r="J86" s="77" t="s">
        <v>81</v>
      </c>
      <c r="K86" s="84">
        <v>14.2</v>
      </c>
      <c r="L86" s="86">
        <v>7820000</v>
      </c>
      <c r="M86" s="80">
        <v>0.4</v>
      </c>
      <c r="N86" s="81">
        <v>50</v>
      </c>
      <c r="O86" s="84">
        <v>4.93</v>
      </c>
      <c r="P86" s="94">
        <v>4.1325659730000002</v>
      </c>
      <c r="Q86" s="81">
        <f t="shared" si="3"/>
        <v>1.1929634111614942</v>
      </c>
      <c r="R86" s="81">
        <f t="shared" si="4"/>
        <v>1166121734.4103606</v>
      </c>
      <c r="S86" s="81">
        <v>7</v>
      </c>
      <c r="T86" s="81">
        <f t="shared" si="5"/>
        <v>166588819.20148009</v>
      </c>
      <c r="U86" s="81"/>
      <c r="V86" s="84"/>
      <c r="W86" s="84"/>
      <c r="Y86" s="75"/>
      <c r="Z86" s="2"/>
      <c r="AA86" s="75"/>
      <c r="AB86" s="98"/>
      <c r="AD86" s="88"/>
      <c r="AE86" s="99"/>
      <c r="AF86" s="69"/>
      <c r="AH86" s="15"/>
      <c r="AI86" s="69"/>
      <c r="AJ86" s="69"/>
      <c r="AL86" s="69"/>
      <c r="AM86" s="69"/>
      <c r="AQ86" s="75"/>
      <c r="AR86" s="2"/>
      <c r="AS86" s="75"/>
      <c r="AT86" s="98"/>
      <c r="AV86" s="88"/>
      <c r="AW86" s="99"/>
      <c r="AX86" s="69"/>
      <c r="AZ86" s="15"/>
      <c r="BA86" s="69"/>
      <c r="BB86" s="69"/>
      <c r="BD86" s="69"/>
      <c r="BE86" s="69"/>
      <c r="BR86" s="88"/>
    </row>
    <row r="87" spans="1:70" x14ac:dyDescent="0.4">
      <c r="A87" s="85" t="s">
        <v>265</v>
      </c>
      <c r="B87" s="109" t="s">
        <v>134</v>
      </c>
      <c r="C87" s="131" t="s">
        <v>480</v>
      </c>
      <c r="D87" s="131"/>
      <c r="E87" s="131"/>
      <c r="F87" s="131"/>
      <c r="G87" s="131"/>
      <c r="H87" s="131"/>
      <c r="I87" s="111" t="s">
        <v>480</v>
      </c>
      <c r="J87" s="77" t="s">
        <v>81</v>
      </c>
      <c r="K87" s="84">
        <v>14.23</v>
      </c>
      <c r="L87" s="86">
        <v>7680000</v>
      </c>
      <c r="M87" s="80">
        <v>0.4</v>
      </c>
      <c r="N87" s="81">
        <v>50</v>
      </c>
      <c r="O87" s="84">
        <v>4.93</v>
      </c>
      <c r="P87" s="94">
        <v>4.1325659730000002</v>
      </c>
      <c r="Q87" s="81">
        <f t="shared" si="3"/>
        <v>1.1929634111614942</v>
      </c>
      <c r="R87" s="81">
        <f t="shared" si="4"/>
        <v>1145244874.7150342</v>
      </c>
      <c r="S87" s="81">
        <v>7</v>
      </c>
      <c r="T87" s="81">
        <f t="shared" si="5"/>
        <v>163606410.67357633</v>
      </c>
      <c r="U87" s="81"/>
      <c r="V87" s="84"/>
      <c r="W87" s="84"/>
      <c r="Y87" s="75"/>
      <c r="Z87" s="2"/>
      <c r="AA87" s="75"/>
      <c r="AB87" s="98"/>
      <c r="AD87" s="88"/>
      <c r="AE87" s="99"/>
      <c r="AF87" s="69"/>
      <c r="AH87" s="15"/>
      <c r="AI87" s="69"/>
      <c r="AJ87" s="69"/>
      <c r="AL87" s="69"/>
      <c r="AM87" s="69"/>
      <c r="AQ87" s="75"/>
      <c r="AR87" s="2"/>
      <c r="AS87" s="75"/>
      <c r="AT87" s="98"/>
      <c r="AV87" s="88"/>
      <c r="AW87" s="99"/>
      <c r="AX87" s="69"/>
      <c r="AZ87" s="15"/>
      <c r="BA87" s="69"/>
      <c r="BB87" s="69"/>
      <c r="BD87" s="69"/>
      <c r="BE87" s="69"/>
      <c r="BR87" s="88"/>
    </row>
    <row r="88" spans="1:70" x14ac:dyDescent="0.4">
      <c r="A88" s="85" t="s">
        <v>266</v>
      </c>
      <c r="B88" s="109" t="s">
        <v>134</v>
      </c>
      <c r="C88" s="131" t="s">
        <v>480</v>
      </c>
      <c r="D88" s="131"/>
      <c r="E88" s="131"/>
      <c r="F88" s="131"/>
      <c r="G88" s="131"/>
      <c r="H88" s="131"/>
      <c r="I88" s="111" t="s">
        <v>480</v>
      </c>
      <c r="J88" s="77" t="s">
        <v>81</v>
      </c>
      <c r="K88" s="84">
        <v>14.26</v>
      </c>
      <c r="L88" s="86">
        <v>7530000</v>
      </c>
      <c r="M88" s="80">
        <v>0.4</v>
      </c>
      <c r="N88" s="81">
        <v>50</v>
      </c>
      <c r="O88" s="84">
        <v>4.93</v>
      </c>
      <c r="P88" s="94">
        <v>4.1325659730000002</v>
      </c>
      <c r="Q88" s="81">
        <f t="shared" si="3"/>
        <v>1.1929634111614942</v>
      </c>
      <c r="R88" s="81">
        <f t="shared" si="4"/>
        <v>1122876810.7557564</v>
      </c>
      <c r="S88" s="81">
        <v>7</v>
      </c>
      <c r="T88" s="81">
        <f t="shared" si="5"/>
        <v>160410972.96510807</v>
      </c>
      <c r="U88" s="81">
        <f>AVERAGE(T86:T88)</f>
        <v>163535400.94672146</v>
      </c>
      <c r="V88" s="81">
        <f>_xlfn.STDEV.S(T86:T88)</f>
        <v>3089535.2103585084</v>
      </c>
      <c r="W88" s="81">
        <f>MAX(K86:K88)-MIN(K86:K88)</f>
        <v>6.0000000000000497E-2</v>
      </c>
      <c r="Y88" s="75"/>
      <c r="Z88" s="2"/>
      <c r="AA88" s="75"/>
      <c r="AB88" s="98"/>
      <c r="AD88" s="88"/>
      <c r="AE88" s="99"/>
      <c r="AF88" s="69"/>
      <c r="AH88" s="15"/>
      <c r="AI88" s="69"/>
      <c r="AJ88" s="69"/>
      <c r="AL88" s="69"/>
      <c r="AM88" s="69"/>
      <c r="AN88" s="69"/>
      <c r="AO88" s="69"/>
      <c r="AQ88" s="75"/>
      <c r="AR88" s="2"/>
      <c r="AS88" s="75"/>
      <c r="AT88" s="98"/>
      <c r="AV88" s="88"/>
      <c r="AW88" s="99"/>
      <c r="AX88" s="69"/>
      <c r="AZ88" s="15"/>
      <c r="BA88" s="69"/>
      <c r="BB88" s="69"/>
      <c r="BD88" s="69"/>
      <c r="BE88" s="69"/>
      <c r="BF88" s="69"/>
      <c r="BG88" s="69"/>
      <c r="BL88" s="93"/>
      <c r="BR88" s="88"/>
    </row>
    <row r="89" spans="1:70" x14ac:dyDescent="0.4">
      <c r="A89" s="85" t="s">
        <v>267</v>
      </c>
      <c r="B89" s="109" t="s">
        <v>135</v>
      </c>
      <c r="C89" s="131" t="s">
        <v>480</v>
      </c>
      <c r="D89" s="131"/>
      <c r="E89" s="131"/>
      <c r="F89" s="131"/>
      <c r="G89" s="131"/>
      <c r="H89" s="131"/>
      <c r="I89" s="111" t="s">
        <v>480</v>
      </c>
      <c r="J89" s="77" t="s">
        <v>132</v>
      </c>
      <c r="K89" s="84">
        <v>15.86</v>
      </c>
      <c r="L89" s="86">
        <v>2640000</v>
      </c>
      <c r="M89" s="80">
        <v>0.4</v>
      </c>
      <c r="N89" s="81">
        <v>50</v>
      </c>
      <c r="O89" s="84">
        <v>14.65</v>
      </c>
      <c r="P89" s="94">
        <v>6.709913952</v>
      </c>
      <c r="Q89" s="81">
        <f t="shared" si="3"/>
        <v>2.1833364935526971</v>
      </c>
      <c r="R89" s="81">
        <f t="shared" si="4"/>
        <v>720501042.87238991</v>
      </c>
      <c r="S89" s="81">
        <v>7</v>
      </c>
      <c r="T89" s="81">
        <f t="shared" si="5"/>
        <v>102928720.41034141</v>
      </c>
      <c r="U89" s="81"/>
      <c r="V89" s="84"/>
      <c r="W89" s="84"/>
      <c r="Y89" s="75"/>
      <c r="Z89" s="2"/>
      <c r="AA89" s="75"/>
      <c r="AB89" s="98"/>
      <c r="AD89" s="88"/>
      <c r="AE89" s="99"/>
      <c r="AF89" s="69"/>
      <c r="AH89" s="15"/>
      <c r="AI89" s="69"/>
      <c r="AJ89" s="69"/>
      <c r="AL89" s="69"/>
      <c r="AM89" s="69"/>
      <c r="AQ89" s="75"/>
      <c r="AR89" s="2"/>
      <c r="AS89" s="75"/>
      <c r="AT89" s="98"/>
      <c r="AV89" s="88"/>
      <c r="AW89" s="99"/>
      <c r="AX89" s="69"/>
      <c r="AY89" s="15"/>
      <c r="AZ89" s="15"/>
      <c r="BA89" s="69"/>
      <c r="BB89" s="69"/>
      <c r="BD89" s="69"/>
      <c r="BE89" s="69"/>
      <c r="BR89" s="88"/>
    </row>
    <row r="90" spans="1:70" x14ac:dyDescent="0.4">
      <c r="A90" s="85" t="s">
        <v>268</v>
      </c>
      <c r="B90" s="109" t="s">
        <v>135</v>
      </c>
      <c r="C90" s="131" t="s">
        <v>480</v>
      </c>
      <c r="D90" s="131"/>
      <c r="E90" s="131"/>
      <c r="F90" s="131"/>
      <c r="G90" s="131"/>
      <c r="H90" s="131"/>
      <c r="I90" s="111" t="s">
        <v>480</v>
      </c>
      <c r="J90" s="77" t="s">
        <v>132</v>
      </c>
      <c r="K90" s="84">
        <v>15.84</v>
      </c>
      <c r="L90" s="86">
        <v>2680000</v>
      </c>
      <c r="M90" s="80">
        <v>0.4</v>
      </c>
      <c r="N90" s="81">
        <v>50</v>
      </c>
      <c r="O90" s="84">
        <v>14.65</v>
      </c>
      <c r="P90" s="94">
        <v>6.709913952</v>
      </c>
      <c r="Q90" s="81">
        <f t="shared" si="3"/>
        <v>2.1833364935526971</v>
      </c>
      <c r="R90" s="81">
        <f t="shared" si="4"/>
        <v>731417725.34015357</v>
      </c>
      <c r="S90" s="81">
        <v>7</v>
      </c>
      <c r="T90" s="81">
        <f t="shared" si="5"/>
        <v>104488246.47716479</v>
      </c>
      <c r="U90" s="81"/>
      <c r="V90" s="84"/>
      <c r="W90" s="84"/>
      <c r="Y90" s="75"/>
      <c r="Z90" s="2"/>
      <c r="AA90" s="75"/>
      <c r="AB90" s="98"/>
      <c r="AD90" s="88"/>
      <c r="AE90" s="99"/>
      <c r="AF90" s="69"/>
      <c r="AH90" s="15"/>
      <c r="AI90" s="69"/>
      <c r="AJ90" s="69"/>
      <c r="AL90" s="69"/>
      <c r="AM90" s="69"/>
      <c r="AQ90" s="75"/>
      <c r="AR90" s="2"/>
      <c r="AS90" s="75"/>
      <c r="AT90" s="98"/>
      <c r="AV90" s="88"/>
      <c r="AW90" s="99"/>
      <c r="AX90" s="69"/>
      <c r="AY90" s="15"/>
      <c r="AZ90" s="15"/>
      <c r="BA90" s="69"/>
      <c r="BB90" s="69"/>
      <c r="BD90" s="69"/>
      <c r="BE90" s="69"/>
      <c r="BL90" s="93"/>
      <c r="BR90" s="88"/>
    </row>
    <row r="91" spans="1:70" x14ac:dyDescent="0.4">
      <c r="A91" s="85" t="s">
        <v>269</v>
      </c>
      <c r="B91" s="109" t="s">
        <v>135</v>
      </c>
      <c r="C91" s="131" t="s">
        <v>480</v>
      </c>
      <c r="D91" s="131"/>
      <c r="E91" s="131"/>
      <c r="F91" s="131"/>
      <c r="G91" s="131"/>
      <c r="H91" s="131"/>
      <c r="I91" s="111" t="s">
        <v>480</v>
      </c>
      <c r="J91" s="77" t="s">
        <v>132</v>
      </c>
      <c r="K91" s="84">
        <v>15.83</v>
      </c>
      <c r="L91" s="86">
        <v>2700000</v>
      </c>
      <c r="M91" s="80">
        <v>0.4</v>
      </c>
      <c r="N91" s="81">
        <v>50</v>
      </c>
      <c r="O91" s="84">
        <v>14.65</v>
      </c>
      <c r="P91" s="94">
        <v>6.709913952</v>
      </c>
      <c r="Q91" s="81">
        <f t="shared" si="3"/>
        <v>2.1833364935526971</v>
      </c>
      <c r="R91" s="81">
        <f t="shared" si="4"/>
        <v>736876066.57403529</v>
      </c>
      <c r="S91" s="81">
        <v>7</v>
      </c>
      <c r="T91" s="81">
        <f t="shared" si="5"/>
        <v>105268009.51057647</v>
      </c>
      <c r="U91" s="81">
        <f>AVERAGE(T89:T91)</f>
        <v>104228325.46602756</v>
      </c>
      <c r="V91" s="81">
        <f>_xlfn.STDEV.S(T89:T91)</f>
        <v>1191107.7082458118</v>
      </c>
      <c r="W91" s="81">
        <f>MAX(K89:K91)-MIN(K89:K91)</f>
        <v>2.9999999999999361E-2</v>
      </c>
      <c r="Y91" s="75"/>
      <c r="Z91" s="2"/>
      <c r="AA91" s="75"/>
      <c r="AB91" s="98"/>
      <c r="AD91" s="88"/>
      <c r="AE91" s="99"/>
      <c r="AF91" s="69"/>
      <c r="AH91" s="15"/>
      <c r="AI91" s="69"/>
      <c r="AJ91" s="69"/>
      <c r="AL91" s="69"/>
      <c r="AM91" s="69"/>
      <c r="AN91" s="69"/>
      <c r="AO91" s="69"/>
      <c r="AQ91" s="75"/>
      <c r="AR91" s="2"/>
      <c r="AS91" s="75"/>
      <c r="AT91" s="98"/>
      <c r="AV91" s="88"/>
      <c r="AW91" s="99"/>
      <c r="AX91" s="69"/>
      <c r="AY91" s="15"/>
      <c r="AZ91" s="15"/>
      <c r="BA91" s="69"/>
      <c r="BB91" s="69"/>
      <c r="BD91" s="69"/>
      <c r="BE91" s="69"/>
      <c r="BF91" s="69"/>
      <c r="BG91" s="69"/>
      <c r="BR91" s="88"/>
    </row>
    <row r="92" spans="1:70" x14ac:dyDescent="0.4">
      <c r="A92" s="85" t="s">
        <v>270</v>
      </c>
      <c r="B92" s="109" t="s">
        <v>135</v>
      </c>
      <c r="C92" s="131" t="s">
        <v>480</v>
      </c>
      <c r="D92" s="131"/>
      <c r="E92" s="131"/>
      <c r="F92" s="131"/>
      <c r="G92" s="131"/>
      <c r="H92" s="131"/>
      <c r="I92" s="111" t="s">
        <v>480</v>
      </c>
      <c r="J92" s="77" t="s">
        <v>132</v>
      </c>
      <c r="K92" s="84">
        <v>15.47</v>
      </c>
      <c r="L92" s="86">
        <v>3410000</v>
      </c>
      <c r="M92" s="80">
        <v>0.4</v>
      </c>
      <c r="N92" s="81">
        <v>50</v>
      </c>
      <c r="O92" s="84">
        <v>14.83</v>
      </c>
      <c r="P92" s="94">
        <v>7.321550631</v>
      </c>
      <c r="Q92" s="81">
        <f t="shared" si="3"/>
        <v>2.0255272069291794</v>
      </c>
      <c r="R92" s="81">
        <f t="shared" si="4"/>
        <v>863380971.95356274</v>
      </c>
      <c r="S92" s="81">
        <v>7</v>
      </c>
      <c r="T92" s="81">
        <f t="shared" si="5"/>
        <v>123340138.85050896</v>
      </c>
      <c r="U92" s="81"/>
      <c r="V92" s="84"/>
      <c r="W92" s="84"/>
      <c r="Y92" s="75"/>
      <c r="Z92" s="2"/>
      <c r="AA92" s="75"/>
      <c r="AB92" s="98"/>
      <c r="AD92" s="88"/>
      <c r="AE92" s="99"/>
      <c r="AF92" s="69"/>
      <c r="AH92" s="15"/>
      <c r="AI92" s="69"/>
      <c r="AJ92" s="69"/>
      <c r="AL92" s="69"/>
      <c r="AM92" s="69"/>
      <c r="AQ92" s="75"/>
      <c r="AR92" s="2"/>
      <c r="AS92" s="75"/>
      <c r="AT92" s="98"/>
      <c r="AV92" s="88"/>
      <c r="AW92" s="99"/>
      <c r="AX92" s="69"/>
      <c r="AZ92" s="15"/>
      <c r="BA92" s="69"/>
      <c r="BB92" s="69"/>
      <c r="BD92" s="69"/>
      <c r="BE92" s="69"/>
      <c r="BR92" s="88"/>
    </row>
    <row r="93" spans="1:70" x14ac:dyDescent="0.4">
      <c r="A93" s="85" t="s">
        <v>271</v>
      </c>
      <c r="B93" s="109" t="s">
        <v>135</v>
      </c>
      <c r="C93" s="131" t="s">
        <v>480</v>
      </c>
      <c r="D93" s="131"/>
      <c r="E93" s="131"/>
      <c r="F93" s="131"/>
      <c r="G93" s="131"/>
      <c r="H93" s="131"/>
      <c r="I93" s="111" t="s">
        <v>480</v>
      </c>
      <c r="J93" s="77" t="s">
        <v>132</v>
      </c>
      <c r="K93" s="84">
        <v>15.51</v>
      </c>
      <c r="L93" s="86">
        <v>3320000</v>
      </c>
      <c r="M93" s="80">
        <v>0.4</v>
      </c>
      <c r="N93" s="81">
        <v>50</v>
      </c>
      <c r="O93" s="84">
        <v>14.83</v>
      </c>
      <c r="P93" s="94">
        <v>7.321550631</v>
      </c>
      <c r="Q93" s="81">
        <f t="shared" si="3"/>
        <v>2.0255272069291794</v>
      </c>
      <c r="R93" s="81">
        <f t="shared" si="4"/>
        <v>840593790.87560952</v>
      </c>
      <c r="S93" s="81">
        <v>7</v>
      </c>
      <c r="T93" s="81">
        <f t="shared" si="5"/>
        <v>120084827.26794422</v>
      </c>
      <c r="U93" s="81"/>
      <c r="V93" s="84"/>
      <c r="W93" s="84"/>
      <c r="Y93" s="75"/>
      <c r="Z93" s="2"/>
      <c r="AA93" s="75"/>
      <c r="AB93" s="98"/>
      <c r="AD93" s="88"/>
      <c r="AE93" s="99"/>
      <c r="AF93" s="69"/>
      <c r="AH93" s="15"/>
      <c r="AI93" s="69"/>
      <c r="AJ93" s="69"/>
      <c r="AL93" s="69"/>
      <c r="AM93" s="69"/>
      <c r="AQ93" s="75"/>
      <c r="AR93" s="2"/>
      <c r="AS93" s="75"/>
      <c r="AT93" s="98"/>
      <c r="AV93" s="88"/>
      <c r="AW93" s="99"/>
      <c r="AX93" s="69"/>
      <c r="AZ93" s="15"/>
      <c r="BA93" s="69"/>
      <c r="BB93" s="69"/>
      <c r="BD93" s="69"/>
      <c r="BE93" s="69"/>
      <c r="BR93" s="88"/>
    </row>
    <row r="94" spans="1:70" x14ac:dyDescent="0.4">
      <c r="A94" s="85" t="s">
        <v>272</v>
      </c>
      <c r="B94" s="109" t="s">
        <v>135</v>
      </c>
      <c r="C94" s="131" t="s">
        <v>480</v>
      </c>
      <c r="D94" s="131"/>
      <c r="E94" s="131"/>
      <c r="F94" s="131"/>
      <c r="G94" s="131"/>
      <c r="H94" s="131"/>
      <c r="I94" s="111" t="s">
        <v>480</v>
      </c>
      <c r="J94" s="77" t="s">
        <v>132</v>
      </c>
      <c r="K94" s="84">
        <v>15.57</v>
      </c>
      <c r="L94" s="86">
        <v>3200000</v>
      </c>
      <c r="M94" s="80">
        <v>0.4</v>
      </c>
      <c r="N94" s="81">
        <v>50</v>
      </c>
      <c r="O94" s="84">
        <v>14.83</v>
      </c>
      <c r="P94" s="94">
        <v>7.321550631</v>
      </c>
      <c r="Q94" s="81">
        <f t="shared" si="3"/>
        <v>2.0255272069291794</v>
      </c>
      <c r="R94" s="81">
        <f t="shared" si="4"/>
        <v>810210882.77167165</v>
      </c>
      <c r="S94" s="81">
        <v>7</v>
      </c>
      <c r="T94" s="81">
        <f t="shared" si="5"/>
        <v>115744411.82452452</v>
      </c>
      <c r="U94" s="81">
        <f>AVERAGE(T92:T94)</f>
        <v>119723125.98099256</v>
      </c>
      <c r="V94" s="81">
        <f>_xlfn.STDEV.S(T92:T94)</f>
        <v>3810759.5212837104</v>
      </c>
      <c r="W94" s="81">
        <f>MAX(K92:K94)-MIN(K92:K94)</f>
        <v>9.9999999999999645E-2</v>
      </c>
      <c r="Y94" s="75"/>
      <c r="Z94" s="2"/>
      <c r="AA94" s="75"/>
      <c r="AB94" s="98"/>
      <c r="AD94" s="88"/>
      <c r="AE94" s="99"/>
      <c r="AF94" s="69"/>
      <c r="AH94" s="15"/>
      <c r="AI94" s="69"/>
      <c r="AJ94" s="69"/>
      <c r="AL94" s="69"/>
      <c r="AM94" s="69"/>
      <c r="AN94" s="69"/>
      <c r="AO94" s="69"/>
      <c r="AQ94" s="75"/>
      <c r="AR94" s="2"/>
      <c r="AS94" s="75"/>
      <c r="AT94" s="98"/>
      <c r="AV94" s="88"/>
      <c r="AW94" s="99"/>
      <c r="AX94" s="69"/>
      <c r="AZ94" s="15"/>
      <c r="BA94" s="69"/>
      <c r="BB94" s="69"/>
      <c r="BD94" s="69"/>
      <c r="BE94" s="69"/>
      <c r="BF94" s="69"/>
      <c r="BG94" s="69"/>
      <c r="BR94" s="88"/>
    </row>
    <row r="95" spans="1:70" x14ac:dyDescent="0.4">
      <c r="A95" s="85" t="s">
        <v>273</v>
      </c>
      <c r="B95" s="109" t="s">
        <v>145</v>
      </c>
      <c r="C95" s="131" t="s">
        <v>185</v>
      </c>
      <c r="D95" s="131"/>
      <c r="E95" s="131"/>
      <c r="F95" s="131"/>
      <c r="G95" s="131"/>
      <c r="H95" s="131"/>
      <c r="I95" s="111"/>
      <c r="J95" s="77"/>
      <c r="K95" s="84">
        <v>35</v>
      </c>
      <c r="L95" s="86">
        <v>3.33</v>
      </c>
      <c r="M95" s="80"/>
      <c r="N95" s="81"/>
      <c r="O95" s="84"/>
      <c r="P95" s="94"/>
      <c r="Q95" s="81" t="e">
        <f t="shared" si="3"/>
        <v>#DIV/0!</v>
      </c>
      <c r="R95" s="81" t="e">
        <f t="shared" si="4"/>
        <v>#DIV/0!</v>
      </c>
      <c r="S95" s="81">
        <v>7</v>
      </c>
      <c r="T95" s="81" t="e">
        <f t="shared" si="5"/>
        <v>#DIV/0!</v>
      </c>
      <c r="U95" s="81"/>
      <c r="V95" s="84"/>
      <c r="W95" s="84"/>
      <c r="Y95" s="75"/>
      <c r="Z95" s="2"/>
      <c r="AA95" s="75"/>
      <c r="AB95" s="98"/>
      <c r="AD95" s="88"/>
      <c r="AE95" s="99"/>
      <c r="AF95" s="69"/>
      <c r="AI95" s="69"/>
      <c r="AJ95" s="69"/>
      <c r="AL95" s="69"/>
      <c r="AM95" s="69"/>
      <c r="AQ95" s="75"/>
      <c r="AR95" s="2"/>
      <c r="AS95" s="75"/>
      <c r="AT95" s="98"/>
      <c r="AV95" s="88"/>
      <c r="AW95" s="99"/>
      <c r="AZ95" s="15"/>
      <c r="BA95" s="69"/>
      <c r="BB95" s="69"/>
      <c r="BD95" s="69"/>
      <c r="BE95" s="69"/>
      <c r="BR95" s="88"/>
    </row>
    <row r="96" spans="1:70" x14ac:dyDescent="0.4">
      <c r="A96" s="85" t="s">
        <v>274</v>
      </c>
      <c r="B96" s="109" t="s">
        <v>145</v>
      </c>
      <c r="C96" s="131" t="s">
        <v>185</v>
      </c>
      <c r="D96" s="131"/>
      <c r="E96" s="131"/>
      <c r="F96" s="131"/>
      <c r="G96" s="131"/>
      <c r="H96" s="131"/>
      <c r="I96" s="111"/>
      <c r="J96" s="77"/>
      <c r="K96" s="84">
        <v>35</v>
      </c>
      <c r="L96" s="86">
        <v>3.33</v>
      </c>
      <c r="M96" s="80"/>
      <c r="N96" s="81"/>
      <c r="O96" s="84"/>
      <c r="P96" s="84"/>
      <c r="Q96" s="81" t="e">
        <f t="shared" si="3"/>
        <v>#DIV/0!</v>
      </c>
      <c r="R96" s="81" t="e">
        <f t="shared" si="4"/>
        <v>#DIV/0!</v>
      </c>
      <c r="S96" s="81">
        <v>7</v>
      </c>
      <c r="T96" s="81" t="e">
        <f t="shared" si="5"/>
        <v>#DIV/0!</v>
      </c>
      <c r="U96" s="81"/>
      <c r="V96" s="84"/>
      <c r="W96" s="84"/>
      <c r="Y96" s="75"/>
      <c r="Z96" s="2"/>
      <c r="AA96" s="75"/>
      <c r="AB96" s="98"/>
      <c r="AD96" s="88"/>
      <c r="AE96" s="99"/>
      <c r="AF96" s="69"/>
      <c r="AI96" s="69"/>
      <c r="AJ96" s="69"/>
      <c r="AL96" s="69"/>
      <c r="AM96" s="69"/>
      <c r="AQ96" s="75"/>
      <c r="AR96" s="2"/>
      <c r="AS96" s="75"/>
      <c r="AT96" s="98"/>
      <c r="AV96" s="88"/>
      <c r="AW96" s="99"/>
      <c r="AZ96" s="15"/>
      <c r="BA96" s="69"/>
      <c r="BB96" s="69"/>
      <c r="BD96" s="69"/>
      <c r="BE96" s="69"/>
      <c r="BR96" s="88"/>
    </row>
    <row r="97" spans="1:70" x14ac:dyDescent="0.4">
      <c r="A97" s="85" t="s">
        <v>275</v>
      </c>
      <c r="B97" s="109" t="s">
        <v>145</v>
      </c>
      <c r="C97" s="131" t="s">
        <v>185</v>
      </c>
      <c r="D97" s="131"/>
      <c r="E97" s="131"/>
      <c r="F97" s="131"/>
      <c r="G97" s="131"/>
      <c r="H97" s="131"/>
      <c r="I97" s="111"/>
      <c r="J97" s="77"/>
      <c r="K97" s="84">
        <v>35</v>
      </c>
      <c r="L97" s="86">
        <v>3.33</v>
      </c>
      <c r="M97" s="80"/>
      <c r="N97" s="81"/>
      <c r="O97" s="84"/>
      <c r="Q97" s="81" t="e">
        <f t="shared" si="3"/>
        <v>#DIV/0!</v>
      </c>
      <c r="R97" s="81" t="e">
        <f t="shared" si="4"/>
        <v>#DIV/0!</v>
      </c>
      <c r="S97" s="81">
        <v>7</v>
      </c>
      <c r="T97" s="81" t="e">
        <f t="shared" si="5"/>
        <v>#DIV/0!</v>
      </c>
      <c r="U97" s="81" t="e">
        <f>AVERAGE(T95:T97)</f>
        <v>#DIV/0!</v>
      </c>
      <c r="V97" s="81" t="e">
        <f>_xlfn.STDEV.S(T95:T97)</f>
        <v>#DIV/0!</v>
      </c>
      <c r="W97" s="81">
        <f>MAX(K95:K97)-MIN(K95:K97)</f>
        <v>0</v>
      </c>
      <c r="Y97" s="75"/>
      <c r="Z97" s="2"/>
      <c r="AA97" s="75"/>
      <c r="AB97" s="98"/>
      <c r="AD97" s="88"/>
      <c r="AE97" s="99"/>
      <c r="AF97" s="69"/>
      <c r="AI97" s="69"/>
      <c r="AJ97" s="69"/>
      <c r="AL97" s="69"/>
      <c r="AM97" s="69"/>
      <c r="AN97" s="69"/>
      <c r="AO97" s="69"/>
      <c r="AQ97" s="75"/>
      <c r="AR97" s="2"/>
      <c r="AS97" s="75"/>
      <c r="AT97" s="98"/>
      <c r="AV97" s="88"/>
      <c r="AW97" s="99"/>
      <c r="AZ97" s="15"/>
      <c r="BA97" s="69"/>
      <c r="BB97" s="69"/>
      <c r="BD97" s="69"/>
      <c r="BE97" s="69"/>
      <c r="BF97" s="69"/>
      <c r="BG97" s="69"/>
      <c r="BR97" s="88"/>
    </row>
    <row r="98" spans="1:70" x14ac:dyDescent="0.4">
      <c r="A98" s="85" t="s">
        <v>276</v>
      </c>
      <c r="B98" s="109" t="s">
        <v>146</v>
      </c>
      <c r="C98" s="131" t="s">
        <v>177</v>
      </c>
      <c r="D98" s="131"/>
      <c r="E98" s="131"/>
      <c r="F98" s="131"/>
      <c r="G98" s="131"/>
      <c r="H98" s="131"/>
      <c r="I98" s="111"/>
      <c r="J98" s="77"/>
      <c r="K98" s="84">
        <v>17.489999999999998</v>
      </c>
      <c r="L98" s="86">
        <v>904000</v>
      </c>
      <c r="M98" s="80"/>
      <c r="N98" s="81"/>
      <c r="O98" s="84"/>
      <c r="Q98" s="81" t="e">
        <f t="shared" si="3"/>
        <v>#DIV/0!</v>
      </c>
      <c r="R98" s="81" t="e">
        <f t="shared" si="4"/>
        <v>#DIV/0!</v>
      </c>
      <c r="S98" s="81">
        <v>7</v>
      </c>
      <c r="T98" s="81" t="e">
        <f t="shared" si="5"/>
        <v>#DIV/0!</v>
      </c>
      <c r="U98" s="81"/>
      <c r="V98" s="84"/>
      <c r="W98" s="84"/>
      <c r="Y98" s="75"/>
      <c r="Z98" s="2"/>
      <c r="AA98" s="75"/>
      <c r="AB98" s="98"/>
      <c r="AD98" s="88"/>
      <c r="AE98" s="99"/>
      <c r="AF98" s="69"/>
      <c r="AI98" s="69"/>
      <c r="AJ98" s="69"/>
      <c r="AL98" s="69"/>
      <c r="AM98" s="69"/>
      <c r="AQ98" s="75"/>
      <c r="AR98" s="75"/>
      <c r="AS98" s="75"/>
      <c r="AT98" s="98"/>
      <c r="AW98" s="99"/>
      <c r="AZ98" s="15"/>
      <c r="BA98" s="69"/>
      <c r="BB98" s="69"/>
      <c r="BD98" s="69"/>
      <c r="BE98" s="69"/>
      <c r="BR98" s="88"/>
    </row>
    <row r="99" spans="1:70" x14ac:dyDescent="0.4">
      <c r="A99" s="85" t="s">
        <v>277</v>
      </c>
      <c r="B99" s="109" t="s">
        <v>146</v>
      </c>
      <c r="C99" s="131" t="s">
        <v>177</v>
      </c>
      <c r="D99" s="131"/>
      <c r="E99" s="131"/>
      <c r="F99" s="131"/>
      <c r="G99" s="131"/>
      <c r="H99" s="131"/>
      <c r="I99" s="111"/>
      <c r="J99" s="77"/>
      <c r="K99" s="84">
        <v>17.2</v>
      </c>
      <c r="L99" s="86">
        <v>1100000</v>
      </c>
      <c r="M99" s="80"/>
      <c r="N99" s="81"/>
      <c r="O99" s="84"/>
      <c r="Q99" s="81" t="e">
        <f t="shared" si="3"/>
        <v>#DIV/0!</v>
      </c>
      <c r="R99" s="81" t="e">
        <f t="shared" si="4"/>
        <v>#DIV/0!</v>
      </c>
      <c r="S99" s="81">
        <v>7</v>
      </c>
      <c r="T99" s="81" t="e">
        <f t="shared" si="5"/>
        <v>#DIV/0!</v>
      </c>
      <c r="U99" s="81"/>
      <c r="V99" s="84"/>
      <c r="W99" s="84"/>
      <c r="Y99" s="75"/>
      <c r="Z99" s="2"/>
      <c r="AA99" s="75"/>
      <c r="AB99" s="98"/>
      <c r="AD99" s="88"/>
      <c r="AE99" s="99"/>
      <c r="AF99" s="69"/>
      <c r="AI99" s="69"/>
      <c r="AJ99" s="69"/>
      <c r="AL99" s="69"/>
      <c r="AM99" s="69"/>
      <c r="AQ99" s="75"/>
      <c r="AR99" s="75"/>
      <c r="AS99" s="75"/>
      <c r="AT99" s="98"/>
      <c r="AW99" s="99"/>
      <c r="AZ99" s="15"/>
      <c r="BA99" s="69"/>
      <c r="BB99" s="69"/>
      <c r="BD99" s="69"/>
      <c r="BE99" s="69"/>
      <c r="BR99" s="88"/>
    </row>
    <row r="100" spans="1:70" x14ac:dyDescent="0.4">
      <c r="A100" s="85" t="s">
        <v>278</v>
      </c>
      <c r="B100" s="109" t="s">
        <v>146</v>
      </c>
      <c r="C100" s="131" t="s">
        <v>177</v>
      </c>
      <c r="D100" s="131"/>
      <c r="E100" s="131"/>
      <c r="F100" s="131"/>
      <c r="G100" s="131"/>
      <c r="H100" s="131"/>
      <c r="I100" s="111"/>
      <c r="J100" s="77"/>
      <c r="K100" s="84">
        <v>17.28</v>
      </c>
      <c r="L100" s="86">
        <v>1040000</v>
      </c>
      <c r="M100" s="80"/>
      <c r="N100" s="81"/>
      <c r="O100" s="84"/>
      <c r="Q100" s="81" t="e">
        <f t="shared" si="3"/>
        <v>#DIV/0!</v>
      </c>
      <c r="R100" s="81" t="e">
        <f t="shared" si="4"/>
        <v>#DIV/0!</v>
      </c>
      <c r="S100" s="81">
        <v>7</v>
      </c>
      <c r="T100" s="81" t="e">
        <f t="shared" si="5"/>
        <v>#DIV/0!</v>
      </c>
      <c r="U100" s="81" t="e">
        <f>AVERAGE(T98:T100)</f>
        <v>#DIV/0!</v>
      </c>
      <c r="V100" s="81" t="e">
        <f>_xlfn.STDEV.S(T98:T100)</f>
        <v>#DIV/0!</v>
      </c>
      <c r="W100" s="81">
        <f>MAX(K98:K100)-MIN(K98:K100)</f>
        <v>0.28999999999999915</v>
      </c>
      <c r="Y100" s="75"/>
      <c r="Z100" s="2"/>
      <c r="AA100" s="75"/>
      <c r="AB100" s="98"/>
      <c r="AD100" s="88"/>
      <c r="AE100" s="99"/>
      <c r="AF100" s="69"/>
      <c r="AI100" s="69"/>
      <c r="AJ100" s="69"/>
      <c r="AL100" s="69"/>
      <c r="AM100" s="69"/>
      <c r="AN100" s="69"/>
      <c r="AO100" s="69"/>
      <c r="AQ100" s="75"/>
      <c r="AR100" s="75"/>
      <c r="AS100" s="75"/>
      <c r="AT100" s="98"/>
      <c r="AW100" s="99"/>
      <c r="AZ100" s="15"/>
      <c r="BA100" s="69"/>
      <c r="BB100" s="69"/>
      <c r="BD100" s="69"/>
      <c r="BE100" s="69"/>
      <c r="BF100" s="69"/>
      <c r="BG100" s="69"/>
    </row>
    <row r="101" spans="1:70" x14ac:dyDescent="0.4">
      <c r="A101" s="85" t="s">
        <v>279</v>
      </c>
      <c r="B101" s="109" t="s">
        <v>174</v>
      </c>
      <c r="C101" s="133"/>
      <c r="D101" s="133"/>
      <c r="E101" s="133"/>
      <c r="F101" s="133"/>
      <c r="G101" s="133"/>
      <c r="H101" s="133"/>
      <c r="I101" s="111"/>
      <c r="J101" s="77"/>
      <c r="K101" s="84"/>
      <c r="L101" s="84"/>
      <c r="M101" s="80"/>
      <c r="N101" s="84"/>
      <c r="O101" s="84"/>
      <c r="Q101" s="81" t="e">
        <f t="shared" si="3"/>
        <v>#DIV/0!</v>
      </c>
      <c r="R101" s="81" t="e">
        <f t="shared" si="4"/>
        <v>#DIV/0!</v>
      </c>
      <c r="S101" s="81">
        <v>7</v>
      </c>
      <c r="T101" s="81" t="e">
        <f t="shared" si="5"/>
        <v>#DIV/0!</v>
      </c>
      <c r="U101" s="81"/>
      <c r="V101" s="84"/>
      <c r="W101" s="84"/>
      <c r="Y101" s="75"/>
      <c r="Z101" s="2"/>
      <c r="AA101" s="2"/>
      <c r="AB101" s="98"/>
      <c r="AE101" s="99"/>
      <c r="AI101" s="69"/>
      <c r="AJ101" s="69"/>
      <c r="AL101" s="69"/>
      <c r="AM101" s="69"/>
      <c r="AQ101" s="75"/>
      <c r="AR101" s="2"/>
      <c r="AS101" s="2"/>
      <c r="AT101" s="98"/>
      <c r="AV101" s="88"/>
      <c r="AW101" s="99"/>
      <c r="AX101" s="69"/>
      <c r="AY101" s="15"/>
      <c r="AZ101" s="15"/>
      <c r="BA101" s="69"/>
      <c r="BB101" s="69"/>
      <c r="BD101" s="69"/>
      <c r="BE101" s="69"/>
      <c r="BL101" s="93"/>
    </row>
    <row r="102" spans="1:70" x14ac:dyDescent="0.4">
      <c r="A102" s="85" t="s">
        <v>280</v>
      </c>
      <c r="B102" s="109" t="s">
        <v>174</v>
      </c>
      <c r="C102" s="133"/>
      <c r="D102" s="133"/>
      <c r="E102" s="133"/>
      <c r="F102" s="133"/>
      <c r="G102" s="133"/>
      <c r="H102" s="133"/>
      <c r="I102" s="111"/>
      <c r="J102" s="77"/>
      <c r="K102" s="84"/>
      <c r="L102" s="84"/>
      <c r="M102" s="80"/>
      <c r="N102" s="84"/>
      <c r="O102" s="84"/>
      <c r="Q102" s="81" t="e">
        <f t="shared" si="3"/>
        <v>#DIV/0!</v>
      </c>
      <c r="R102" s="81" t="e">
        <f t="shared" si="4"/>
        <v>#DIV/0!</v>
      </c>
      <c r="S102" s="81">
        <v>7</v>
      </c>
      <c r="T102" s="81" t="e">
        <f t="shared" si="5"/>
        <v>#DIV/0!</v>
      </c>
      <c r="U102" s="81"/>
      <c r="V102" s="84"/>
      <c r="W102" s="84"/>
      <c r="Y102" s="75"/>
      <c r="Z102" s="2"/>
      <c r="AA102" s="2"/>
      <c r="AB102" s="98"/>
      <c r="AE102" s="99"/>
      <c r="AI102" s="69"/>
      <c r="AJ102" s="69"/>
      <c r="AL102" s="69"/>
      <c r="AM102" s="69"/>
      <c r="AQ102" s="75"/>
      <c r="AR102" s="2"/>
      <c r="AS102" s="2"/>
      <c r="AT102" s="98"/>
      <c r="AV102" s="88"/>
      <c r="AW102" s="99"/>
      <c r="AX102" s="69"/>
      <c r="AY102" s="15"/>
      <c r="AZ102" s="15"/>
      <c r="BA102" s="69"/>
      <c r="BB102" s="69"/>
      <c r="BD102" s="69"/>
      <c r="BE102" s="69"/>
    </row>
    <row r="103" spans="1:70" x14ac:dyDescent="0.4">
      <c r="A103" s="85" t="s">
        <v>281</v>
      </c>
      <c r="B103" s="109" t="s">
        <v>174</v>
      </c>
      <c r="C103" s="133"/>
      <c r="D103" s="133"/>
      <c r="E103" s="133"/>
      <c r="F103" s="133"/>
      <c r="G103" s="133"/>
      <c r="H103" s="133"/>
      <c r="I103" s="111"/>
      <c r="J103" s="77"/>
      <c r="K103" s="84"/>
      <c r="L103" s="84"/>
      <c r="M103" s="80"/>
      <c r="N103" s="84"/>
      <c r="O103" s="84"/>
      <c r="Q103" s="81" t="e">
        <f t="shared" si="3"/>
        <v>#DIV/0!</v>
      </c>
      <c r="R103" s="81" t="e">
        <f t="shared" si="4"/>
        <v>#DIV/0!</v>
      </c>
      <c r="S103" s="81">
        <v>7</v>
      </c>
      <c r="T103" s="81" t="e">
        <f t="shared" si="5"/>
        <v>#DIV/0!</v>
      </c>
      <c r="U103" s="81" t="e">
        <f>AVERAGE(T101:T103)</f>
        <v>#DIV/0!</v>
      </c>
      <c r="V103" s="81" t="e">
        <f>_xlfn.STDEV.S(T101:T103)</f>
        <v>#DIV/0!</v>
      </c>
      <c r="W103" s="81">
        <f>MAX(K101:K103)-MIN(K101:K103)</f>
        <v>0</v>
      </c>
      <c r="Y103" s="75"/>
      <c r="Z103" s="2"/>
      <c r="AA103" s="2"/>
      <c r="AB103" s="98"/>
      <c r="AE103" s="99"/>
      <c r="AI103" s="69"/>
      <c r="AJ103" s="69"/>
      <c r="AL103" s="69"/>
      <c r="AM103" s="69"/>
      <c r="AN103" s="69"/>
      <c r="AO103" s="69"/>
      <c r="AQ103" s="75"/>
      <c r="AR103" s="2"/>
      <c r="AS103" s="2"/>
      <c r="AT103" s="98"/>
      <c r="AV103" s="88"/>
      <c r="AW103" s="99"/>
      <c r="AX103" s="69"/>
      <c r="AY103" s="15"/>
      <c r="AZ103" s="15"/>
      <c r="BA103" s="69"/>
      <c r="BB103" s="69"/>
      <c r="BD103" s="69"/>
      <c r="BE103" s="69"/>
      <c r="BF103" s="69"/>
      <c r="BG103" s="69"/>
      <c r="BL103" s="93"/>
      <c r="BR103" s="88"/>
    </row>
    <row r="104" spans="1:70" x14ac:dyDescent="0.4">
      <c r="A104" s="85" t="s">
        <v>282</v>
      </c>
      <c r="B104" s="109" t="s">
        <v>174</v>
      </c>
      <c r="C104" s="133"/>
      <c r="D104" s="133"/>
      <c r="E104" s="133"/>
      <c r="F104" s="133"/>
      <c r="G104" s="133"/>
      <c r="H104" s="133"/>
      <c r="I104" s="111"/>
      <c r="J104" s="77"/>
      <c r="K104" s="84"/>
      <c r="L104" s="84"/>
      <c r="M104" s="80"/>
      <c r="N104" s="84"/>
      <c r="O104" s="84"/>
      <c r="Q104" s="81" t="e">
        <f t="shared" si="3"/>
        <v>#DIV/0!</v>
      </c>
      <c r="R104" s="81" t="e">
        <f t="shared" si="4"/>
        <v>#DIV/0!</v>
      </c>
      <c r="S104" s="81">
        <v>7</v>
      </c>
      <c r="T104" s="81" t="e">
        <f t="shared" si="5"/>
        <v>#DIV/0!</v>
      </c>
      <c r="U104" s="81"/>
      <c r="V104" s="84"/>
      <c r="W104" s="84"/>
      <c r="Y104" s="75"/>
      <c r="Z104" s="2"/>
      <c r="AA104" s="2"/>
      <c r="AB104" s="98"/>
      <c r="AE104" s="99"/>
      <c r="AI104" s="69"/>
      <c r="AJ104" s="69"/>
      <c r="AL104" s="69"/>
      <c r="AM104" s="69"/>
      <c r="AQ104" s="75"/>
      <c r="AR104" s="2"/>
      <c r="AS104" s="75"/>
      <c r="AT104" s="98"/>
      <c r="AV104" s="88"/>
      <c r="AW104" s="99"/>
      <c r="AZ104" s="15"/>
      <c r="BA104" s="69"/>
      <c r="BB104" s="69"/>
      <c r="BD104" s="69"/>
      <c r="BE104" s="69"/>
      <c r="BR104" s="88"/>
    </row>
    <row r="105" spans="1:70" x14ac:dyDescent="0.4">
      <c r="A105" s="85" t="s">
        <v>283</v>
      </c>
      <c r="B105" s="109" t="s">
        <v>174</v>
      </c>
      <c r="C105" s="133"/>
      <c r="D105" s="133"/>
      <c r="E105" s="133"/>
      <c r="F105" s="133"/>
      <c r="G105" s="133"/>
      <c r="H105" s="133"/>
      <c r="I105" s="111"/>
      <c r="J105" s="77"/>
      <c r="K105" s="84"/>
      <c r="L105" s="84"/>
      <c r="M105" s="80"/>
      <c r="N105" s="84"/>
      <c r="O105" s="84"/>
      <c r="Q105" s="81" t="e">
        <f t="shared" si="3"/>
        <v>#DIV/0!</v>
      </c>
      <c r="R105" s="81" t="e">
        <f t="shared" si="4"/>
        <v>#DIV/0!</v>
      </c>
      <c r="S105" s="81">
        <v>7</v>
      </c>
      <c r="T105" s="81" t="e">
        <f t="shared" si="5"/>
        <v>#DIV/0!</v>
      </c>
      <c r="U105" s="81"/>
      <c r="V105" s="84"/>
      <c r="W105" s="84"/>
      <c r="Y105" s="75"/>
      <c r="Z105" s="2"/>
      <c r="AA105" s="2"/>
      <c r="AB105" s="98"/>
      <c r="AE105" s="99"/>
      <c r="AI105" s="69"/>
      <c r="AJ105" s="69"/>
      <c r="AL105" s="69"/>
      <c r="AM105" s="69"/>
      <c r="AQ105" s="75"/>
      <c r="AR105" s="2"/>
      <c r="AS105" s="75"/>
      <c r="AT105" s="98"/>
      <c r="AV105" s="88"/>
      <c r="AW105" s="99"/>
      <c r="AZ105" s="15"/>
      <c r="BA105" s="69"/>
      <c r="BB105" s="69"/>
      <c r="BD105" s="69"/>
      <c r="BE105" s="69"/>
      <c r="BR105" s="88"/>
    </row>
    <row r="106" spans="1:70" x14ac:dyDescent="0.4">
      <c r="A106" s="85" t="s">
        <v>284</v>
      </c>
      <c r="B106" s="109" t="s">
        <v>174</v>
      </c>
      <c r="C106" s="133"/>
      <c r="D106" s="133"/>
      <c r="E106" s="133"/>
      <c r="F106" s="133"/>
      <c r="G106" s="133"/>
      <c r="H106" s="133"/>
      <c r="I106" s="111"/>
      <c r="J106" s="77"/>
      <c r="K106" s="84"/>
      <c r="L106" s="84"/>
      <c r="M106" s="80"/>
      <c r="N106" s="84"/>
      <c r="O106" s="84"/>
      <c r="P106" s="84"/>
      <c r="Q106" s="81" t="e">
        <f t="shared" si="3"/>
        <v>#DIV/0!</v>
      </c>
      <c r="R106" s="81" t="e">
        <f t="shared" si="4"/>
        <v>#DIV/0!</v>
      </c>
      <c r="S106" s="81">
        <v>7</v>
      </c>
      <c r="T106" s="81" t="e">
        <f t="shared" si="5"/>
        <v>#DIV/0!</v>
      </c>
      <c r="U106" s="81" t="e">
        <f>AVERAGE(T104:T106)</f>
        <v>#DIV/0!</v>
      </c>
      <c r="V106" s="81" t="e">
        <f>_xlfn.STDEV.S(T104:T106)</f>
        <v>#DIV/0!</v>
      </c>
      <c r="W106" s="81">
        <f>MAX(K104:K106)-MIN(K104:K106)</f>
        <v>0</v>
      </c>
      <c r="Y106" s="75"/>
      <c r="Z106" s="2"/>
      <c r="AA106" s="2"/>
      <c r="AB106" s="98"/>
      <c r="AE106" s="99"/>
      <c r="AI106" s="69"/>
      <c r="AJ106" s="69"/>
      <c r="AL106" s="69"/>
      <c r="AM106" s="69"/>
      <c r="AN106" s="69"/>
      <c r="AO106" s="69"/>
      <c r="AQ106" s="75"/>
      <c r="AR106" s="2"/>
      <c r="AS106" s="75"/>
      <c r="AT106" s="98"/>
      <c r="AV106" s="88"/>
      <c r="AW106" s="99"/>
      <c r="AZ106" s="15"/>
      <c r="BA106" s="69"/>
      <c r="BB106" s="69"/>
      <c r="BD106" s="69"/>
      <c r="BE106" s="69"/>
      <c r="BF106" s="69"/>
      <c r="BG106" s="69"/>
      <c r="BR106" s="88"/>
    </row>
    <row r="107" spans="1:70" x14ac:dyDescent="0.4">
      <c r="A107" s="76" t="s">
        <v>285</v>
      </c>
      <c r="B107" s="107" t="s">
        <v>75</v>
      </c>
      <c r="C107" s="129" t="s">
        <v>4</v>
      </c>
      <c r="D107" s="129" t="s">
        <v>485</v>
      </c>
      <c r="E107" s="129" t="s">
        <v>485</v>
      </c>
      <c r="F107" s="129" t="s">
        <v>484</v>
      </c>
      <c r="G107" s="129" t="s">
        <v>485</v>
      </c>
      <c r="H107" s="129" t="s">
        <v>484</v>
      </c>
      <c r="I107" s="112">
        <v>4.8</v>
      </c>
      <c r="J107" s="77" t="s">
        <v>81</v>
      </c>
      <c r="K107" s="84">
        <v>22.58</v>
      </c>
      <c r="L107" s="86">
        <v>31300</v>
      </c>
      <c r="M107" s="80">
        <v>0.4</v>
      </c>
      <c r="N107" s="81">
        <v>50</v>
      </c>
      <c r="O107" s="84">
        <v>26.61</v>
      </c>
      <c r="P107" s="94">
        <v>8.0369421590000005</v>
      </c>
      <c r="Q107" s="81">
        <f t="shared" si="3"/>
        <v>3.3109607452134453</v>
      </c>
      <c r="R107" s="81">
        <f t="shared" si="4"/>
        <v>12954133.915647604</v>
      </c>
      <c r="S107" s="81">
        <v>7</v>
      </c>
      <c r="T107" s="81">
        <f t="shared" si="5"/>
        <v>1850590.5593782291</v>
      </c>
      <c r="U107" s="81"/>
      <c r="V107" s="81"/>
      <c r="W107" s="81"/>
      <c r="BR107" s="88"/>
    </row>
    <row r="108" spans="1:70" x14ac:dyDescent="0.4">
      <c r="A108" s="85" t="s">
        <v>286</v>
      </c>
      <c r="B108" s="108" t="s">
        <v>75</v>
      </c>
      <c r="C108" s="129" t="s">
        <v>4</v>
      </c>
      <c r="D108" s="129" t="s">
        <v>485</v>
      </c>
      <c r="E108" s="129" t="s">
        <v>485</v>
      </c>
      <c r="F108" s="129" t="s">
        <v>484</v>
      </c>
      <c r="G108" s="129" t="s">
        <v>485</v>
      </c>
      <c r="H108" s="129" t="s">
        <v>484</v>
      </c>
      <c r="I108" s="112">
        <v>4.8</v>
      </c>
      <c r="J108" s="77" t="s">
        <v>81</v>
      </c>
      <c r="K108" s="84">
        <v>22.51</v>
      </c>
      <c r="L108" s="86">
        <v>32700</v>
      </c>
      <c r="M108" s="80">
        <v>0.4</v>
      </c>
      <c r="N108" s="81">
        <v>50</v>
      </c>
      <c r="O108" s="84">
        <v>26.61</v>
      </c>
      <c r="P108" s="94">
        <v>8.0369421590000005</v>
      </c>
      <c r="Q108" s="81">
        <f t="shared" si="3"/>
        <v>3.3109607452134453</v>
      </c>
      <c r="R108" s="81">
        <f t="shared" si="4"/>
        <v>13533552.046059957</v>
      </c>
      <c r="S108" s="81">
        <v>7</v>
      </c>
      <c r="T108" s="81">
        <f t="shared" si="5"/>
        <v>1933364.5780085654</v>
      </c>
      <c r="U108" s="87"/>
      <c r="V108" s="87"/>
      <c r="W108" s="87"/>
      <c r="BR108" s="88"/>
    </row>
    <row r="109" spans="1:70" x14ac:dyDescent="0.4">
      <c r="A109" s="85" t="s">
        <v>287</v>
      </c>
      <c r="B109" s="107" t="s">
        <v>75</v>
      </c>
      <c r="C109" s="129" t="s">
        <v>4</v>
      </c>
      <c r="D109" s="129" t="s">
        <v>485</v>
      </c>
      <c r="E109" s="129" t="s">
        <v>485</v>
      </c>
      <c r="F109" s="129" t="s">
        <v>484</v>
      </c>
      <c r="G109" s="129" t="s">
        <v>485</v>
      </c>
      <c r="H109" s="129" t="s">
        <v>484</v>
      </c>
      <c r="I109" s="112">
        <v>4.8</v>
      </c>
      <c r="J109" s="77" t="s">
        <v>81</v>
      </c>
      <c r="K109" s="84">
        <v>22.6</v>
      </c>
      <c r="L109" s="86">
        <v>30900</v>
      </c>
      <c r="M109" s="80">
        <v>0.4</v>
      </c>
      <c r="N109" s="81">
        <v>50</v>
      </c>
      <c r="O109" s="84">
        <v>26.61</v>
      </c>
      <c r="P109" s="94">
        <v>8.0369421590000005</v>
      </c>
      <c r="Q109" s="81">
        <f t="shared" si="3"/>
        <v>3.3109607452134453</v>
      </c>
      <c r="R109" s="81">
        <f t="shared" si="4"/>
        <v>12788585.878386931</v>
      </c>
      <c r="S109" s="81">
        <v>7</v>
      </c>
      <c r="T109" s="81">
        <f t="shared" si="5"/>
        <v>1826940.8397695615</v>
      </c>
      <c r="U109" s="81">
        <f>AVERAGE(T107:T109)</f>
        <v>1870298.6590521187</v>
      </c>
      <c r="V109" s="81">
        <f>_xlfn.STDEV.S(T107:T109)</f>
        <v>55882.107241566824</v>
      </c>
      <c r="W109" s="81">
        <f>MAX(K107:K109)-MIN(K107:K109)</f>
        <v>8.9999999999999858E-2</v>
      </c>
    </row>
    <row r="110" spans="1:70" x14ac:dyDescent="0.4">
      <c r="A110" s="85" t="s">
        <v>288</v>
      </c>
      <c r="B110" s="107" t="s">
        <v>76</v>
      </c>
      <c r="C110" s="129" t="s">
        <v>5</v>
      </c>
      <c r="D110" s="129" t="s">
        <v>485</v>
      </c>
      <c r="E110" s="129" t="s">
        <v>484</v>
      </c>
      <c r="F110" s="129" t="s">
        <v>484</v>
      </c>
      <c r="G110" s="129" t="s">
        <v>485</v>
      </c>
      <c r="H110" s="129" t="s">
        <v>485</v>
      </c>
      <c r="I110" s="112">
        <v>4.8</v>
      </c>
      <c r="J110" s="77" t="s">
        <v>81</v>
      </c>
      <c r="K110" s="84">
        <v>23.18</v>
      </c>
      <c r="L110" s="86">
        <v>21000</v>
      </c>
      <c r="M110" s="80">
        <v>0.4</v>
      </c>
      <c r="N110" s="81">
        <v>50</v>
      </c>
      <c r="O110" s="84">
        <v>6.43</v>
      </c>
      <c r="P110" s="94">
        <v>6.3685568080000001</v>
      </c>
      <c r="Q110" s="81">
        <f t="shared" si="3"/>
        <v>1.0096478988650641</v>
      </c>
      <c r="R110" s="81">
        <f t="shared" si="4"/>
        <v>2650325.734520793</v>
      </c>
      <c r="S110" s="81">
        <v>7</v>
      </c>
      <c r="T110" s="81">
        <f t="shared" si="5"/>
        <v>378617.96207439899</v>
      </c>
      <c r="U110" s="81"/>
      <c r="V110" s="87"/>
      <c r="W110" s="87"/>
    </row>
    <row r="111" spans="1:70" x14ac:dyDescent="0.4">
      <c r="A111" s="85" t="s">
        <v>289</v>
      </c>
      <c r="B111" s="108" t="s">
        <v>76</v>
      </c>
      <c r="C111" s="129" t="s">
        <v>5</v>
      </c>
      <c r="D111" s="129" t="s">
        <v>485</v>
      </c>
      <c r="E111" s="129" t="s">
        <v>484</v>
      </c>
      <c r="F111" s="129" t="s">
        <v>484</v>
      </c>
      <c r="G111" s="129" t="s">
        <v>485</v>
      </c>
      <c r="H111" s="129" t="s">
        <v>485</v>
      </c>
      <c r="I111" s="112">
        <v>4.8</v>
      </c>
      <c r="J111" s="77" t="s">
        <v>81</v>
      </c>
      <c r="K111" s="84">
        <v>23.18</v>
      </c>
      <c r="L111" s="86">
        <v>21100</v>
      </c>
      <c r="M111" s="80">
        <v>0.4</v>
      </c>
      <c r="N111" s="81">
        <v>50</v>
      </c>
      <c r="O111">
        <v>6.43</v>
      </c>
      <c r="P111" s="94">
        <v>6.3685568080000001</v>
      </c>
      <c r="Q111" s="81">
        <f t="shared" si="3"/>
        <v>1.0096478988650641</v>
      </c>
      <c r="R111" s="81">
        <f t="shared" si="4"/>
        <v>2662946.3332566065</v>
      </c>
      <c r="S111" s="81">
        <v>7</v>
      </c>
      <c r="T111" s="81">
        <f t="shared" si="5"/>
        <v>380420.90475094377</v>
      </c>
      <c r="U111" s="81"/>
      <c r="V111" s="81"/>
      <c r="W111" s="81"/>
    </row>
    <row r="112" spans="1:70" x14ac:dyDescent="0.4">
      <c r="A112" s="85" t="s">
        <v>290</v>
      </c>
      <c r="B112" s="107" t="s">
        <v>76</v>
      </c>
      <c r="C112" s="129" t="s">
        <v>5</v>
      </c>
      <c r="D112" s="129" t="s">
        <v>485</v>
      </c>
      <c r="E112" s="129" t="s">
        <v>484</v>
      </c>
      <c r="F112" s="129" t="s">
        <v>484</v>
      </c>
      <c r="G112" s="129" t="s">
        <v>485</v>
      </c>
      <c r="H112" s="129" t="s">
        <v>485</v>
      </c>
      <c r="I112" s="112">
        <v>4.8</v>
      </c>
      <c r="J112" s="77" t="s">
        <v>81</v>
      </c>
      <c r="K112" s="84">
        <v>23.1</v>
      </c>
      <c r="L112" s="86">
        <v>22200</v>
      </c>
      <c r="M112" s="80">
        <v>0.4</v>
      </c>
      <c r="N112" s="81">
        <v>50</v>
      </c>
      <c r="O112">
        <v>6.43</v>
      </c>
      <c r="P112" s="94">
        <v>6.3685568080000001</v>
      </c>
      <c r="Q112" s="81">
        <f t="shared" si="3"/>
        <v>1.0096478988650641</v>
      </c>
      <c r="R112" s="81">
        <f t="shared" si="4"/>
        <v>2801772.9193505528</v>
      </c>
      <c r="S112" s="81">
        <v>7</v>
      </c>
      <c r="T112" s="81">
        <f t="shared" si="5"/>
        <v>400253.27419293614</v>
      </c>
      <c r="U112" s="81">
        <f>AVERAGE(T110:T112)</f>
        <v>386430.71367275965</v>
      </c>
      <c r="V112" s="81">
        <f>_xlfn.STDEV.S(T110:T112)</f>
        <v>12004.583919244482</v>
      </c>
      <c r="W112" s="81">
        <f>MAX(K110:K112)-MIN(K110:K112)</f>
        <v>7.9999999999998295E-2</v>
      </c>
    </row>
    <row r="113" spans="1:23" x14ac:dyDescent="0.4">
      <c r="A113" s="85" t="s">
        <v>291</v>
      </c>
      <c r="B113" s="107" t="s">
        <v>77</v>
      </c>
      <c r="C113" s="129" t="s">
        <v>6</v>
      </c>
      <c r="D113" s="129" t="s">
        <v>485</v>
      </c>
      <c r="E113" s="129" t="s">
        <v>485</v>
      </c>
      <c r="F113" s="129" t="s">
        <v>484</v>
      </c>
      <c r="G113" s="129" t="s">
        <v>485</v>
      </c>
      <c r="H113" s="129" t="s">
        <v>485</v>
      </c>
      <c r="I113" s="112">
        <v>4.8</v>
      </c>
      <c r="J113" s="77" t="s">
        <v>81</v>
      </c>
      <c r="K113" s="84">
        <v>23.48</v>
      </c>
      <c r="L113" s="86">
        <v>17400</v>
      </c>
      <c r="M113" s="80">
        <v>0.4</v>
      </c>
      <c r="N113" s="81">
        <v>50</v>
      </c>
      <c r="O113">
        <v>2.38</v>
      </c>
      <c r="P113" s="94">
        <v>4.0712730739999996</v>
      </c>
      <c r="Q113" s="81">
        <f t="shared" si="3"/>
        <v>0.58458373013571041</v>
      </c>
      <c r="R113" s="81">
        <f t="shared" si="4"/>
        <v>1271469.61304517</v>
      </c>
      <c r="S113" s="81">
        <v>7</v>
      </c>
      <c r="T113" s="81">
        <f t="shared" si="5"/>
        <v>181638.51614930999</v>
      </c>
      <c r="U113" s="81"/>
      <c r="V113" s="81"/>
      <c r="W113" s="81"/>
    </row>
    <row r="114" spans="1:23" x14ac:dyDescent="0.4">
      <c r="A114" s="85" t="s">
        <v>292</v>
      </c>
      <c r="B114" s="108" t="s">
        <v>77</v>
      </c>
      <c r="C114" s="129" t="s">
        <v>6</v>
      </c>
      <c r="D114" s="129" t="s">
        <v>485</v>
      </c>
      <c r="E114" s="129" t="s">
        <v>485</v>
      </c>
      <c r="F114" s="129" t="s">
        <v>484</v>
      </c>
      <c r="G114" s="129" t="s">
        <v>485</v>
      </c>
      <c r="H114" s="129" t="s">
        <v>485</v>
      </c>
      <c r="I114" s="112">
        <v>4.8</v>
      </c>
      <c r="J114" s="77" t="s">
        <v>81</v>
      </c>
      <c r="K114" s="84">
        <v>23.53</v>
      </c>
      <c r="L114" s="86">
        <v>16800</v>
      </c>
      <c r="M114" s="80">
        <v>0.4</v>
      </c>
      <c r="N114" s="81">
        <v>50</v>
      </c>
      <c r="O114">
        <v>2.38</v>
      </c>
      <c r="P114" s="94">
        <v>4.0712730739999996</v>
      </c>
      <c r="Q114" s="81">
        <f t="shared" si="3"/>
        <v>0.58458373013571041</v>
      </c>
      <c r="R114" s="81">
        <f t="shared" si="4"/>
        <v>1227625.8332849918</v>
      </c>
      <c r="S114" s="81">
        <v>7</v>
      </c>
      <c r="T114" s="81">
        <f t="shared" si="5"/>
        <v>175375.11904071312</v>
      </c>
      <c r="U114" s="81"/>
      <c r="V114" s="87"/>
      <c r="W114" s="87"/>
    </row>
    <row r="115" spans="1:23" x14ac:dyDescent="0.4">
      <c r="A115" s="85" t="s">
        <v>293</v>
      </c>
      <c r="B115" s="107" t="s">
        <v>77</v>
      </c>
      <c r="C115" s="129" t="s">
        <v>6</v>
      </c>
      <c r="D115" s="129" t="s">
        <v>485</v>
      </c>
      <c r="E115" s="129" t="s">
        <v>485</v>
      </c>
      <c r="F115" s="129" t="s">
        <v>484</v>
      </c>
      <c r="G115" s="129" t="s">
        <v>485</v>
      </c>
      <c r="H115" s="129" t="s">
        <v>485</v>
      </c>
      <c r="I115" s="112">
        <v>4.8</v>
      </c>
      <c r="J115" s="77" t="s">
        <v>81</v>
      </c>
      <c r="K115" s="84">
        <v>23.56</v>
      </c>
      <c r="L115" s="86">
        <v>16400</v>
      </c>
      <c r="M115" s="80">
        <v>0.4</v>
      </c>
      <c r="N115" s="81">
        <v>50</v>
      </c>
      <c r="O115">
        <v>2.38</v>
      </c>
      <c r="P115" s="94">
        <v>4.0712730739999996</v>
      </c>
      <c r="Q115" s="81">
        <f t="shared" si="3"/>
        <v>0.58458373013571041</v>
      </c>
      <c r="R115" s="81">
        <f t="shared" si="4"/>
        <v>1198396.6467782063</v>
      </c>
      <c r="S115" s="81">
        <v>7</v>
      </c>
      <c r="T115" s="81">
        <f t="shared" si="5"/>
        <v>171199.52096831519</v>
      </c>
      <c r="U115" s="81">
        <f>AVERAGE(T113:T115)</f>
        <v>176071.05205277944</v>
      </c>
      <c r="V115" s="81">
        <f>_xlfn.STDEV.S(T113:T115)</f>
        <v>5254.1790191399941</v>
      </c>
      <c r="W115" s="81">
        <f>MAX(K113:K115)-MIN(K113:K115)</f>
        <v>7.9999999999998295E-2</v>
      </c>
    </row>
    <row r="116" spans="1:23" x14ac:dyDescent="0.4">
      <c r="A116" s="85" t="s">
        <v>294</v>
      </c>
      <c r="B116" s="108" t="s">
        <v>78</v>
      </c>
      <c r="C116" s="129" t="s">
        <v>7</v>
      </c>
      <c r="D116" s="129" t="s">
        <v>485</v>
      </c>
      <c r="E116" s="129" t="s">
        <v>485</v>
      </c>
      <c r="F116" s="129" t="s">
        <v>485</v>
      </c>
      <c r="G116" s="129" t="s">
        <v>485</v>
      </c>
      <c r="H116" s="129" t="s">
        <v>485</v>
      </c>
      <c r="I116" s="112">
        <v>4.8</v>
      </c>
      <c r="J116" s="77" t="s">
        <v>81</v>
      </c>
      <c r="K116" s="84">
        <v>22.5</v>
      </c>
      <c r="L116" s="86">
        <v>32900</v>
      </c>
      <c r="M116" s="80">
        <v>0.4</v>
      </c>
      <c r="N116" s="81">
        <v>50</v>
      </c>
      <c r="O116">
        <v>11.52</v>
      </c>
      <c r="P116" s="94">
        <v>7.2943195989999996</v>
      </c>
      <c r="Q116" s="81">
        <f t="shared" si="3"/>
        <v>1.5793111123865906</v>
      </c>
      <c r="R116" s="81">
        <f t="shared" si="4"/>
        <v>6494916.9496898539</v>
      </c>
      <c r="S116" s="81">
        <v>7</v>
      </c>
      <c r="T116" s="81">
        <f t="shared" si="5"/>
        <v>927845.27852712199</v>
      </c>
      <c r="U116" s="81"/>
      <c r="V116" s="87"/>
      <c r="W116" s="87"/>
    </row>
    <row r="117" spans="1:23" x14ac:dyDescent="0.4">
      <c r="A117" s="85" t="s">
        <v>295</v>
      </c>
      <c r="B117" s="110" t="s">
        <v>78</v>
      </c>
      <c r="C117" s="129" t="s">
        <v>7</v>
      </c>
      <c r="D117" s="129" t="s">
        <v>485</v>
      </c>
      <c r="E117" s="129" t="s">
        <v>485</v>
      </c>
      <c r="F117" s="129" t="s">
        <v>485</v>
      </c>
      <c r="G117" s="129" t="s">
        <v>485</v>
      </c>
      <c r="H117" s="129" t="s">
        <v>485</v>
      </c>
      <c r="I117" s="112">
        <v>4.8</v>
      </c>
      <c r="J117" s="77" t="s">
        <v>81</v>
      </c>
      <c r="K117" s="84">
        <v>22.55</v>
      </c>
      <c r="L117" s="86">
        <v>31900</v>
      </c>
      <c r="M117" s="80">
        <v>0.4</v>
      </c>
      <c r="N117" s="81">
        <v>50</v>
      </c>
      <c r="O117">
        <v>11.52</v>
      </c>
      <c r="P117" s="94">
        <v>7.2943195989999996</v>
      </c>
      <c r="Q117" s="81">
        <f t="shared" si="3"/>
        <v>1.5793111123865906</v>
      </c>
      <c r="R117" s="81">
        <f t="shared" si="4"/>
        <v>6297503.060641529</v>
      </c>
      <c r="S117" s="81">
        <v>7</v>
      </c>
      <c r="T117" s="81">
        <f t="shared" si="5"/>
        <v>899643.29437736131</v>
      </c>
      <c r="U117" s="81"/>
      <c r="V117" s="91"/>
      <c r="W117" s="91"/>
    </row>
    <row r="118" spans="1:23" x14ac:dyDescent="0.4">
      <c r="A118" s="85" t="s">
        <v>296</v>
      </c>
      <c r="B118" s="109" t="s">
        <v>78</v>
      </c>
      <c r="C118" s="129" t="s">
        <v>7</v>
      </c>
      <c r="D118" s="129" t="s">
        <v>485</v>
      </c>
      <c r="E118" s="129" t="s">
        <v>485</v>
      </c>
      <c r="F118" s="129" t="s">
        <v>485</v>
      </c>
      <c r="G118" s="129" t="s">
        <v>485</v>
      </c>
      <c r="H118" s="129" t="s">
        <v>485</v>
      </c>
      <c r="I118" s="112">
        <v>4.8</v>
      </c>
      <c r="J118" s="77" t="s">
        <v>81</v>
      </c>
      <c r="K118" s="84">
        <v>22.6</v>
      </c>
      <c r="L118" s="86">
        <v>30800</v>
      </c>
      <c r="M118" s="80">
        <v>0.4</v>
      </c>
      <c r="N118" s="81">
        <v>50</v>
      </c>
      <c r="O118">
        <v>11.52</v>
      </c>
      <c r="P118" s="94">
        <v>7.2943195989999996</v>
      </c>
      <c r="Q118" s="81">
        <f t="shared" si="3"/>
        <v>1.5793111123865906</v>
      </c>
      <c r="R118" s="81">
        <f t="shared" si="4"/>
        <v>6080347.7826883737</v>
      </c>
      <c r="S118" s="81">
        <v>7</v>
      </c>
      <c r="T118" s="81">
        <f t="shared" si="5"/>
        <v>868621.11181262485</v>
      </c>
      <c r="U118" s="81">
        <f>AVERAGE(T116:T118)</f>
        <v>898703.22823903617</v>
      </c>
      <c r="V118" s="81">
        <f>_xlfn.STDEV.S(T116:T118)</f>
        <v>29623.272506847672</v>
      </c>
      <c r="W118" s="81">
        <f>MAX(K116:K118)-MIN(K116:K118)</f>
        <v>0.10000000000000142</v>
      </c>
    </row>
    <row r="119" spans="1:23" x14ac:dyDescent="0.4">
      <c r="A119" s="85" t="s">
        <v>297</v>
      </c>
      <c r="B119" s="109" t="s">
        <v>86</v>
      </c>
      <c r="C119" s="129" t="s">
        <v>4</v>
      </c>
      <c r="D119" s="129" t="s">
        <v>485</v>
      </c>
      <c r="E119" s="129" t="s">
        <v>485</v>
      </c>
      <c r="F119" s="129" t="s">
        <v>484</v>
      </c>
      <c r="G119" s="129" t="s">
        <v>485</v>
      </c>
      <c r="H119" s="129" t="s">
        <v>484</v>
      </c>
      <c r="I119" s="112">
        <v>5.8</v>
      </c>
      <c r="J119" s="77" t="s">
        <v>81</v>
      </c>
      <c r="K119" s="84">
        <v>22.18</v>
      </c>
      <c r="L119" s="86">
        <v>40600</v>
      </c>
      <c r="M119" s="80">
        <v>0.4</v>
      </c>
      <c r="N119" s="81">
        <v>50</v>
      </c>
      <c r="O119">
        <v>95.65</v>
      </c>
      <c r="P119" s="94">
        <v>6.8781001929999999</v>
      </c>
      <c r="Q119" s="81">
        <f t="shared" si="3"/>
        <v>13.906456334751448</v>
      </c>
      <c r="R119" s="81">
        <f t="shared" si="4"/>
        <v>70575265.898863599</v>
      </c>
      <c r="S119" s="81">
        <v>7</v>
      </c>
      <c r="T119" s="81">
        <f t="shared" si="5"/>
        <v>10082180.8426948</v>
      </c>
      <c r="U119" s="81"/>
      <c r="V119" s="84"/>
      <c r="W119" s="84"/>
    </row>
    <row r="120" spans="1:23" x14ac:dyDescent="0.4">
      <c r="A120" s="85" t="s">
        <v>298</v>
      </c>
      <c r="B120" s="109" t="s">
        <v>86</v>
      </c>
      <c r="C120" s="129" t="s">
        <v>4</v>
      </c>
      <c r="D120" s="129" t="s">
        <v>485</v>
      </c>
      <c r="E120" s="129" t="s">
        <v>485</v>
      </c>
      <c r="F120" s="129" t="s">
        <v>484</v>
      </c>
      <c r="G120" s="129" t="s">
        <v>485</v>
      </c>
      <c r="H120" s="129" t="s">
        <v>484</v>
      </c>
      <c r="I120" s="112">
        <v>5.8</v>
      </c>
      <c r="J120" s="77" t="s">
        <v>81</v>
      </c>
      <c r="K120" s="84">
        <v>22.31</v>
      </c>
      <c r="L120" s="86">
        <v>37300</v>
      </c>
      <c r="M120" s="80">
        <v>0.4</v>
      </c>
      <c r="N120" s="81">
        <v>50</v>
      </c>
      <c r="O120">
        <v>95.65</v>
      </c>
      <c r="P120" s="94">
        <v>6.8781001929999999</v>
      </c>
      <c r="Q120" s="81">
        <f t="shared" si="3"/>
        <v>13.906456334751448</v>
      </c>
      <c r="R120" s="81">
        <f t="shared" si="4"/>
        <v>64838852.660778627</v>
      </c>
      <c r="S120" s="81">
        <v>7</v>
      </c>
      <c r="T120" s="81">
        <f t="shared" si="5"/>
        <v>9262693.2372540887</v>
      </c>
      <c r="U120" s="81"/>
      <c r="V120" s="84"/>
      <c r="W120" s="84"/>
    </row>
    <row r="121" spans="1:23" x14ac:dyDescent="0.4">
      <c r="A121" s="85" t="s">
        <v>299</v>
      </c>
      <c r="B121" s="109" t="s">
        <v>86</v>
      </c>
      <c r="C121" s="129" t="s">
        <v>4</v>
      </c>
      <c r="D121" s="129" t="s">
        <v>485</v>
      </c>
      <c r="E121" s="129" t="s">
        <v>485</v>
      </c>
      <c r="F121" s="129" t="s">
        <v>484</v>
      </c>
      <c r="G121" s="129" t="s">
        <v>485</v>
      </c>
      <c r="H121" s="129" t="s">
        <v>484</v>
      </c>
      <c r="I121" s="112">
        <v>5.8</v>
      </c>
      <c r="J121" s="77" t="s">
        <v>81</v>
      </c>
      <c r="K121" s="84">
        <v>22.31</v>
      </c>
      <c r="L121" s="86">
        <v>37300</v>
      </c>
      <c r="M121" s="80">
        <v>0.4</v>
      </c>
      <c r="N121" s="81">
        <v>50</v>
      </c>
      <c r="O121">
        <v>95.65</v>
      </c>
      <c r="P121" s="94">
        <v>6.8781001929999999</v>
      </c>
      <c r="Q121" s="81">
        <f t="shared" si="3"/>
        <v>13.906456334751448</v>
      </c>
      <c r="R121" s="81">
        <f t="shared" si="4"/>
        <v>64838852.660778627</v>
      </c>
      <c r="S121" s="81">
        <v>7</v>
      </c>
      <c r="T121" s="81">
        <f t="shared" si="5"/>
        <v>9262693.2372540887</v>
      </c>
      <c r="U121" s="81">
        <f>AVERAGE(T119:T121)</f>
        <v>9535855.772400992</v>
      </c>
      <c r="V121" s="81">
        <f>_xlfn.STDEV.S(T119:T121)</f>
        <v>473131.38959875674</v>
      </c>
      <c r="W121" s="81">
        <f>MAX(K119:K121)-MIN(K119:K121)</f>
        <v>0.12999999999999901</v>
      </c>
    </row>
    <row r="122" spans="1:23" x14ac:dyDescent="0.4">
      <c r="A122" s="85" t="s">
        <v>300</v>
      </c>
      <c r="B122" s="109" t="s">
        <v>87</v>
      </c>
      <c r="C122" s="129" t="s">
        <v>5</v>
      </c>
      <c r="D122" s="129" t="s">
        <v>485</v>
      </c>
      <c r="E122" s="129" t="s">
        <v>484</v>
      </c>
      <c r="F122" s="129" t="s">
        <v>484</v>
      </c>
      <c r="G122" s="129" t="s">
        <v>485</v>
      </c>
      <c r="H122" s="129" t="s">
        <v>485</v>
      </c>
      <c r="I122" s="112">
        <v>5.8</v>
      </c>
      <c r="J122" s="77" t="s">
        <v>81</v>
      </c>
      <c r="K122" s="84">
        <v>18.62</v>
      </c>
      <c r="L122" s="86">
        <v>419000</v>
      </c>
      <c r="M122" s="80">
        <v>0.4</v>
      </c>
      <c r="N122" s="81">
        <v>50</v>
      </c>
      <c r="O122">
        <v>35.979999999999997</v>
      </c>
      <c r="P122" s="94">
        <v>5.4665173229999997</v>
      </c>
      <c r="Q122" s="81">
        <f t="shared" si="3"/>
        <v>6.5818871274068034</v>
      </c>
      <c r="R122" s="81">
        <f t="shared" si="4"/>
        <v>344726338.29793131</v>
      </c>
      <c r="S122" s="81">
        <v>7</v>
      </c>
      <c r="T122" s="81">
        <f t="shared" si="5"/>
        <v>49246619.756847329</v>
      </c>
      <c r="U122" s="81"/>
      <c r="V122" s="84"/>
      <c r="W122" s="84"/>
    </row>
    <row r="123" spans="1:23" x14ac:dyDescent="0.4">
      <c r="A123" s="85" t="s">
        <v>301</v>
      </c>
      <c r="B123" s="109" t="s">
        <v>87</v>
      </c>
      <c r="C123" s="129" t="s">
        <v>5</v>
      </c>
      <c r="D123" s="129" t="s">
        <v>485</v>
      </c>
      <c r="E123" s="129" t="s">
        <v>484</v>
      </c>
      <c r="F123" s="129" t="s">
        <v>484</v>
      </c>
      <c r="G123" s="129" t="s">
        <v>485</v>
      </c>
      <c r="H123" s="129" t="s">
        <v>485</v>
      </c>
      <c r="I123" s="112">
        <v>5.8</v>
      </c>
      <c r="J123" s="77" t="s">
        <v>81</v>
      </c>
      <c r="K123" s="84">
        <v>18.64</v>
      </c>
      <c r="L123" s="86">
        <v>414000</v>
      </c>
      <c r="M123" s="80">
        <v>0.4</v>
      </c>
      <c r="N123" s="81">
        <v>50</v>
      </c>
      <c r="O123">
        <v>35.979999999999997</v>
      </c>
      <c r="P123" s="94">
        <v>5.4665173229999997</v>
      </c>
      <c r="Q123" s="81">
        <f t="shared" si="3"/>
        <v>6.5818871274068034</v>
      </c>
      <c r="R123" s="81">
        <f t="shared" si="4"/>
        <v>340612658.84330201</v>
      </c>
      <c r="S123" s="81">
        <v>7</v>
      </c>
      <c r="T123" s="81">
        <f t="shared" si="5"/>
        <v>48658951.263328858</v>
      </c>
      <c r="U123" s="81"/>
      <c r="V123" s="84"/>
      <c r="W123" s="84"/>
    </row>
    <row r="124" spans="1:23" x14ac:dyDescent="0.4">
      <c r="A124" s="85" t="s">
        <v>302</v>
      </c>
      <c r="B124" s="109" t="s">
        <v>87</v>
      </c>
      <c r="C124" s="129" t="s">
        <v>5</v>
      </c>
      <c r="D124" s="129" t="s">
        <v>485</v>
      </c>
      <c r="E124" s="129" t="s">
        <v>484</v>
      </c>
      <c r="F124" s="129" t="s">
        <v>484</v>
      </c>
      <c r="G124" s="129" t="s">
        <v>485</v>
      </c>
      <c r="H124" s="129" t="s">
        <v>485</v>
      </c>
      <c r="I124" s="112">
        <v>5.8</v>
      </c>
      <c r="J124" s="77" t="s">
        <v>81</v>
      </c>
      <c r="K124" s="84">
        <v>18.68</v>
      </c>
      <c r="L124" s="86">
        <v>402000</v>
      </c>
      <c r="M124" s="80">
        <v>0.4</v>
      </c>
      <c r="N124" s="81">
        <v>50</v>
      </c>
      <c r="O124">
        <v>35.979999999999997</v>
      </c>
      <c r="P124" s="94">
        <v>5.4665173229999997</v>
      </c>
      <c r="Q124" s="81">
        <f t="shared" si="3"/>
        <v>6.5818871274068034</v>
      </c>
      <c r="R124" s="81">
        <f t="shared" si="4"/>
        <v>330739828.15219182</v>
      </c>
      <c r="S124" s="81">
        <v>7</v>
      </c>
      <c r="T124" s="81">
        <f t="shared" si="5"/>
        <v>47248546.878884546</v>
      </c>
      <c r="U124" s="81">
        <f>AVERAGE(T122:T124)</f>
        <v>48384705.966353573</v>
      </c>
      <c r="V124" s="81">
        <f>_xlfn.STDEV.S(T122:T124)</f>
        <v>1026879.5784304087</v>
      </c>
      <c r="W124" s="81">
        <f>MAX(K122:K124)-MIN(K122:K124)</f>
        <v>5.9999999999998721E-2</v>
      </c>
    </row>
    <row r="125" spans="1:23" x14ac:dyDescent="0.4">
      <c r="A125" s="85" t="s">
        <v>303</v>
      </c>
      <c r="B125" s="109" t="s">
        <v>88</v>
      </c>
      <c r="C125" s="129" t="s">
        <v>6</v>
      </c>
      <c r="D125" s="129" t="s">
        <v>485</v>
      </c>
      <c r="E125" s="129" t="s">
        <v>485</v>
      </c>
      <c r="F125" s="129" t="s">
        <v>484</v>
      </c>
      <c r="G125" s="129" t="s">
        <v>485</v>
      </c>
      <c r="H125" s="129" t="s">
        <v>485</v>
      </c>
      <c r="I125" s="112">
        <v>5.8</v>
      </c>
      <c r="J125" s="77" t="s">
        <v>81</v>
      </c>
      <c r="K125" s="84">
        <v>17.91</v>
      </c>
      <c r="L125" s="86">
        <v>668000</v>
      </c>
      <c r="M125" s="80">
        <v>0.4</v>
      </c>
      <c r="N125" s="81">
        <v>50</v>
      </c>
      <c r="O125">
        <v>40.32</v>
      </c>
      <c r="P125" s="94">
        <v>4.7812183939999997</v>
      </c>
      <c r="Q125" s="81">
        <f t="shared" si="3"/>
        <v>8.4329969219975354</v>
      </c>
      <c r="R125" s="81">
        <f t="shared" si="4"/>
        <v>704155242.98679423</v>
      </c>
      <c r="S125" s="81">
        <v>7</v>
      </c>
      <c r="T125" s="81">
        <f t="shared" si="5"/>
        <v>100593606.1409706</v>
      </c>
      <c r="U125" s="81"/>
      <c r="V125" s="84"/>
      <c r="W125" s="84"/>
    </row>
    <row r="126" spans="1:23" x14ac:dyDescent="0.4">
      <c r="A126" s="85" t="s">
        <v>304</v>
      </c>
      <c r="B126" s="109" t="s">
        <v>88</v>
      </c>
      <c r="C126" s="129" t="s">
        <v>6</v>
      </c>
      <c r="D126" s="129" t="s">
        <v>485</v>
      </c>
      <c r="E126" s="129" t="s">
        <v>485</v>
      </c>
      <c r="F126" s="129" t="s">
        <v>484</v>
      </c>
      <c r="G126" s="129" t="s">
        <v>485</v>
      </c>
      <c r="H126" s="129" t="s">
        <v>485</v>
      </c>
      <c r="I126" s="112">
        <v>5.8</v>
      </c>
      <c r="J126" s="77" t="s">
        <v>81</v>
      </c>
      <c r="K126" s="84">
        <v>17.98</v>
      </c>
      <c r="L126" s="86">
        <v>636000</v>
      </c>
      <c r="M126" s="80">
        <v>0.4</v>
      </c>
      <c r="N126" s="81">
        <v>50</v>
      </c>
      <c r="O126">
        <v>40.32</v>
      </c>
      <c r="P126" s="94">
        <v>4.7812183939999997</v>
      </c>
      <c r="Q126" s="81">
        <f t="shared" si="3"/>
        <v>8.4329969219975354</v>
      </c>
      <c r="R126" s="81">
        <f t="shared" si="4"/>
        <v>670423255.29880404</v>
      </c>
      <c r="S126" s="81">
        <v>7</v>
      </c>
      <c r="T126" s="81">
        <f t="shared" si="5"/>
        <v>95774750.756972</v>
      </c>
      <c r="U126" s="81"/>
      <c r="V126" s="84"/>
      <c r="W126" s="84"/>
    </row>
    <row r="127" spans="1:23" x14ac:dyDescent="0.4">
      <c r="A127" s="85" t="s">
        <v>305</v>
      </c>
      <c r="B127" s="109" t="s">
        <v>88</v>
      </c>
      <c r="C127" s="129" t="s">
        <v>6</v>
      </c>
      <c r="D127" s="129" t="s">
        <v>485</v>
      </c>
      <c r="E127" s="129" t="s">
        <v>485</v>
      </c>
      <c r="F127" s="129" t="s">
        <v>484</v>
      </c>
      <c r="G127" s="129" t="s">
        <v>485</v>
      </c>
      <c r="H127" s="129" t="s">
        <v>485</v>
      </c>
      <c r="I127" s="112">
        <v>5.8</v>
      </c>
      <c r="J127" s="77" t="s">
        <v>81</v>
      </c>
      <c r="K127" s="84">
        <v>18.02</v>
      </c>
      <c r="L127" s="86">
        <v>620000</v>
      </c>
      <c r="M127" s="80">
        <v>0.4</v>
      </c>
      <c r="N127" s="81">
        <v>50</v>
      </c>
      <c r="O127">
        <v>40.32</v>
      </c>
      <c r="P127" s="94">
        <v>4.7812183939999997</v>
      </c>
      <c r="Q127" s="81">
        <f t="shared" si="3"/>
        <v>8.4329969219975354</v>
      </c>
      <c r="R127" s="81">
        <f t="shared" si="4"/>
        <v>653557261.45480895</v>
      </c>
      <c r="S127" s="81">
        <v>7</v>
      </c>
      <c r="T127" s="81">
        <f t="shared" si="5"/>
        <v>93365323.064972714</v>
      </c>
      <c r="U127" s="81">
        <f>AVERAGE(T125:T127)</f>
        <v>96577893.320971772</v>
      </c>
      <c r="V127" s="81">
        <f>_xlfn.STDEV.S(T125:T127)</f>
        <v>3680461.5933698416</v>
      </c>
      <c r="W127" s="81">
        <f>MAX(K125:K127)-MIN(K125:K127)</f>
        <v>0.10999999999999943</v>
      </c>
    </row>
    <row r="128" spans="1:23" x14ac:dyDescent="0.4">
      <c r="A128" s="85" t="s">
        <v>306</v>
      </c>
      <c r="B128" s="109" t="s">
        <v>89</v>
      </c>
      <c r="C128" s="129" t="s">
        <v>7</v>
      </c>
      <c r="D128" s="129" t="s">
        <v>485</v>
      </c>
      <c r="E128" s="129" t="s">
        <v>485</v>
      </c>
      <c r="F128" s="129" t="s">
        <v>485</v>
      </c>
      <c r="G128" s="129" t="s">
        <v>485</v>
      </c>
      <c r="H128" s="129" t="s">
        <v>485</v>
      </c>
      <c r="I128" s="112">
        <v>5.8</v>
      </c>
      <c r="J128" s="77" t="s">
        <v>81</v>
      </c>
      <c r="K128" s="84">
        <v>17.86</v>
      </c>
      <c r="L128" s="86">
        <v>688000</v>
      </c>
      <c r="M128" s="80">
        <v>0.4</v>
      </c>
      <c r="N128" s="81">
        <v>50</v>
      </c>
      <c r="O128">
        <v>41.26</v>
      </c>
      <c r="P128" s="94">
        <v>5.4128860359999997</v>
      </c>
      <c r="Q128" s="81">
        <f t="shared" si="3"/>
        <v>7.6225510246452934</v>
      </c>
      <c r="R128" s="81">
        <f t="shared" si="4"/>
        <v>655539388.11949515</v>
      </c>
      <c r="S128" s="81">
        <v>7</v>
      </c>
      <c r="T128" s="81">
        <f t="shared" si="5"/>
        <v>93648484.01707074</v>
      </c>
      <c r="U128" s="81"/>
      <c r="V128" s="84"/>
      <c r="W128" s="84"/>
    </row>
    <row r="129" spans="1:23" x14ac:dyDescent="0.4">
      <c r="A129" s="85" t="s">
        <v>307</v>
      </c>
      <c r="B129" s="109" t="s">
        <v>89</v>
      </c>
      <c r="C129" s="129" t="s">
        <v>7</v>
      </c>
      <c r="D129" s="129" t="s">
        <v>485</v>
      </c>
      <c r="E129" s="129" t="s">
        <v>485</v>
      </c>
      <c r="F129" s="129" t="s">
        <v>485</v>
      </c>
      <c r="G129" s="129" t="s">
        <v>485</v>
      </c>
      <c r="H129" s="129" t="s">
        <v>485</v>
      </c>
      <c r="I129" s="112">
        <v>5.8</v>
      </c>
      <c r="J129" s="77" t="s">
        <v>81</v>
      </c>
      <c r="K129" s="84">
        <v>17.91</v>
      </c>
      <c r="L129" s="86">
        <v>667000</v>
      </c>
      <c r="M129" s="80">
        <v>0.4</v>
      </c>
      <c r="N129" s="81">
        <v>50</v>
      </c>
      <c r="O129">
        <v>41.26</v>
      </c>
      <c r="P129" s="94">
        <v>5.4128860359999997</v>
      </c>
      <c r="Q129" s="81">
        <f t="shared" si="3"/>
        <v>7.6225510246452934</v>
      </c>
      <c r="R129" s="81">
        <f t="shared" si="4"/>
        <v>635530191.67980134</v>
      </c>
      <c r="S129" s="81">
        <v>7</v>
      </c>
      <c r="T129" s="81">
        <f t="shared" si="5"/>
        <v>90790027.382828757</v>
      </c>
      <c r="U129" s="81"/>
      <c r="V129" s="84"/>
      <c r="W129" s="84"/>
    </row>
    <row r="130" spans="1:23" x14ac:dyDescent="0.4">
      <c r="A130" s="85" t="s">
        <v>308</v>
      </c>
      <c r="B130" s="109" t="s">
        <v>89</v>
      </c>
      <c r="C130" s="129" t="s">
        <v>7</v>
      </c>
      <c r="D130" s="129" t="s">
        <v>485</v>
      </c>
      <c r="E130" s="129" t="s">
        <v>485</v>
      </c>
      <c r="F130" s="129" t="s">
        <v>485</v>
      </c>
      <c r="G130" s="129" t="s">
        <v>485</v>
      </c>
      <c r="H130" s="129" t="s">
        <v>485</v>
      </c>
      <c r="I130" s="112">
        <v>5.8</v>
      </c>
      <c r="J130" s="77" t="s">
        <v>81</v>
      </c>
      <c r="K130" s="84"/>
      <c r="L130" s="84"/>
      <c r="M130" s="80">
        <v>0.4</v>
      </c>
      <c r="N130" s="81">
        <v>50</v>
      </c>
      <c r="O130">
        <v>41.26</v>
      </c>
      <c r="P130" s="94">
        <v>5.4128860359999997</v>
      </c>
      <c r="Q130" s="81">
        <f t="shared" si="3"/>
        <v>7.6225510246452934</v>
      </c>
      <c r="R130" s="81">
        <f t="shared" si="4"/>
        <v>0</v>
      </c>
      <c r="S130" s="81">
        <v>7</v>
      </c>
      <c r="T130" s="81">
        <f t="shared" si="5"/>
        <v>0</v>
      </c>
      <c r="U130" s="81">
        <f>AVERAGE(T128:T130)</f>
        <v>61479503.799966492</v>
      </c>
      <c r="V130" s="81">
        <f>_xlfn.STDEV.S(T128:T130)</f>
        <v>53261991.459201306</v>
      </c>
      <c r="W130" s="81">
        <f>MAX(K128:K130)-MIN(K128:K130)</f>
        <v>5.0000000000000711E-2</v>
      </c>
    </row>
    <row r="131" spans="1:23" x14ac:dyDescent="0.4">
      <c r="A131" s="85" t="s">
        <v>309</v>
      </c>
      <c r="B131" s="109" t="s">
        <v>96</v>
      </c>
      <c r="C131" s="129" t="s">
        <v>4</v>
      </c>
      <c r="D131" s="129" t="s">
        <v>485</v>
      </c>
      <c r="E131" s="129" t="s">
        <v>485</v>
      </c>
      <c r="F131" s="129" t="s">
        <v>484</v>
      </c>
      <c r="G131" s="129" t="s">
        <v>485</v>
      </c>
      <c r="H131" s="129" t="s">
        <v>484</v>
      </c>
      <c r="I131" s="112">
        <v>4.8</v>
      </c>
      <c r="J131" s="77" t="s">
        <v>132</v>
      </c>
      <c r="K131" s="84">
        <v>26.09</v>
      </c>
      <c r="L131" s="86">
        <v>3040</v>
      </c>
      <c r="M131" s="80">
        <v>0.4</v>
      </c>
      <c r="N131" s="81">
        <v>50</v>
      </c>
      <c r="O131">
        <v>3.1</v>
      </c>
      <c r="P131" s="94">
        <v>0.85496507499999996</v>
      </c>
      <c r="Q131" s="81">
        <f t="shared" si="3"/>
        <v>3.6258791038920513</v>
      </c>
      <c r="R131" s="81">
        <f t="shared" si="4"/>
        <v>1377834.0594789796</v>
      </c>
      <c r="S131" s="81">
        <v>7</v>
      </c>
      <c r="T131" s="81">
        <f t="shared" si="5"/>
        <v>196833.43706842564</v>
      </c>
      <c r="U131" s="81"/>
      <c r="V131" s="84"/>
      <c r="W131" s="84"/>
    </row>
    <row r="132" spans="1:23" x14ac:dyDescent="0.4">
      <c r="A132" s="85" t="s">
        <v>310</v>
      </c>
      <c r="B132" s="109" t="s">
        <v>96</v>
      </c>
      <c r="C132" s="129" t="s">
        <v>4</v>
      </c>
      <c r="D132" s="129" t="s">
        <v>485</v>
      </c>
      <c r="E132" s="129" t="s">
        <v>485</v>
      </c>
      <c r="F132" s="129" t="s">
        <v>484</v>
      </c>
      <c r="G132" s="129" t="s">
        <v>485</v>
      </c>
      <c r="H132" s="129" t="s">
        <v>484</v>
      </c>
      <c r="I132" s="112">
        <v>4.8</v>
      </c>
      <c r="J132" s="77" t="s">
        <v>132</v>
      </c>
      <c r="K132" s="84">
        <v>26.06</v>
      </c>
      <c r="L132" s="86">
        <v>3120</v>
      </c>
      <c r="M132" s="80">
        <v>0.4</v>
      </c>
      <c r="N132" s="81">
        <v>50</v>
      </c>
      <c r="O132">
        <v>3.1</v>
      </c>
      <c r="P132" s="94">
        <v>0.85496507499999996</v>
      </c>
      <c r="Q132" s="81">
        <f t="shared" si="3"/>
        <v>3.6258791038920513</v>
      </c>
      <c r="R132" s="81">
        <f t="shared" si="4"/>
        <v>1414092.8505179</v>
      </c>
      <c r="S132" s="81">
        <v>7</v>
      </c>
      <c r="T132" s="81">
        <f t="shared" si="5"/>
        <v>202013.2643597</v>
      </c>
      <c r="U132" s="81"/>
      <c r="V132" s="84"/>
      <c r="W132" s="84"/>
    </row>
    <row r="133" spans="1:23" x14ac:dyDescent="0.4">
      <c r="A133" s="85" t="s">
        <v>311</v>
      </c>
      <c r="B133" s="109" t="s">
        <v>96</v>
      </c>
      <c r="C133" s="129" t="s">
        <v>4</v>
      </c>
      <c r="D133" s="129" t="s">
        <v>485</v>
      </c>
      <c r="E133" s="129" t="s">
        <v>485</v>
      </c>
      <c r="F133" s="129" t="s">
        <v>484</v>
      </c>
      <c r="G133" s="129" t="s">
        <v>485</v>
      </c>
      <c r="H133" s="129" t="s">
        <v>484</v>
      </c>
      <c r="I133" s="112">
        <v>4.8</v>
      </c>
      <c r="J133" s="77" t="s">
        <v>132</v>
      </c>
      <c r="K133" s="84">
        <v>26.17</v>
      </c>
      <c r="L133" s="86">
        <v>2890</v>
      </c>
      <c r="M133" s="80">
        <v>0.4</v>
      </c>
      <c r="N133" s="81">
        <v>50</v>
      </c>
      <c r="O133">
        <v>3.1</v>
      </c>
      <c r="P133" s="94">
        <v>0.85496507499999996</v>
      </c>
      <c r="Q133" s="81">
        <f t="shared" si="3"/>
        <v>3.6258791038920513</v>
      </c>
      <c r="R133" s="81">
        <f t="shared" si="4"/>
        <v>1309848.8262810034</v>
      </c>
      <c r="S133" s="81">
        <v>7</v>
      </c>
      <c r="T133" s="81">
        <f t="shared" si="5"/>
        <v>187121.26089728621</v>
      </c>
      <c r="U133" s="81">
        <f>AVERAGE(T131:T133)</f>
        <v>195322.65410847063</v>
      </c>
      <c r="V133" s="81">
        <f>_xlfn.STDEV.S(T131:T133)</f>
        <v>7560.0787459658086</v>
      </c>
      <c r="W133" s="81">
        <f>MAX(K131:K133)-MIN(K131:K133)</f>
        <v>0.11000000000000298</v>
      </c>
    </row>
    <row r="134" spans="1:23" x14ac:dyDescent="0.4">
      <c r="A134" s="85" t="s">
        <v>312</v>
      </c>
      <c r="B134" s="109" t="s">
        <v>97</v>
      </c>
      <c r="C134" s="129" t="s">
        <v>5</v>
      </c>
      <c r="D134" s="129" t="s">
        <v>485</v>
      </c>
      <c r="E134" s="129" t="s">
        <v>484</v>
      </c>
      <c r="F134" s="129" t="s">
        <v>484</v>
      </c>
      <c r="G134" s="129" t="s">
        <v>485</v>
      </c>
      <c r="H134" s="129" t="s">
        <v>485</v>
      </c>
      <c r="I134" s="112">
        <v>4.8</v>
      </c>
      <c r="J134" s="77" t="s">
        <v>132</v>
      </c>
      <c r="K134" s="84">
        <v>30</v>
      </c>
      <c r="L134" s="86">
        <v>180</v>
      </c>
      <c r="M134" s="80">
        <v>0.4</v>
      </c>
      <c r="N134" s="81">
        <v>50</v>
      </c>
      <c r="O134">
        <v>0.28000000000000003</v>
      </c>
      <c r="P134" s="94">
        <v>-0.12202898</v>
      </c>
      <c r="Q134" s="81">
        <f t="shared" si="3"/>
        <v>-2.2945369206560611</v>
      </c>
      <c r="R134" s="81">
        <f t="shared" si="4"/>
        <v>-51627.080714761374</v>
      </c>
      <c r="S134" s="81">
        <v>7</v>
      </c>
      <c r="T134" s="81">
        <f t="shared" si="5"/>
        <v>-7375.297244965911</v>
      </c>
      <c r="U134" s="81"/>
      <c r="V134" s="84"/>
      <c r="W134" s="84"/>
    </row>
    <row r="135" spans="1:23" x14ac:dyDescent="0.4">
      <c r="A135" s="85" t="s">
        <v>313</v>
      </c>
      <c r="B135" s="109" t="s">
        <v>97</v>
      </c>
      <c r="C135" s="129" t="s">
        <v>5</v>
      </c>
      <c r="D135" s="129" t="s">
        <v>485</v>
      </c>
      <c r="E135" s="129" t="s">
        <v>484</v>
      </c>
      <c r="F135" s="129" t="s">
        <v>484</v>
      </c>
      <c r="G135" s="129" t="s">
        <v>485</v>
      </c>
      <c r="H135" s="129" t="s">
        <v>485</v>
      </c>
      <c r="I135" s="112">
        <v>4.8</v>
      </c>
      <c r="J135" s="77" t="s">
        <v>132</v>
      </c>
      <c r="K135" s="84">
        <v>29.79</v>
      </c>
      <c r="L135" s="86">
        <v>211</v>
      </c>
      <c r="M135" s="80">
        <v>0.4</v>
      </c>
      <c r="N135" s="81">
        <v>50</v>
      </c>
      <c r="O135">
        <v>0.28000000000000003</v>
      </c>
      <c r="P135" s="94">
        <v>-0.12202898</v>
      </c>
      <c r="Q135" s="81">
        <f t="shared" si="3"/>
        <v>-2.2945369206560611</v>
      </c>
      <c r="R135" s="81">
        <f t="shared" si="4"/>
        <v>-60518.411282303612</v>
      </c>
      <c r="S135" s="81">
        <v>7</v>
      </c>
      <c r="T135" s="81">
        <f t="shared" si="5"/>
        <v>-8645.4873260433724</v>
      </c>
      <c r="U135" s="81"/>
      <c r="V135" s="84"/>
      <c r="W135" s="84"/>
    </row>
    <row r="136" spans="1:23" x14ac:dyDescent="0.4">
      <c r="A136" s="85" t="s">
        <v>314</v>
      </c>
      <c r="B136" s="109" t="s">
        <v>97</v>
      </c>
      <c r="C136" s="129" t="s">
        <v>5</v>
      </c>
      <c r="D136" s="129" t="s">
        <v>485</v>
      </c>
      <c r="E136" s="129" t="s">
        <v>484</v>
      </c>
      <c r="F136" s="129" t="s">
        <v>484</v>
      </c>
      <c r="G136" s="129" t="s">
        <v>485</v>
      </c>
      <c r="H136" s="129" t="s">
        <v>485</v>
      </c>
      <c r="I136" s="112">
        <v>4.8</v>
      </c>
      <c r="J136" s="77" t="s">
        <v>132</v>
      </c>
      <c r="K136" s="84">
        <v>29.88</v>
      </c>
      <c r="L136" s="86">
        <v>197</v>
      </c>
      <c r="M136" s="80">
        <v>0.4</v>
      </c>
      <c r="N136" s="81">
        <v>50</v>
      </c>
      <c r="O136">
        <v>0.28000000000000003</v>
      </c>
      <c r="P136" s="94">
        <v>-0.12202898</v>
      </c>
      <c r="Q136" s="81">
        <f t="shared" si="3"/>
        <v>-2.2945369206560611</v>
      </c>
      <c r="R136" s="81">
        <f t="shared" si="4"/>
        <v>-56502.971671155501</v>
      </c>
      <c r="S136" s="81">
        <v>7</v>
      </c>
      <c r="T136" s="81">
        <f t="shared" si="5"/>
        <v>-8071.8530958793572</v>
      </c>
      <c r="U136" s="81">
        <f>AVERAGE(T134:T136)</f>
        <v>-8030.8792222962138</v>
      </c>
      <c r="V136" s="81">
        <f>_xlfn.STDEV.S(T134:T136)</f>
        <v>636.08557148719979</v>
      </c>
      <c r="W136" s="81">
        <f>MAX(K134:K136)-MIN(K134:K136)</f>
        <v>0.21000000000000085</v>
      </c>
    </row>
    <row r="137" spans="1:23" x14ac:dyDescent="0.4">
      <c r="A137" s="85" t="s">
        <v>315</v>
      </c>
      <c r="B137" s="109" t="s">
        <v>98</v>
      </c>
      <c r="C137" s="129" t="s">
        <v>6</v>
      </c>
      <c r="D137" s="129" t="s">
        <v>485</v>
      </c>
      <c r="E137" s="129" t="s">
        <v>485</v>
      </c>
      <c r="F137" s="129" t="s">
        <v>484</v>
      </c>
      <c r="G137" s="129" t="s">
        <v>485</v>
      </c>
      <c r="H137" s="129" t="s">
        <v>485</v>
      </c>
      <c r="I137" s="112">
        <v>4.8</v>
      </c>
      <c r="J137" s="77" t="s">
        <v>132</v>
      </c>
      <c r="K137" s="84">
        <v>30.55</v>
      </c>
      <c r="L137" s="86">
        <v>118</v>
      </c>
      <c r="M137" s="80">
        <v>0.4</v>
      </c>
      <c r="N137" s="81">
        <v>50</v>
      </c>
      <c r="O137">
        <v>2.39</v>
      </c>
      <c r="P137" s="94">
        <v>0.61274735000000002</v>
      </c>
      <c r="Q137" s="81">
        <f t="shared" si="3"/>
        <v>3.9004656650085878</v>
      </c>
      <c r="R137" s="81">
        <f t="shared" si="4"/>
        <v>57531.868558876668</v>
      </c>
      <c r="S137" s="81">
        <v>7</v>
      </c>
      <c r="T137" s="81">
        <f t="shared" si="5"/>
        <v>8218.8383655538091</v>
      </c>
      <c r="U137" s="81"/>
      <c r="V137" s="84"/>
      <c r="W137" s="84"/>
    </row>
    <row r="138" spans="1:23" x14ac:dyDescent="0.4">
      <c r="A138" s="85" t="s">
        <v>316</v>
      </c>
      <c r="B138" s="109" t="s">
        <v>98</v>
      </c>
      <c r="C138" s="129" t="s">
        <v>6</v>
      </c>
      <c r="D138" s="129" t="s">
        <v>485</v>
      </c>
      <c r="E138" s="129" t="s">
        <v>485</v>
      </c>
      <c r="F138" s="129" t="s">
        <v>484</v>
      </c>
      <c r="G138" s="129" t="s">
        <v>485</v>
      </c>
      <c r="H138" s="129" t="s">
        <v>485</v>
      </c>
      <c r="I138" s="112">
        <v>4.8</v>
      </c>
      <c r="J138" s="77" t="s">
        <v>132</v>
      </c>
      <c r="K138" s="84">
        <v>30.88</v>
      </c>
      <c r="L138" s="86">
        <v>91.7</v>
      </c>
      <c r="M138" s="80">
        <v>0.4</v>
      </c>
      <c r="N138" s="81">
        <v>50</v>
      </c>
      <c r="O138">
        <v>2.39</v>
      </c>
      <c r="P138" s="94">
        <v>0.61274735000000002</v>
      </c>
      <c r="Q138" s="81">
        <f t="shared" si="3"/>
        <v>3.9004656650085878</v>
      </c>
      <c r="R138" s="81">
        <f t="shared" si="4"/>
        <v>44709.087685160936</v>
      </c>
      <c r="S138" s="81">
        <v>7</v>
      </c>
      <c r="T138" s="81">
        <f t="shared" si="5"/>
        <v>6387.0125264515618</v>
      </c>
      <c r="U138" s="81"/>
      <c r="V138" s="84"/>
      <c r="W138" s="84"/>
    </row>
    <row r="139" spans="1:23" x14ac:dyDescent="0.4">
      <c r="A139" s="85" t="s">
        <v>317</v>
      </c>
      <c r="B139" s="109" t="s">
        <v>98</v>
      </c>
      <c r="C139" s="129" t="s">
        <v>6</v>
      </c>
      <c r="D139" s="129" t="s">
        <v>485</v>
      </c>
      <c r="E139" s="129" t="s">
        <v>485</v>
      </c>
      <c r="F139" s="129" t="s">
        <v>484</v>
      </c>
      <c r="G139" s="129" t="s">
        <v>485</v>
      </c>
      <c r="H139" s="129" t="s">
        <v>485</v>
      </c>
      <c r="I139" s="112">
        <v>4.8</v>
      </c>
      <c r="J139" s="77" t="s">
        <v>132</v>
      </c>
      <c r="K139" s="84">
        <v>29.97</v>
      </c>
      <c r="L139" s="86">
        <v>185</v>
      </c>
      <c r="M139" s="80">
        <v>0.4</v>
      </c>
      <c r="N139" s="81">
        <v>50</v>
      </c>
      <c r="O139">
        <v>2.39</v>
      </c>
      <c r="P139" s="94">
        <v>0.61274735000000002</v>
      </c>
      <c r="Q139" s="81">
        <f t="shared" ref="Q139:Q202" si="6">O139/P139</f>
        <v>3.9004656650085878</v>
      </c>
      <c r="R139" s="81">
        <f t="shared" ref="R139:R202" si="7">(L139*N139*Q139)/M139</f>
        <v>90198.26850332359</v>
      </c>
      <c r="S139" s="81">
        <v>7</v>
      </c>
      <c r="T139" s="81">
        <f t="shared" ref="T139:T202" si="8">R139/S139</f>
        <v>12885.466929046228</v>
      </c>
      <c r="U139" s="81">
        <f>AVERAGE(T137:T139)</f>
        <v>9163.7726070171993</v>
      </c>
      <c r="V139" s="81">
        <f>_xlfn.STDEV.S(T137:T139)</f>
        <v>3350.6943976089524</v>
      </c>
      <c r="W139" s="81">
        <f>MAX(K137:K139)-MIN(K137:K139)</f>
        <v>0.91000000000000014</v>
      </c>
    </row>
    <row r="140" spans="1:23" x14ac:dyDescent="0.4">
      <c r="A140" s="85" t="s">
        <v>318</v>
      </c>
      <c r="B140" s="109" t="s">
        <v>99</v>
      </c>
      <c r="C140" s="129" t="s">
        <v>7</v>
      </c>
      <c r="D140" s="129" t="s">
        <v>485</v>
      </c>
      <c r="E140" s="129" t="s">
        <v>485</v>
      </c>
      <c r="F140" s="129" t="s">
        <v>485</v>
      </c>
      <c r="G140" s="129" t="s">
        <v>485</v>
      </c>
      <c r="H140" s="129" t="s">
        <v>485</v>
      </c>
      <c r="I140" s="112">
        <v>4.8</v>
      </c>
      <c r="J140" s="77" t="s">
        <v>132</v>
      </c>
      <c r="K140" s="84">
        <v>29.06</v>
      </c>
      <c r="L140" s="86">
        <v>364</v>
      </c>
      <c r="M140" s="80">
        <v>0.4</v>
      </c>
      <c r="N140" s="81">
        <v>50</v>
      </c>
      <c r="O140">
        <v>1.39</v>
      </c>
      <c r="P140" s="94">
        <v>0.146404383</v>
      </c>
      <c r="Q140" s="81">
        <f t="shared" si="6"/>
        <v>9.4942512752504129</v>
      </c>
      <c r="R140" s="81">
        <f t="shared" si="7"/>
        <v>431988.4330238938</v>
      </c>
      <c r="S140" s="81">
        <v>7</v>
      </c>
      <c r="T140" s="81">
        <f t="shared" si="8"/>
        <v>61712.633289127683</v>
      </c>
      <c r="U140" s="81"/>
      <c r="V140" s="84"/>
      <c r="W140" s="84"/>
    </row>
    <row r="141" spans="1:23" x14ac:dyDescent="0.4">
      <c r="A141" s="85" t="s">
        <v>319</v>
      </c>
      <c r="B141" s="109" t="s">
        <v>99</v>
      </c>
      <c r="C141" s="129" t="s">
        <v>7</v>
      </c>
      <c r="D141" s="129" t="s">
        <v>485</v>
      </c>
      <c r="E141" s="129" t="s">
        <v>485</v>
      </c>
      <c r="F141" s="129" t="s">
        <v>485</v>
      </c>
      <c r="G141" s="129" t="s">
        <v>485</v>
      </c>
      <c r="H141" s="129" t="s">
        <v>485</v>
      </c>
      <c r="I141" s="112">
        <v>4.8</v>
      </c>
      <c r="J141" s="77" t="s">
        <v>132</v>
      </c>
      <c r="K141" s="84">
        <v>28.96</v>
      </c>
      <c r="L141" s="86">
        <v>392</v>
      </c>
      <c r="M141" s="80">
        <v>0.4</v>
      </c>
      <c r="N141" s="81">
        <v>50</v>
      </c>
      <c r="O141">
        <v>1.39</v>
      </c>
      <c r="P141" s="94">
        <v>0.146404383</v>
      </c>
      <c r="Q141" s="81">
        <f t="shared" si="6"/>
        <v>9.4942512752504129</v>
      </c>
      <c r="R141" s="81">
        <f t="shared" si="7"/>
        <v>465218.31248727022</v>
      </c>
      <c r="S141" s="81">
        <v>7</v>
      </c>
      <c r="T141" s="81">
        <f t="shared" si="8"/>
        <v>66459.758926752882</v>
      </c>
      <c r="U141" s="81"/>
      <c r="V141" s="84"/>
      <c r="W141" s="84"/>
    </row>
    <row r="142" spans="1:23" x14ac:dyDescent="0.4">
      <c r="A142" s="85" t="s">
        <v>320</v>
      </c>
      <c r="B142" s="109" t="s">
        <v>99</v>
      </c>
      <c r="C142" s="129" t="s">
        <v>7</v>
      </c>
      <c r="D142" s="129" t="s">
        <v>485</v>
      </c>
      <c r="E142" s="129" t="s">
        <v>485</v>
      </c>
      <c r="F142" s="129" t="s">
        <v>485</v>
      </c>
      <c r="G142" s="129" t="s">
        <v>485</v>
      </c>
      <c r="H142" s="129" t="s">
        <v>485</v>
      </c>
      <c r="I142" s="112">
        <v>4.8</v>
      </c>
      <c r="J142" s="77" t="s">
        <v>132</v>
      </c>
      <c r="K142" s="84">
        <v>28.96</v>
      </c>
      <c r="L142" s="86">
        <v>394</v>
      </c>
      <c r="M142" s="80">
        <v>0.4</v>
      </c>
      <c r="N142" s="81">
        <v>50</v>
      </c>
      <c r="O142">
        <v>1.39</v>
      </c>
      <c r="P142" s="94">
        <v>0.146404383</v>
      </c>
      <c r="Q142" s="81">
        <f t="shared" si="6"/>
        <v>9.4942512752504129</v>
      </c>
      <c r="R142" s="81">
        <f t="shared" si="7"/>
        <v>467591.87530608277</v>
      </c>
      <c r="S142" s="81">
        <v>7</v>
      </c>
      <c r="T142" s="81">
        <f t="shared" si="8"/>
        <v>66798.839329440394</v>
      </c>
      <c r="U142" s="81">
        <f>AVERAGE(T140:T142)</f>
        <v>64990.410515106982</v>
      </c>
      <c r="V142" s="81">
        <f>_xlfn.STDEV.S(T140:T142)</f>
        <v>2843.6968082468134</v>
      </c>
      <c r="W142" s="81">
        <f>MAX(K140:K142)-MIN(K140:K142)</f>
        <v>9.9999999999997868E-2</v>
      </c>
    </row>
    <row r="143" spans="1:23" x14ac:dyDescent="0.4">
      <c r="A143" s="85" t="s">
        <v>321</v>
      </c>
      <c r="B143" s="109" t="s">
        <v>106</v>
      </c>
      <c r="C143" s="129" t="s">
        <v>4</v>
      </c>
      <c r="D143" s="129" t="s">
        <v>485</v>
      </c>
      <c r="E143" s="129" t="s">
        <v>485</v>
      </c>
      <c r="F143" s="129" t="s">
        <v>484</v>
      </c>
      <c r="G143" s="129" t="s">
        <v>485</v>
      </c>
      <c r="H143" s="129" t="s">
        <v>484</v>
      </c>
      <c r="I143" s="112">
        <v>5.8</v>
      </c>
      <c r="J143" s="77" t="s">
        <v>132</v>
      </c>
      <c r="K143" s="84">
        <v>23.85</v>
      </c>
      <c r="L143" s="86">
        <v>13600</v>
      </c>
      <c r="M143" s="80">
        <v>0.4</v>
      </c>
      <c r="N143" s="81">
        <v>50</v>
      </c>
      <c r="O143">
        <v>24.45</v>
      </c>
      <c r="P143" s="94">
        <v>7.292473427</v>
      </c>
      <c r="Q143" s="81">
        <f t="shared" si="6"/>
        <v>3.3527719017082953</v>
      </c>
      <c r="R143" s="81">
        <f t="shared" si="7"/>
        <v>5699712.2329041017</v>
      </c>
      <c r="S143" s="81">
        <v>7</v>
      </c>
      <c r="T143" s="81">
        <f t="shared" si="8"/>
        <v>814244.60470058594</v>
      </c>
      <c r="U143" s="81"/>
      <c r="V143" s="84"/>
      <c r="W143" s="84"/>
    </row>
    <row r="144" spans="1:23" x14ac:dyDescent="0.4">
      <c r="A144" s="85" t="s">
        <v>322</v>
      </c>
      <c r="B144" s="109" t="s">
        <v>106</v>
      </c>
      <c r="C144" s="129" t="s">
        <v>4</v>
      </c>
      <c r="D144" s="129" t="s">
        <v>485</v>
      </c>
      <c r="E144" s="129" t="s">
        <v>485</v>
      </c>
      <c r="F144" s="129" t="s">
        <v>484</v>
      </c>
      <c r="G144" s="129" t="s">
        <v>485</v>
      </c>
      <c r="H144" s="129" t="s">
        <v>484</v>
      </c>
      <c r="I144" s="112">
        <v>5.8</v>
      </c>
      <c r="J144" s="77" t="s">
        <v>132</v>
      </c>
      <c r="K144" s="84">
        <v>23.89</v>
      </c>
      <c r="L144" s="86">
        <v>13200</v>
      </c>
      <c r="M144" s="80">
        <v>0.4</v>
      </c>
      <c r="N144" s="81">
        <v>50</v>
      </c>
      <c r="O144">
        <v>24.45</v>
      </c>
      <c r="P144" s="94">
        <v>7.292473427</v>
      </c>
      <c r="Q144" s="81">
        <f t="shared" si="6"/>
        <v>3.3527719017082953</v>
      </c>
      <c r="R144" s="81">
        <f t="shared" si="7"/>
        <v>5532073.6378186867</v>
      </c>
      <c r="S144" s="81">
        <v>7</v>
      </c>
      <c r="T144" s="81">
        <f t="shared" si="8"/>
        <v>790296.23397409811</v>
      </c>
      <c r="U144" s="81"/>
      <c r="V144" s="84"/>
      <c r="W144" s="84"/>
    </row>
    <row r="145" spans="1:23" x14ac:dyDescent="0.4">
      <c r="A145" s="85" t="s">
        <v>323</v>
      </c>
      <c r="B145" s="109" t="s">
        <v>106</v>
      </c>
      <c r="C145" s="129" t="s">
        <v>4</v>
      </c>
      <c r="D145" s="129" t="s">
        <v>485</v>
      </c>
      <c r="E145" s="129" t="s">
        <v>485</v>
      </c>
      <c r="F145" s="129" t="s">
        <v>484</v>
      </c>
      <c r="G145" s="129" t="s">
        <v>485</v>
      </c>
      <c r="H145" s="129" t="s">
        <v>484</v>
      </c>
      <c r="I145" s="112">
        <v>5.8</v>
      </c>
      <c r="J145" s="77" t="s">
        <v>132</v>
      </c>
      <c r="K145" s="84">
        <v>23.94</v>
      </c>
      <c r="L145" s="86">
        <v>12800</v>
      </c>
      <c r="M145" s="80">
        <v>0.4</v>
      </c>
      <c r="N145" s="81">
        <v>50</v>
      </c>
      <c r="O145">
        <v>24.45</v>
      </c>
      <c r="P145" s="94">
        <v>7.292473427</v>
      </c>
      <c r="Q145" s="81">
        <f t="shared" si="6"/>
        <v>3.3527719017082953</v>
      </c>
      <c r="R145" s="81">
        <f t="shared" si="7"/>
        <v>5364435.0427332725</v>
      </c>
      <c r="S145" s="81">
        <v>7</v>
      </c>
      <c r="T145" s="81">
        <f t="shared" si="8"/>
        <v>766347.8632476104</v>
      </c>
      <c r="U145" s="81">
        <f>AVERAGE(T143:T145)</f>
        <v>790296.23397409823</v>
      </c>
      <c r="V145" s="81">
        <f>_xlfn.STDEV.S(T143:T145)</f>
        <v>23948.370726487774</v>
      </c>
      <c r="W145" s="81">
        <f>MAX(K143:K145)-MIN(K143:K145)</f>
        <v>8.9999999999999858E-2</v>
      </c>
    </row>
    <row r="146" spans="1:23" x14ac:dyDescent="0.4">
      <c r="A146" s="85" t="s">
        <v>324</v>
      </c>
      <c r="B146" s="109" t="s">
        <v>107</v>
      </c>
      <c r="C146" s="129" t="s">
        <v>5</v>
      </c>
      <c r="D146" s="129" t="s">
        <v>485</v>
      </c>
      <c r="E146" s="129" t="s">
        <v>484</v>
      </c>
      <c r="F146" s="129" t="s">
        <v>484</v>
      </c>
      <c r="G146" s="129" t="s">
        <v>485</v>
      </c>
      <c r="H146" s="129" t="s">
        <v>485</v>
      </c>
      <c r="I146" s="112">
        <v>5.8</v>
      </c>
      <c r="J146" s="77" t="s">
        <v>132</v>
      </c>
      <c r="K146" s="84">
        <v>20.12</v>
      </c>
      <c r="L146" s="86">
        <v>156000</v>
      </c>
      <c r="M146" s="80">
        <v>0.4</v>
      </c>
      <c r="N146" s="81">
        <v>50</v>
      </c>
      <c r="O146">
        <v>3.2</v>
      </c>
      <c r="P146" s="94">
        <v>1.0047819069999999</v>
      </c>
      <c r="Q146" s="81">
        <f t="shared" si="6"/>
        <v>3.1847707225882607</v>
      </c>
      <c r="R146" s="81">
        <f t="shared" si="7"/>
        <v>62103029.090471081</v>
      </c>
      <c r="S146" s="81">
        <v>7</v>
      </c>
      <c r="T146" s="81">
        <f t="shared" si="8"/>
        <v>8871861.2986387257</v>
      </c>
      <c r="U146" s="81"/>
      <c r="V146" s="84"/>
      <c r="W146" s="84"/>
    </row>
    <row r="147" spans="1:23" x14ac:dyDescent="0.4">
      <c r="A147" s="85" t="s">
        <v>325</v>
      </c>
      <c r="B147" s="109" t="s">
        <v>107</v>
      </c>
      <c r="C147" s="129" t="s">
        <v>5</v>
      </c>
      <c r="D147" s="129" t="s">
        <v>485</v>
      </c>
      <c r="E147" s="129" t="s">
        <v>484</v>
      </c>
      <c r="F147" s="129" t="s">
        <v>484</v>
      </c>
      <c r="G147" s="129" t="s">
        <v>485</v>
      </c>
      <c r="H147" s="129" t="s">
        <v>485</v>
      </c>
      <c r="I147" s="112">
        <v>5.8</v>
      </c>
      <c r="J147" s="77" t="s">
        <v>132</v>
      </c>
      <c r="K147" s="84">
        <v>20.420000000000002</v>
      </c>
      <c r="L147" s="86">
        <v>129000</v>
      </c>
      <c r="M147" s="80">
        <v>0.4</v>
      </c>
      <c r="N147" s="81">
        <v>50</v>
      </c>
      <c r="O147">
        <v>3.2</v>
      </c>
      <c r="P147" s="94">
        <v>1.0047819069999999</v>
      </c>
      <c r="Q147" s="81">
        <f t="shared" si="6"/>
        <v>3.1847707225882607</v>
      </c>
      <c r="R147" s="81">
        <f t="shared" si="7"/>
        <v>51354427.901735701</v>
      </c>
      <c r="S147" s="81">
        <v>7</v>
      </c>
      <c r="T147" s="81">
        <f t="shared" si="8"/>
        <v>7336346.8431051001</v>
      </c>
      <c r="U147" s="81"/>
      <c r="V147" s="84"/>
      <c r="W147" s="84"/>
    </row>
    <row r="148" spans="1:23" x14ac:dyDescent="0.4">
      <c r="A148" s="85" t="s">
        <v>326</v>
      </c>
      <c r="B148" s="109" t="s">
        <v>107</v>
      </c>
      <c r="C148" s="129" t="s">
        <v>5</v>
      </c>
      <c r="D148" s="129" t="s">
        <v>485</v>
      </c>
      <c r="E148" s="129" t="s">
        <v>484</v>
      </c>
      <c r="F148" s="129" t="s">
        <v>484</v>
      </c>
      <c r="G148" s="129" t="s">
        <v>485</v>
      </c>
      <c r="H148" s="129" t="s">
        <v>485</v>
      </c>
      <c r="I148" s="112">
        <v>5.8</v>
      </c>
      <c r="J148" s="77" t="s">
        <v>132</v>
      </c>
      <c r="K148" s="84">
        <v>20.5</v>
      </c>
      <c r="L148" s="86">
        <v>122000</v>
      </c>
      <c r="M148" s="80">
        <v>0.4</v>
      </c>
      <c r="N148" s="81">
        <v>50</v>
      </c>
      <c r="O148">
        <v>3.2</v>
      </c>
      <c r="P148" s="94">
        <v>1.0047819069999999</v>
      </c>
      <c r="Q148" s="81">
        <f t="shared" si="6"/>
        <v>3.1847707225882607</v>
      </c>
      <c r="R148" s="81">
        <f t="shared" si="7"/>
        <v>48567753.519470967</v>
      </c>
      <c r="S148" s="81">
        <v>7</v>
      </c>
      <c r="T148" s="81">
        <f t="shared" si="8"/>
        <v>6938250.5027815672</v>
      </c>
      <c r="U148" s="81">
        <f>AVERAGE(T146:T148)</f>
        <v>7715486.2148417979</v>
      </c>
      <c r="V148" s="81">
        <f>_xlfn.STDEV.S(T146:T148)</f>
        <v>1021039.9967016473</v>
      </c>
      <c r="W148" s="81">
        <f>MAX(K146:K148)-MIN(K146:K148)</f>
        <v>0.37999999999999901</v>
      </c>
    </row>
    <row r="149" spans="1:23" x14ac:dyDescent="0.4">
      <c r="A149" s="85" t="s">
        <v>327</v>
      </c>
      <c r="B149" s="109" t="s">
        <v>108</v>
      </c>
      <c r="C149" s="129" t="s">
        <v>6</v>
      </c>
      <c r="D149" s="129" t="s">
        <v>485</v>
      </c>
      <c r="E149" s="129" t="s">
        <v>485</v>
      </c>
      <c r="F149" s="129" t="s">
        <v>484</v>
      </c>
      <c r="G149" s="129" t="s">
        <v>485</v>
      </c>
      <c r="H149" s="129" t="s">
        <v>485</v>
      </c>
      <c r="I149" s="112">
        <v>5.8</v>
      </c>
      <c r="J149" s="77" t="s">
        <v>132</v>
      </c>
      <c r="K149" s="84">
        <v>20.7</v>
      </c>
      <c r="L149" s="86">
        <v>107000</v>
      </c>
      <c r="M149" s="80">
        <v>0.4</v>
      </c>
      <c r="N149" s="81">
        <v>50</v>
      </c>
      <c r="O149">
        <v>1.1200000000000001</v>
      </c>
      <c r="P149" s="94">
        <v>1.3449390400000001</v>
      </c>
      <c r="Q149" s="81">
        <f t="shared" si="6"/>
        <v>0.83275149779279223</v>
      </c>
      <c r="R149" s="81">
        <f t="shared" si="7"/>
        <v>11138051.282978594</v>
      </c>
      <c r="S149" s="81">
        <v>7</v>
      </c>
      <c r="T149" s="81">
        <f t="shared" si="8"/>
        <v>1591150.1832826564</v>
      </c>
      <c r="U149" s="81"/>
      <c r="V149" s="84"/>
      <c r="W149" s="84"/>
    </row>
    <row r="150" spans="1:23" x14ac:dyDescent="0.4">
      <c r="A150" s="85" t="s">
        <v>328</v>
      </c>
      <c r="B150" s="109" t="s">
        <v>108</v>
      </c>
      <c r="C150" s="129" t="s">
        <v>6</v>
      </c>
      <c r="D150" s="129" t="s">
        <v>485</v>
      </c>
      <c r="E150" s="129" t="s">
        <v>485</v>
      </c>
      <c r="F150" s="129" t="s">
        <v>484</v>
      </c>
      <c r="G150" s="129" t="s">
        <v>485</v>
      </c>
      <c r="H150" s="129" t="s">
        <v>485</v>
      </c>
      <c r="I150" s="112">
        <v>5.8</v>
      </c>
      <c r="J150" s="77" t="s">
        <v>132</v>
      </c>
      <c r="K150" s="84">
        <v>20.88</v>
      </c>
      <c r="L150" s="86">
        <v>95000</v>
      </c>
      <c r="M150" s="80">
        <v>0.4</v>
      </c>
      <c r="N150" s="81">
        <v>50</v>
      </c>
      <c r="O150">
        <v>1.1200000000000001</v>
      </c>
      <c r="P150" s="94">
        <v>1.3449390400000001</v>
      </c>
      <c r="Q150" s="81">
        <f t="shared" si="6"/>
        <v>0.83275149779279223</v>
      </c>
      <c r="R150" s="81">
        <f t="shared" si="7"/>
        <v>9888924.0362894069</v>
      </c>
      <c r="S150" s="81">
        <v>7</v>
      </c>
      <c r="T150" s="81">
        <f t="shared" si="8"/>
        <v>1412703.4337556295</v>
      </c>
      <c r="U150" s="81"/>
      <c r="V150" s="84"/>
      <c r="W150" s="84"/>
    </row>
    <row r="151" spans="1:23" x14ac:dyDescent="0.4">
      <c r="A151" s="85" t="s">
        <v>329</v>
      </c>
      <c r="B151" s="109" t="s">
        <v>108</v>
      </c>
      <c r="C151" s="129" t="s">
        <v>6</v>
      </c>
      <c r="D151" s="129" t="s">
        <v>485</v>
      </c>
      <c r="E151" s="129" t="s">
        <v>485</v>
      </c>
      <c r="F151" s="129" t="s">
        <v>484</v>
      </c>
      <c r="G151" s="129" t="s">
        <v>485</v>
      </c>
      <c r="H151" s="129" t="s">
        <v>485</v>
      </c>
      <c r="I151" s="112">
        <v>5.8</v>
      </c>
      <c r="J151" s="77" t="s">
        <v>132</v>
      </c>
      <c r="K151" s="84">
        <v>20.86</v>
      </c>
      <c r="L151" s="86">
        <v>96600</v>
      </c>
      <c r="M151" s="80">
        <v>0.4</v>
      </c>
      <c r="N151" s="81">
        <v>50</v>
      </c>
      <c r="O151">
        <v>1.1200000000000001</v>
      </c>
      <c r="P151" s="94">
        <v>1.3449390400000001</v>
      </c>
      <c r="Q151" s="81">
        <f t="shared" si="6"/>
        <v>0.83275149779279223</v>
      </c>
      <c r="R151" s="81">
        <f t="shared" si="7"/>
        <v>10055474.335847966</v>
      </c>
      <c r="S151" s="81">
        <v>7</v>
      </c>
      <c r="T151" s="81">
        <f t="shared" si="8"/>
        <v>1436496.3336925667</v>
      </c>
      <c r="U151" s="81">
        <f>AVERAGE(T149:T151)</f>
        <v>1480116.6502436176</v>
      </c>
      <c r="V151" s="81">
        <f>_xlfn.STDEV.S(T149:T151)</f>
        <v>96890.967670886515</v>
      </c>
      <c r="W151" s="81">
        <f>MAX(K149:K151)-MIN(K149:K151)</f>
        <v>0.17999999999999972</v>
      </c>
    </row>
    <row r="152" spans="1:23" x14ac:dyDescent="0.4">
      <c r="A152" s="85" t="s">
        <v>330</v>
      </c>
      <c r="B152" s="109" t="s">
        <v>109</v>
      </c>
      <c r="C152" s="129" t="s">
        <v>7</v>
      </c>
      <c r="D152" s="129" t="s">
        <v>485</v>
      </c>
      <c r="E152" s="129" t="s">
        <v>485</v>
      </c>
      <c r="F152" s="129" t="s">
        <v>485</v>
      </c>
      <c r="G152" s="129" t="s">
        <v>485</v>
      </c>
      <c r="H152" s="129" t="s">
        <v>485</v>
      </c>
      <c r="I152" s="112">
        <v>5.8</v>
      </c>
      <c r="J152" s="77" t="s">
        <v>132</v>
      </c>
      <c r="K152" s="84">
        <v>18.34</v>
      </c>
      <c r="L152" s="86">
        <v>504000</v>
      </c>
      <c r="M152" s="80">
        <v>0.4</v>
      </c>
      <c r="N152" s="81">
        <v>50</v>
      </c>
      <c r="O152">
        <v>13.11</v>
      </c>
      <c r="P152" s="94">
        <v>6.2053552310000004</v>
      </c>
      <c r="Q152" s="81">
        <f t="shared" si="6"/>
        <v>2.1126912983976434</v>
      </c>
      <c r="R152" s="81">
        <f t="shared" si="7"/>
        <v>133099551.79905154</v>
      </c>
      <c r="S152" s="81">
        <v>7</v>
      </c>
      <c r="T152" s="81">
        <f t="shared" si="8"/>
        <v>19014221.68557879</v>
      </c>
      <c r="U152" s="81"/>
      <c r="V152" s="84"/>
      <c r="W152" s="84"/>
    </row>
    <row r="153" spans="1:23" x14ac:dyDescent="0.4">
      <c r="A153" s="85" t="s">
        <v>331</v>
      </c>
      <c r="B153" s="109" t="s">
        <v>109</v>
      </c>
      <c r="C153" s="129" t="s">
        <v>7</v>
      </c>
      <c r="D153" s="129" t="s">
        <v>485</v>
      </c>
      <c r="E153" s="129" t="s">
        <v>485</v>
      </c>
      <c r="F153" s="129" t="s">
        <v>485</v>
      </c>
      <c r="G153" s="129" t="s">
        <v>485</v>
      </c>
      <c r="H153" s="129" t="s">
        <v>485</v>
      </c>
      <c r="I153" s="112">
        <v>5.8</v>
      </c>
      <c r="J153" s="77" t="s">
        <v>132</v>
      </c>
      <c r="K153" s="84">
        <v>18.350000000000001</v>
      </c>
      <c r="L153" s="86">
        <v>501000</v>
      </c>
      <c r="M153" s="80">
        <v>0.4</v>
      </c>
      <c r="N153" s="81">
        <v>50</v>
      </c>
      <c r="O153">
        <v>13.11</v>
      </c>
      <c r="P153" s="94">
        <v>6.2053552310000004</v>
      </c>
      <c r="Q153" s="81">
        <f t="shared" si="6"/>
        <v>2.1126912983976434</v>
      </c>
      <c r="R153" s="81">
        <f t="shared" si="7"/>
        <v>132307292.5621524</v>
      </c>
      <c r="S153" s="81">
        <v>7</v>
      </c>
      <c r="T153" s="81">
        <f t="shared" si="8"/>
        <v>18901041.7945932</v>
      </c>
      <c r="U153" s="81"/>
      <c r="V153" s="84"/>
      <c r="W153" s="84"/>
    </row>
    <row r="154" spans="1:23" x14ac:dyDescent="0.4">
      <c r="A154" s="85" t="s">
        <v>332</v>
      </c>
      <c r="B154" s="109" t="s">
        <v>109</v>
      </c>
      <c r="C154" s="129" t="s">
        <v>7</v>
      </c>
      <c r="D154" s="129" t="s">
        <v>485</v>
      </c>
      <c r="E154" s="129" t="s">
        <v>485</v>
      </c>
      <c r="F154" s="129" t="s">
        <v>485</v>
      </c>
      <c r="G154" s="129" t="s">
        <v>485</v>
      </c>
      <c r="H154" s="129" t="s">
        <v>485</v>
      </c>
      <c r="I154" s="112">
        <v>5.8</v>
      </c>
      <c r="J154" s="77" t="s">
        <v>132</v>
      </c>
      <c r="K154" s="84">
        <v>18.329999999999998</v>
      </c>
      <c r="L154" s="86">
        <v>506000</v>
      </c>
      <c r="M154" s="80">
        <v>0.4</v>
      </c>
      <c r="N154" s="81">
        <v>50</v>
      </c>
      <c r="O154">
        <v>13.11</v>
      </c>
      <c r="P154" s="94">
        <v>6.2053552310000004</v>
      </c>
      <c r="Q154" s="81">
        <f t="shared" si="6"/>
        <v>2.1126912983976434</v>
      </c>
      <c r="R154" s="81">
        <f t="shared" si="7"/>
        <v>133627724.62365094</v>
      </c>
      <c r="S154" s="81">
        <v>7</v>
      </c>
      <c r="T154" s="81">
        <f t="shared" si="8"/>
        <v>19089674.946235847</v>
      </c>
      <c r="U154" s="81">
        <f>AVERAGE(T152:T154)</f>
        <v>19001646.142135948</v>
      </c>
      <c r="V154" s="81">
        <f>_xlfn.STDEV.S(T152:T154)</f>
        <v>94943.27092702029</v>
      </c>
      <c r="W154" s="81">
        <f>MAX(K152:K154)-MIN(K152:K154)</f>
        <v>2.0000000000003126E-2</v>
      </c>
    </row>
    <row r="155" spans="1:23" x14ac:dyDescent="0.4">
      <c r="A155" s="85" t="s">
        <v>333</v>
      </c>
      <c r="B155" s="109" t="s">
        <v>116</v>
      </c>
      <c r="C155" s="129" t="s">
        <v>4</v>
      </c>
      <c r="D155" s="129" t="s">
        <v>485</v>
      </c>
      <c r="E155" s="129" t="s">
        <v>485</v>
      </c>
      <c r="F155" s="129" t="s">
        <v>484</v>
      </c>
      <c r="G155" s="129" t="s">
        <v>485</v>
      </c>
      <c r="H155" s="129" t="s">
        <v>484</v>
      </c>
      <c r="I155" s="112">
        <v>4.8</v>
      </c>
      <c r="J155" s="77" t="s">
        <v>133</v>
      </c>
      <c r="K155" s="84">
        <v>23.17</v>
      </c>
      <c r="L155" s="86">
        <v>21200</v>
      </c>
      <c r="M155" s="80">
        <v>0.4</v>
      </c>
      <c r="N155" s="81">
        <v>50</v>
      </c>
      <c r="O155">
        <v>14.07</v>
      </c>
      <c r="P155" s="94">
        <v>8.6378710420000004</v>
      </c>
      <c r="Q155" s="81">
        <f t="shared" si="6"/>
        <v>1.6288735883630709</v>
      </c>
      <c r="R155" s="81">
        <f t="shared" si="7"/>
        <v>4316515.0091621373</v>
      </c>
      <c r="S155" s="81">
        <v>7</v>
      </c>
      <c r="T155" s="81">
        <f t="shared" si="8"/>
        <v>616645.00130887679</v>
      </c>
      <c r="U155" s="81"/>
      <c r="V155" s="84"/>
      <c r="W155" s="84"/>
    </row>
    <row r="156" spans="1:23" x14ac:dyDescent="0.4">
      <c r="A156" s="85" t="s">
        <v>334</v>
      </c>
      <c r="B156" s="109" t="s">
        <v>116</v>
      </c>
      <c r="C156" s="129" t="s">
        <v>4</v>
      </c>
      <c r="D156" s="129" t="s">
        <v>485</v>
      </c>
      <c r="E156" s="129" t="s">
        <v>485</v>
      </c>
      <c r="F156" s="129" t="s">
        <v>484</v>
      </c>
      <c r="G156" s="129" t="s">
        <v>485</v>
      </c>
      <c r="H156" s="129" t="s">
        <v>484</v>
      </c>
      <c r="I156" s="112">
        <v>4.8</v>
      </c>
      <c r="J156" s="77" t="s">
        <v>133</v>
      </c>
      <c r="K156" s="84">
        <v>23.25</v>
      </c>
      <c r="L156" s="86">
        <v>20200</v>
      </c>
      <c r="M156" s="80">
        <v>0.4</v>
      </c>
      <c r="N156" s="81">
        <v>50</v>
      </c>
      <c r="O156">
        <v>14.07</v>
      </c>
      <c r="P156" s="94">
        <v>8.6378710420000004</v>
      </c>
      <c r="Q156" s="81">
        <f t="shared" si="6"/>
        <v>1.6288735883630709</v>
      </c>
      <c r="R156" s="81">
        <f t="shared" si="7"/>
        <v>4112905.8106167535</v>
      </c>
      <c r="S156" s="81">
        <v>7</v>
      </c>
      <c r="T156" s="81">
        <f t="shared" si="8"/>
        <v>587557.97294525045</v>
      </c>
      <c r="U156" s="81"/>
      <c r="V156" s="84"/>
      <c r="W156" s="84"/>
    </row>
    <row r="157" spans="1:23" x14ac:dyDescent="0.4">
      <c r="A157" s="85" t="s">
        <v>335</v>
      </c>
      <c r="B157" s="109" t="s">
        <v>116</v>
      </c>
      <c r="C157" s="129" t="s">
        <v>4</v>
      </c>
      <c r="D157" s="129" t="s">
        <v>485</v>
      </c>
      <c r="E157" s="129" t="s">
        <v>485</v>
      </c>
      <c r="F157" s="129" t="s">
        <v>484</v>
      </c>
      <c r="G157" s="129" t="s">
        <v>485</v>
      </c>
      <c r="H157" s="129" t="s">
        <v>484</v>
      </c>
      <c r="I157" s="112">
        <v>4.8</v>
      </c>
      <c r="J157" s="77" t="s">
        <v>133</v>
      </c>
      <c r="K157" s="84">
        <v>23.3</v>
      </c>
      <c r="L157" s="86">
        <v>19600</v>
      </c>
      <c r="M157" s="80">
        <v>0.4</v>
      </c>
      <c r="N157" s="81">
        <v>50</v>
      </c>
      <c r="O157">
        <v>14.07</v>
      </c>
      <c r="P157" s="94">
        <v>8.6378710420000004</v>
      </c>
      <c r="Q157" s="81">
        <f t="shared" si="6"/>
        <v>1.6288735883630709</v>
      </c>
      <c r="R157" s="81">
        <f t="shared" si="7"/>
        <v>3990740.2914895238</v>
      </c>
      <c r="S157" s="81">
        <v>7</v>
      </c>
      <c r="T157" s="81">
        <f t="shared" si="8"/>
        <v>570105.75592707482</v>
      </c>
      <c r="U157" s="81">
        <f>AVERAGE(T155:T157)</f>
        <v>591436.24339373398</v>
      </c>
      <c r="V157" s="81">
        <f>_xlfn.STDEV.S(T155:T157)</f>
        <v>23510.765117932246</v>
      </c>
      <c r="W157" s="81">
        <f>MAX(K155:K157)-MIN(K155:K157)</f>
        <v>0.12999999999999901</v>
      </c>
    </row>
    <row r="158" spans="1:23" x14ac:dyDescent="0.4">
      <c r="A158" s="85" t="s">
        <v>336</v>
      </c>
      <c r="B158" s="109" t="s">
        <v>117</v>
      </c>
      <c r="C158" s="129" t="s">
        <v>5</v>
      </c>
      <c r="D158" s="129" t="s">
        <v>485</v>
      </c>
      <c r="E158" s="129" t="s">
        <v>484</v>
      </c>
      <c r="F158" s="129" t="s">
        <v>484</v>
      </c>
      <c r="G158" s="129" t="s">
        <v>485</v>
      </c>
      <c r="H158" s="129" t="s">
        <v>485</v>
      </c>
      <c r="I158" s="112">
        <v>4.8</v>
      </c>
      <c r="J158" s="77" t="s">
        <v>133</v>
      </c>
      <c r="K158" s="84">
        <v>22.68</v>
      </c>
      <c r="L158" s="86">
        <v>29400</v>
      </c>
      <c r="M158" s="80">
        <v>0.4</v>
      </c>
      <c r="N158" s="81">
        <v>50</v>
      </c>
      <c r="O158">
        <v>5.82</v>
      </c>
      <c r="P158" s="94">
        <v>8.8012572359999997</v>
      </c>
      <c r="Q158" s="81">
        <f t="shared" si="6"/>
        <v>0.66126916234129718</v>
      </c>
      <c r="R158" s="81">
        <f t="shared" si="7"/>
        <v>2430164.1716042669</v>
      </c>
      <c r="S158" s="81">
        <v>7</v>
      </c>
      <c r="T158" s="81">
        <f t="shared" si="8"/>
        <v>347166.31022918096</v>
      </c>
      <c r="U158" s="81"/>
      <c r="V158" s="84"/>
      <c r="W158" s="84"/>
    </row>
    <row r="159" spans="1:23" x14ac:dyDescent="0.4">
      <c r="A159" s="85" t="s">
        <v>337</v>
      </c>
      <c r="B159" s="109" t="s">
        <v>117</v>
      </c>
      <c r="C159" s="129" t="s">
        <v>5</v>
      </c>
      <c r="D159" s="129" t="s">
        <v>485</v>
      </c>
      <c r="E159" s="129" t="s">
        <v>484</v>
      </c>
      <c r="F159" s="129" t="s">
        <v>484</v>
      </c>
      <c r="G159" s="129" t="s">
        <v>485</v>
      </c>
      <c r="H159" s="129" t="s">
        <v>485</v>
      </c>
      <c r="I159" s="112">
        <v>4.8</v>
      </c>
      <c r="J159" s="77" t="s">
        <v>133</v>
      </c>
      <c r="K159" s="84">
        <v>22.74</v>
      </c>
      <c r="L159" s="86">
        <v>28200</v>
      </c>
      <c r="M159" s="80">
        <v>0.4</v>
      </c>
      <c r="N159" s="81">
        <v>50</v>
      </c>
      <c r="O159">
        <v>5.82</v>
      </c>
      <c r="P159" s="94">
        <v>8.8012572359999997</v>
      </c>
      <c r="Q159" s="81">
        <f t="shared" si="6"/>
        <v>0.66126916234129718</v>
      </c>
      <c r="R159" s="81">
        <f t="shared" si="7"/>
        <v>2330973.7972530723</v>
      </c>
      <c r="S159" s="81">
        <v>7</v>
      </c>
      <c r="T159" s="81">
        <f t="shared" si="8"/>
        <v>332996.25675043889</v>
      </c>
      <c r="U159" s="81"/>
      <c r="V159" s="84"/>
      <c r="W159" s="84"/>
    </row>
    <row r="160" spans="1:23" x14ac:dyDescent="0.4">
      <c r="A160" s="85" t="s">
        <v>338</v>
      </c>
      <c r="B160" s="109" t="s">
        <v>117</v>
      </c>
      <c r="C160" s="129" t="s">
        <v>5</v>
      </c>
      <c r="D160" s="129" t="s">
        <v>485</v>
      </c>
      <c r="E160" s="129" t="s">
        <v>484</v>
      </c>
      <c r="F160" s="129" t="s">
        <v>484</v>
      </c>
      <c r="G160" s="129" t="s">
        <v>485</v>
      </c>
      <c r="H160" s="129" t="s">
        <v>485</v>
      </c>
      <c r="I160" s="112">
        <v>4.8</v>
      </c>
      <c r="J160" s="77" t="s">
        <v>133</v>
      </c>
      <c r="K160" s="84">
        <v>22.76</v>
      </c>
      <c r="L160" s="86">
        <v>27800</v>
      </c>
      <c r="M160" s="80">
        <v>0.4</v>
      </c>
      <c r="N160" s="81">
        <v>50</v>
      </c>
      <c r="O160">
        <v>5.82</v>
      </c>
      <c r="P160" s="94">
        <v>8.8012572359999997</v>
      </c>
      <c r="Q160" s="81">
        <f t="shared" si="6"/>
        <v>0.66126916234129718</v>
      </c>
      <c r="R160" s="81">
        <f t="shared" si="7"/>
        <v>2297910.3391360077</v>
      </c>
      <c r="S160" s="81">
        <v>7</v>
      </c>
      <c r="T160" s="81">
        <f t="shared" si="8"/>
        <v>328272.90559085825</v>
      </c>
      <c r="U160" s="81">
        <f>AVERAGE(T158:T160)</f>
        <v>336145.15752349276</v>
      </c>
      <c r="V160" s="81">
        <f>_xlfn.STDEV.S(T158:T160)</f>
        <v>9832.4395124380353</v>
      </c>
      <c r="W160" s="81">
        <f>MAX(K158:K160)-MIN(K158:K160)</f>
        <v>8.0000000000001847E-2</v>
      </c>
    </row>
    <row r="161" spans="1:23" x14ac:dyDescent="0.4">
      <c r="A161" s="85" t="s">
        <v>339</v>
      </c>
      <c r="B161" s="109" t="s">
        <v>118</v>
      </c>
      <c r="C161" s="129" t="s">
        <v>6</v>
      </c>
      <c r="D161" s="129" t="s">
        <v>485</v>
      </c>
      <c r="E161" s="129" t="s">
        <v>485</v>
      </c>
      <c r="F161" s="129" t="s">
        <v>484</v>
      </c>
      <c r="G161" s="129" t="s">
        <v>485</v>
      </c>
      <c r="H161" s="129" t="s">
        <v>485</v>
      </c>
      <c r="I161" s="112">
        <v>4.8</v>
      </c>
      <c r="J161" s="77" t="s">
        <v>133</v>
      </c>
      <c r="K161" s="84">
        <v>24.62</v>
      </c>
      <c r="L161" s="86">
        <v>8220</v>
      </c>
      <c r="M161" s="80">
        <v>0.4</v>
      </c>
      <c r="N161" s="81">
        <v>50</v>
      </c>
      <c r="O161">
        <v>26.22</v>
      </c>
      <c r="P161" s="94">
        <v>7.5380142609999998</v>
      </c>
      <c r="Q161" s="81">
        <f t="shared" si="6"/>
        <v>3.4783696464540292</v>
      </c>
      <c r="R161" s="81">
        <f t="shared" si="7"/>
        <v>3574024.811731515</v>
      </c>
      <c r="S161" s="81">
        <v>7</v>
      </c>
      <c r="T161" s="81">
        <f t="shared" si="8"/>
        <v>510574.97310450213</v>
      </c>
      <c r="U161" s="81"/>
      <c r="V161" s="84"/>
      <c r="W161" s="84"/>
    </row>
    <row r="162" spans="1:23" x14ac:dyDescent="0.4">
      <c r="A162" s="85" t="s">
        <v>340</v>
      </c>
      <c r="B162" s="109" t="s">
        <v>118</v>
      </c>
      <c r="C162" s="129" t="s">
        <v>6</v>
      </c>
      <c r="D162" s="129" t="s">
        <v>485</v>
      </c>
      <c r="E162" s="129" t="s">
        <v>485</v>
      </c>
      <c r="F162" s="129" t="s">
        <v>484</v>
      </c>
      <c r="G162" s="129" t="s">
        <v>485</v>
      </c>
      <c r="H162" s="129" t="s">
        <v>485</v>
      </c>
      <c r="I162" s="112">
        <v>4.8</v>
      </c>
      <c r="J162" s="77" t="s">
        <v>133</v>
      </c>
      <c r="K162" s="84">
        <v>24.82</v>
      </c>
      <c r="L162" s="86">
        <v>7170</v>
      </c>
      <c r="M162" s="80">
        <v>0.4</v>
      </c>
      <c r="N162" s="81">
        <v>50</v>
      </c>
      <c r="O162">
        <v>26.22</v>
      </c>
      <c r="P162" s="94">
        <v>7.5380142609999998</v>
      </c>
      <c r="Q162" s="81">
        <f t="shared" si="6"/>
        <v>3.4783696464540292</v>
      </c>
      <c r="R162" s="81">
        <f t="shared" si="7"/>
        <v>3117488.7956344234</v>
      </c>
      <c r="S162" s="81">
        <v>7</v>
      </c>
      <c r="T162" s="81">
        <f t="shared" si="8"/>
        <v>445355.54223348905</v>
      </c>
      <c r="U162" s="81"/>
      <c r="V162" s="84"/>
      <c r="W162" s="84"/>
    </row>
    <row r="163" spans="1:23" x14ac:dyDescent="0.4">
      <c r="A163" s="85" t="s">
        <v>341</v>
      </c>
      <c r="B163" s="109" t="s">
        <v>118</v>
      </c>
      <c r="C163" s="129" t="s">
        <v>6</v>
      </c>
      <c r="D163" s="129" t="s">
        <v>485</v>
      </c>
      <c r="E163" s="129" t="s">
        <v>485</v>
      </c>
      <c r="F163" s="129" t="s">
        <v>484</v>
      </c>
      <c r="G163" s="129" t="s">
        <v>485</v>
      </c>
      <c r="H163" s="129" t="s">
        <v>485</v>
      </c>
      <c r="I163" s="112">
        <v>4.8</v>
      </c>
      <c r="J163" s="77" t="s">
        <v>133</v>
      </c>
      <c r="K163" s="84">
        <v>24.82</v>
      </c>
      <c r="L163" s="86">
        <v>7180</v>
      </c>
      <c r="M163" s="80">
        <v>0.4</v>
      </c>
      <c r="N163" s="81">
        <v>50</v>
      </c>
      <c r="O163">
        <v>26.22</v>
      </c>
      <c r="P163" s="94">
        <v>7.5380142609999998</v>
      </c>
      <c r="Q163" s="81">
        <f t="shared" si="6"/>
        <v>3.4783696464540292</v>
      </c>
      <c r="R163" s="81">
        <f t="shared" si="7"/>
        <v>3121836.7576924912</v>
      </c>
      <c r="S163" s="81">
        <v>7</v>
      </c>
      <c r="T163" s="81">
        <f t="shared" si="8"/>
        <v>445976.67967035586</v>
      </c>
      <c r="U163" s="81">
        <f>AVERAGE(T161:T163)</f>
        <v>467302.3983361157</v>
      </c>
      <c r="V163" s="81">
        <f>_xlfn.STDEV.S(T161:T163)</f>
        <v>37476.435906354091</v>
      </c>
      <c r="W163" s="81">
        <f>MAX(K161:K163)-MIN(K161:K163)</f>
        <v>0.19999999999999929</v>
      </c>
    </row>
    <row r="164" spans="1:23" x14ac:dyDescent="0.4">
      <c r="A164" s="85" t="s">
        <v>342</v>
      </c>
      <c r="B164" s="109" t="s">
        <v>119</v>
      </c>
      <c r="C164" s="129" t="s">
        <v>7</v>
      </c>
      <c r="D164" s="129" t="s">
        <v>485</v>
      </c>
      <c r="E164" s="129" t="s">
        <v>485</v>
      </c>
      <c r="F164" s="129" t="s">
        <v>485</v>
      </c>
      <c r="G164" s="129" t="s">
        <v>485</v>
      </c>
      <c r="H164" s="129" t="s">
        <v>485</v>
      </c>
      <c r="I164" s="112">
        <v>4.8</v>
      </c>
      <c r="J164" s="77" t="s">
        <v>133</v>
      </c>
      <c r="K164" s="84">
        <v>21.28</v>
      </c>
      <c r="L164" s="86">
        <v>73500</v>
      </c>
      <c r="M164" s="80">
        <v>0.4</v>
      </c>
      <c r="N164" s="81">
        <v>50</v>
      </c>
      <c r="O164">
        <v>27.24</v>
      </c>
      <c r="P164" s="94">
        <v>6.8811463760000002</v>
      </c>
      <c r="Q164" s="81">
        <f t="shared" si="6"/>
        <v>3.9586427190398714</v>
      </c>
      <c r="R164" s="81">
        <f t="shared" si="7"/>
        <v>36370029.981178813</v>
      </c>
      <c r="S164" s="81">
        <v>7</v>
      </c>
      <c r="T164" s="81">
        <f t="shared" si="8"/>
        <v>5195718.5687398305</v>
      </c>
      <c r="U164" s="81"/>
      <c r="V164" s="84"/>
      <c r="W164" s="84"/>
    </row>
    <row r="165" spans="1:23" x14ac:dyDescent="0.4">
      <c r="A165" s="85" t="s">
        <v>343</v>
      </c>
      <c r="B165" s="109" t="s">
        <v>119</v>
      </c>
      <c r="C165" s="129" t="s">
        <v>7</v>
      </c>
      <c r="D165" s="129" t="s">
        <v>485</v>
      </c>
      <c r="E165" s="129" t="s">
        <v>485</v>
      </c>
      <c r="F165" s="129" t="s">
        <v>485</v>
      </c>
      <c r="G165" s="129" t="s">
        <v>485</v>
      </c>
      <c r="H165" s="129" t="s">
        <v>485</v>
      </c>
      <c r="I165" s="112">
        <v>4.8</v>
      </c>
      <c r="J165" s="77" t="s">
        <v>133</v>
      </c>
      <c r="K165" s="84">
        <v>21.45</v>
      </c>
      <c r="L165" s="86">
        <v>65700</v>
      </c>
      <c r="M165" s="80">
        <v>0.4</v>
      </c>
      <c r="N165" s="81">
        <v>50</v>
      </c>
      <c r="O165">
        <v>27.24</v>
      </c>
      <c r="P165" s="94">
        <v>6.8811463760000002</v>
      </c>
      <c r="Q165" s="81">
        <f t="shared" si="6"/>
        <v>3.9586427190398714</v>
      </c>
      <c r="R165" s="81">
        <f t="shared" si="7"/>
        <v>32510353.330114942</v>
      </c>
      <c r="S165" s="81">
        <v>7</v>
      </c>
      <c r="T165" s="81">
        <f t="shared" si="8"/>
        <v>4644336.1900164206</v>
      </c>
      <c r="U165" s="81"/>
      <c r="V165" s="84"/>
      <c r="W165" s="84"/>
    </row>
    <row r="166" spans="1:23" x14ac:dyDescent="0.4">
      <c r="A166" s="85" t="s">
        <v>344</v>
      </c>
      <c r="B166" s="109" t="s">
        <v>119</v>
      </c>
      <c r="C166" s="129" t="s">
        <v>7</v>
      </c>
      <c r="D166" s="129" t="s">
        <v>485</v>
      </c>
      <c r="E166" s="129" t="s">
        <v>485</v>
      </c>
      <c r="F166" s="129" t="s">
        <v>485</v>
      </c>
      <c r="G166" s="129" t="s">
        <v>485</v>
      </c>
      <c r="H166" s="129" t="s">
        <v>485</v>
      </c>
      <c r="I166" s="112">
        <v>4.8</v>
      </c>
      <c r="J166" s="77" t="s">
        <v>133</v>
      </c>
      <c r="K166" s="84">
        <v>21.52</v>
      </c>
      <c r="L166" s="86">
        <v>62600</v>
      </c>
      <c r="M166" s="80">
        <v>0.4</v>
      </c>
      <c r="N166" s="81">
        <v>50</v>
      </c>
      <c r="O166">
        <v>27.24</v>
      </c>
      <c r="P166" s="94">
        <v>6.8811463760000002</v>
      </c>
      <c r="Q166" s="81">
        <f t="shared" si="6"/>
        <v>3.9586427190398714</v>
      </c>
      <c r="R166" s="81">
        <f t="shared" si="7"/>
        <v>30976379.276486993</v>
      </c>
      <c r="S166" s="81">
        <v>7</v>
      </c>
      <c r="T166" s="81">
        <f t="shared" si="8"/>
        <v>4425197.039498142</v>
      </c>
      <c r="U166" s="81">
        <f>AVERAGE(T164:T166)</f>
        <v>4755083.9327514647</v>
      </c>
      <c r="V166" s="81">
        <f>_xlfn.STDEV.S(T164:T166)</f>
        <v>397019.7144310571</v>
      </c>
      <c r="W166" s="81">
        <f>MAX(K164:K166)-MIN(K164:K166)</f>
        <v>0.23999999999999844</v>
      </c>
    </row>
    <row r="167" spans="1:23" x14ac:dyDescent="0.4">
      <c r="A167" s="85" t="s">
        <v>345</v>
      </c>
      <c r="B167" s="109" t="s">
        <v>126</v>
      </c>
      <c r="C167" s="129" t="s">
        <v>4</v>
      </c>
      <c r="D167" s="129" t="s">
        <v>485</v>
      </c>
      <c r="E167" s="129" t="s">
        <v>485</v>
      </c>
      <c r="F167" s="129" t="s">
        <v>484</v>
      </c>
      <c r="G167" s="129" t="s">
        <v>485</v>
      </c>
      <c r="H167" s="129" t="s">
        <v>484</v>
      </c>
      <c r="I167" s="112">
        <v>5.8</v>
      </c>
      <c r="J167" s="77" t="s">
        <v>133</v>
      </c>
      <c r="K167" s="84">
        <v>17.559999999999999</v>
      </c>
      <c r="L167" s="86">
        <v>840000</v>
      </c>
      <c r="M167" s="80">
        <v>0.4</v>
      </c>
      <c r="N167" s="81">
        <v>50</v>
      </c>
      <c r="O167">
        <v>54.4</v>
      </c>
      <c r="P167" s="94">
        <v>8.1022966360000002</v>
      </c>
      <c r="Q167" s="81">
        <f t="shared" si="6"/>
        <v>6.714145685346887</v>
      </c>
      <c r="R167" s="81">
        <f t="shared" si="7"/>
        <v>704985296.96142316</v>
      </c>
      <c r="S167" s="81">
        <v>7</v>
      </c>
      <c r="T167" s="81">
        <f t="shared" si="8"/>
        <v>100712185.28020331</v>
      </c>
      <c r="U167" s="81"/>
      <c r="V167" s="84"/>
      <c r="W167" s="84"/>
    </row>
    <row r="168" spans="1:23" x14ac:dyDescent="0.4">
      <c r="A168" s="85" t="s">
        <v>346</v>
      </c>
      <c r="B168" s="109" t="s">
        <v>126</v>
      </c>
      <c r="C168" s="129" t="s">
        <v>4</v>
      </c>
      <c r="D168" s="129" t="s">
        <v>485</v>
      </c>
      <c r="E168" s="129" t="s">
        <v>485</v>
      </c>
      <c r="F168" s="129" t="s">
        <v>484</v>
      </c>
      <c r="G168" s="129" t="s">
        <v>485</v>
      </c>
      <c r="H168" s="129" t="s">
        <v>484</v>
      </c>
      <c r="I168" s="112">
        <v>5.8</v>
      </c>
      <c r="J168" s="77" t="s">
        <v>133</v>
      </c>
      <c r="K168" s="84">
        <v>17.649999999999999</v>
      </c>
      <c r="L168" s="86">
        <v>790000</v>
      </c>
      <c r="M168" s="80">
        <v>0.4</v>
      </c>
      <c r="N168" s="81">
        <v>50</v>
      </c>
      <c r="O168">
        <v>54.4</v>
      </c>
      <c r="P168" s="94">
        <v>8.1022966360000002</v>
      </c>
      <c r="Q168" s="81">
        <f t="shared" si="6"/>
        <v>6.714145685346887</v>
      </c>
      <c r="R168" s="81">
        <f t="shared" si="7"/>
        <v>663021886.4280051</v>
      </c>
      <c r="S168" s="81">
        <v>7</v>
      </c>
      <c r="T168" s="81">
        <f t="shared" si="8"/>
        <v>94717412.346857876</v>
      </c>
      <c r="U168" s="81"/>
      <c r="V168" s="84"/>
      <c r="W168" s="84"/>
    </row>
    <row r="169" spans="1:23" x14ac:dyDescent="0.4">
      <c r="A169" s="85" t="s">
        <v>347</v>
      </c>
      <c r="B169" s="109" t="s">
        <v>126</v>
      </c>
      <c r="C169" s="129" t="s">
        <v>4</v>
      </c>
      <c r="D169" s="129" t="s">
        <v>485</v>
      </c>
      <c r="E169" s="129" t="s">
        <v>485</v>
      </c>
      <c r="F169" s="129" t="s">
        <v>484</v>
      </c>
      <c r="G169" s="129" t="s">
        <v>485</v>
      </c>
      <c r="H169" s="129" t="s">
        <v>484</v>
      </c>
      <c r="I169" s="112">
        <v>5.8</v>
      </c>
      <c r="J169" s="77" t="s">
        <v>133</v>
      </c>
      <c r="K169" s="84">
        <v>17.61</v>
      </c>
      <c r="L169" s="86">
        <v>810000</v>
      </c>
      <c r="M169" s="80">
        <v>0.4</v>
      </c>
      <c r="N169" s="81">
        <v>50</v>
      </c>
      <c r="O169">
        <v>54.4</v>
      </c>
      <c r="P169" s="94">
        <v>8.1022966360000002</v>
      </c>
      <c r="Q169" s="81">
        <f t="shared" si="6"/>
        <v>6.714145685346887</v>
      </c>
      <c r="R169" s="81">
        <f t="shared" si="7"/>
        <v>679807250.64137232</v>
      </c>
      <c r="S169" s="81">
        <v>7</v>
      </c>
      <c r="T169" s="81">
        <f t="shared" si="8"/>
        <v>97115321.52019605</v>
      </c>
      <c r="U169" s="81">
        <f>AVERAGE(T167:T169)</f>
        <v>97514973.049085736</v>
      </c>
      <c r="V169" s="81">
        <f>_xlfn.STDEV.S(T167:T169)</f>
        <v>3017302.8749200278</v>
      </c>
      <c r="W169" s="81">
        <f>MAX(K167:K169)-MIN(K167:K169)</f>
        <v>8.9999999999999858E-2</v>
      </c>
    </row>
    <row r="170" spans="1:23" x14ac:dyDescent="0.4">
      <c r="A170" s="85" t="s">
        <v>348</v>
      </c>
      <c r="B170" s="109" t="s">
        <v>127</v>
      </c>
      <c r="C170" s="129" t="s">
        <v>5</v>
      </c>
      <c r="D170" s="129" t="s">
        <v>485</v>
      </c>
      <c r="E170" s="129" t="s">
        <v>484</v>
      </c>
      <c r="F170" s="129" t="s">
        <v>484</v>
      </c>
      <c r="G170" s="129" t="s">
        <v>485</v>
      </c>
      <c r="H170" s="129" t="s">
        <v>485</v>
      </c>
      <c r="I170" s="112">
        <v>5.8</v>
      </c>
      <c r="J170" s="77" t="s">
        <v>133</v>
      </c>
      <c r="K170" s="84">
        <v>14.22</v>
      </c>
      <c r="L170" s="86">
        <v>7490000</v>
      </c>
      <c r="M170" s="80">
        <v>0.4</v>
      </c>
      <c r="N170" s="81">
        <v>50</v>
      </c>
      <c r="O170">
        <v>37.869999999999997</v>
      </c>
      <c r="P170" s="94">
        <v>7.7065697359999996</v>
      </c>
      <c r="Q170" s="81">
        <f t="shared" si="6"/>
        <v>4.913989141381073</v>
      </c>
      <c r="R170" s="81">
        <f t="shared" si="7"/>
        <v>4600722333.6180286</v>
      </c>
      <c r="S170" s="81">
        <v>7</v>
      </c>
      <c r="T170" s="81">
        <f t="shared" si="8"/>
        <v>657246047.65971839</v>
      </c>
      <c r="U170" s="81"/>
      <c r="V170" s="84"/>
      <c r="W170" s="84"/>
    </row>
    <row r="171" spans="1:23" x14ac:dyDescent="0.4">
      <c r="A171" s="85" t="s">
        <v>349</v>
      </c>
      <c r="B171" s="109" t="s">
        <v>127</v>
      </c>
      <c r="C171" s="129" t="s">
        <v>5</v>
      </c>
      <c r="D171" s="129" t="s">
        <v>485</v>
      </c>
      <c r="E171" s="129" t="s">
        <v>484</v>
      </c>
      <c r="F171" s="129" t="s">
        <v>484</v>
      </c>
      <c r="G171" s="129" t="s">
        <v>485</v>
      </c>
      <c r="H171" s="129" t="s">
        <v>485</v>
      </c>
      <c r="I171" s="112">
        <v>5.8</v>
      </c>
      <c r="J171" s="77" t="s">
        <v>133</v>
      </c>
      <c r="K171" s="84">
        <v>14.28</v>
      </c>
      <c r="L171" s="86">
        <v>7180000</v>
      </c>
      <c r="M171" s="80">
        <v>0.4</v>
      </c>
      <c r="N171" s="81">
        <v>50</v>
      </c>
      <c r="O171">
        <v>37.869999999999997</v>
      </c>
      <c r="P171" s="94">
        <v>7.7065697359999996</v>
      </c>
      <c r="Q171" s="81">
        <f t="shared" si="6"/>
        <v>4.913989141381073</v>
      </c>
      <c r="R171" s="81">
        <f t="shared" si="7"/>
        <v>4410305254.389513</v>
      </c>
      <c r="S171" s="81">
        <v>7</v>
      </c>
      <c r="T171" s="81">
        <f t="shared" si="8"/>
        <v>630043607.76993048</v>
      </c>
      <c r="U171" s="81"/>
      <c r="V171" s="84"/>
      <c r="W171" s="84"/>
    </row>
    <row r="172" spans="1:23" x14ac:dyDescent="0.4">
      <c r="A172" s="85" t="s">
        <v>350</v>
      </c>
      <c r="B172" s="109" t="s">
        <v>127</v>
      </c>
      <c r="C172" s="129" t="s">
        <v>5</v>
      </c>
      <c r="D172" s="129" t="s">
        <v>485</v>
      </c>
      <c r="E172" s="129" t="s">
        <v>484</v>
      </c>
      <c r="F172" s="129" t="s">
        <v>484</v>
      </c>
      <c r="G172" s="129" t="s">
        <v>485</v>
      </c>
      <c r="H172" s="129" t="s">
        <v>485</v>
      </c>
      <c r="I172" s="112">
        <v>5.8</v>
      </c>
      <c r="J172" s="77" t="s">
        <v>133</v>
      </c>
      <c r="K172" s="84">
        <v>14.32</v>
      </c>
      <c r="L172" s="86">
        <v>6980000</v>
      </c>
      <c r="M172" s="80">
        <v>0.4</v>
      </c>
      <c r="N172" s="81">
        <v>50</v>
      </c>
      <c r="O172">
        <v>37.869999999999997</v>
      </c>
      <c r="P172" s="94">
        <v>7.7065697359999996</v>
      </c>
      <c r="Q172" s="81">
        <f t="shared" si="6"/>
        <v>4.913989141381073</v>
      </c>
      <c r="R172" s="81">
        <f t="shared" si="7"/>
        <v>4287455525.8549862</v>
      </c>
      <c r="S172" s="81">
        <v>7</v>
      </c>
      <c r="T172" s="81">
        <f t="shared" si="8"/>
        <v>612493646.55071235</v>
      </c>
      <c r="U172" s="81">
        <f>AVERAGE(T170:T172)</f>
        <v>633261100.66012037</v>
      </c>
      <c r="V172" s="81">
        <f>_xlfn.STDEV.S(T170:T172)</f>
        <v>22549025.403089121</v>
      </c>
      <c r="W172" s="81">
        <f>MAX(K170:K172)-MIN(K170:K172)</f>
        <v>9.9999999999999645E-2</v>
      </c>
    </row>
    <row r="173" spans="1:23" x14ac:dyDescent="0.4">
      <c r="A173" s="85" t="s">
        <v>351</v>
      </c>
      <c r="B173" s="109" t="s">
        <v>128</v>
      </c>
      <c r="C173" s="129" t="s">
        <v>6</v>
      </c>
      <c r="D173" s="129" t="s">
        <v>485</v>
      </c>
      <c r="E173" s="129" t="s">
        <v>485</v>
      </c>
      <c r="F173" s="129" t="s">
        <v>484</v>
      </c>
      <c r="G173" s="129" t="s">
        <v>485</v>
      </c>
      <c r="H173" s="129" t="s">
        <v>485</v>
      </c>
      <c r="I173" s="112">
        <v>5.8</v>
      </c>
      <c r="J173" s="77" t="s">
        <v>133</v>
      </c>
      <c r="K173" s="84">
        <v>14.99</v>
      </c>
      <c r="L173" s="86">
        <v>4520000</v>
      </c>
      <c r="M173" s="80">
        <v>0.4</v>
      </c>
      <c r="N173" s="81">
        <v>50</v>
      </c>
      <c r="O173">
        <v>33.76</v>
      </c>
      <c r="P173" s="94">
        <v>6.602282143</v>
      </c>
      <c r="Q173" s="81">
        <f t="shared" si="6"/>
        <v>5.113383413308636</v>
      </c>
      <c r="R173" s="81">
        <f t="shared" si="7"/>
        <v>2889061628.5193791</v>
      </c>
      <c r="S173" s="81">
        <v>7</v>
      </c>
      <c r="T173" s="81">
        <f t="shared" si="8"/>
        <v>412723089.78848273</v>
      </c>
      <c r="U173" s="81"/>
      <c r="V173" s="84"/>
      <c r="W173" s="84"/>
    </row>
    <row r="174" spans="1:23" x14ac:dyDescent="0.4">
      <c r="A174" s="85" t="s">
        <v>352</v>
      </c>
      <c r="B174" s="109" t="s">
        <v>128</v>
      </c>
      <c r="C174" s="129" t="s">
        <v>6</v>
      </c>
      <c r="D174" s="129" t="s">
        <v>485</v>
      </c>
      <c r="E174" s="129" t="s">
        <v>485</v>
      </c>
      <c r="F174" s="129" t="s">
        <v>484</v>
      </c>
      <c r="G174" s="129" t="s">
        <v>485</v>
      </c>
      <c r="H174" s="129" t="s">
        <v>485</v>
      </c>
      <c r="I174" s="112">
        <v>5.8</v>
      </c>
      <c r="J174" s="77" t="s">
        <v>133</v>
      </c>
      <c r="K174" s="84">
        <v>15.08</v>
      </c>
      <c r="L174" s="86">
        <v>4240000</v>
      </c>
      <c r="M174" s="80">
        <v>0.4</v>
      </c>
      <c r="N174" s="81">
        <v>50</v>
      </c>
      <c r="O174">
        <v>33.76</v>
      </c>
      <c r="P174" s="94">
        <v>6.602282143</v>
      </c>
      <c r="Q174" s="81">
        <f t="shared" si="6"/>
        <v>5.113383413308636</v>
      </c>
      <c r="R174" s="81">
        <f t="shared" si="7"/>
        <v>2710093209.0535769</v>
      </c>
      <c r="S174" s="81">
        <v>7</v>
      </c>
      <c r="T174" s="81">
        <f t="shared" si="8"/>
        <v>387156172.72193956</v>
      </c>
      <c r="U174" s="81"/>
      <c r="V174" s="84"/>
      <c r="W174" s="84"/>
    </row>
    <row r="175" spans="1:23" x14ac:dyDescent="0.4">
      <c r="A175" s="85" t="s">
        <v>353</v>
      </c>
      <c r="B175" s="109" t="s">
        <v>128</v>
      </c>
      <c r="C175" s="129" t="s">
        <v>6</v>
      </c>
      <c r="D175" s="129" t="s">
        <v>485</v>
      </c>
      <c r="E175" s="129" t="s">
        <v>485</v>
      </c>
      <c r="F175" s="129" t="s">
        <v>484</v>
      </c>
      <c r="G175" s="129" t="s">
        <v>485</v>
      </c>
      <c r="H175" s="129" t="s">
        <v>485</v>
      </c>
      <c r="I175" s="112">
        <v>5.8</v>
      </c>
      <c r="J175" s="77" t="s">
        <v>133</v>
      </c>
      <c r="K175" s="84">
        <v>15.1</v>
      </c>
      <c r="L175" s="86">
        <v>4200000</v>
      </c>
      <c r="M175" s="80">
        <v>0.4</v>
      </c>
      <c r="N175" s="81">
        <v>50</v>
      </c>
      <c r="O175">
        <v>33.76</v>
      </c>
      <c r="P175" s="94">
        <v>6.602282143</v>
      </c>
      <c r="Q175" s="81">
        <f t="shared" si="6"/>
        <v>5.113383413308636</v>
      </c>
      <c r="R175" s="81">
        <f t="shared" si="7"/>
        <v>2684526291.9870338</v>
      </c>
      <c r="S175" s="81">
        <v>7</v>
      </c>
      <c r="T175" s="81">
        <f t="shared" si="8"/>
        <v>383503755.99814767</v>
      </c>
      <c r="U175" s="81">
        <f>AVERAGE(T173:T175)</f>
        <v>394461006.1695233</v>
      </c>
      <c r="V175" s="81">
        <f>_xlfn.STDEV.S(T173:T175)</f>
        <v>15920515.398706721</v>
      </c>
      <c r="W175" s="81">
        <f>MAX(K173:K175)-MIN(K173:K175)</f>
        <v>0.10999999999999943</v>
      </c>
    </row>
    <row r="176" spans="1:23" x14ac:dyDescent="0.4">
      <c r="A176" s="85" t="s">
        <v>354</v>
      </c>
      <c r="B176" s="109" t="s">
        <v>129</v>
      </c>
      <c r="C176" s="129" t="s">
        <v>7</v>
      </c>
      <c r="D176" s="129" t="s">
        <v>485</v>
      </c>
      <c r="E176" s="129" t="s">
        <v>485</v>
      </c>
      <c r="F176" s="129" t="s">
        <v>485</v>
      </c>
      <c r="G176" s="129" t="s">
        <v>485</v>
      </c>
      <c r="H176" s="129" t="s">
        <v>485</v>
      </c>
      <c r="I176" s="112">
        <v>5.8</v>
      </c>
      <c r="J176" s="77" t="s">
        <v>133</v>
      </c>
      <c r="K176" s="84">
        <v>14.61</v>
      </c>
      <c r="L176" s="86">
        <v>5800000</v>
      </c>
      <c r="M176" s="80">
        <v>0.4</v>
      </c>
      <c r="N176" s="81">
        <v>50</v>
      </c>
      <c r="O176">
        <v>18.75</v>
      </c>
      <c r="P176" s="94">
        <v>7.148379727</v>
      </c>
      <c r="Q176" s="81">
        <f t="shared" si="6"/>
        <v>2.6229720182854521</v>
      </c>
      <c r="R176" s="81">
        <f t="shared" si="7"/>
        <v>1901654713.2569528</v>
      </c>
      <c r="S176" s="81">
        <v>7</v>
      </c>
      <c r="T176" s="81">
        <f t="shared" si="8"/>
        <v>271664959.03670752</v>
      </c>
      <c r="U176" s="81"/>
      <c r="V176" s="84"/>
      <c r="W176" s="84"/>
    </row>
    <row r="177" spans="1:23" x14ac:dyDescent="0.4">
      <c r="A177" s="85" t="s">
        <v>355</v>
      </c>
      <c r="B177" s="109" t="s">
        <v>129</v>
      </c>
      <c r="C177" s="129" t="s">
        <v>7</v>
      </c>
      <c r="D177" s="129" t="s">
        <v>485</v>
      </c>
      <c r="E177" s="129" t="s">
        <v>485</v>
      </c>
      <c r="F177" s="129" t="s">
        <v>485</v>
      </c>
      <c r="G177" s="129" t="s">
        <v>485</v>
      </c>
      <c r="H177" s="129" t="s">
        <v>485</v>
      </c>
      <c r="I177" s="112">
        <v>5.8</v>
      </c>
      <c r="J177" s="77" t="s">
        <v>133</v>
      </c>
      <c r="K177" s="84">
        <v>14.64</v>
      </c>
      <c r="L177" s="86">
        <v>5680000</v>
      </c>
      <c r="M177" s="80">
        <v>0.4</v>
      </c>
      <c r="N177" s="81">
        <v>50</v>
      </c>
      <c r="O177">
        <v>18.75</v>
      </c>
      <c r="P177" s="94">
        <v>7.148379727</v>
      </c>
      <c r="Q177" s="81">
        <f t="shared" si="6"/>
        <v>2.6229720182854521</v>
      </c>
      <c r="R177" s="81">
        <f t="shared" si="7"/>
        <v>1862310132.9826708</v>
      </c>
      <c r="S177" s="81">
        <v>7</v>
      </c>
      <c r="T177" s="81">
        <f t="shared" si="8"/>
        <v>266044304.71181011</v>
      </c>
      <c r="U177" s="81"/>
      <c r="V177" s="84"/>
      <c r="W177" s="84"/>
    </row>
    <row r="178" spans="1:23" x14ac:dyDescent="0.4">
      <c r="A178" s="85" t="s">
        <v>356</v>
      </c>
      <c r="B178" s="109" t="s">
        <v>129</v>
      </c>
      <c r="C178" s="129" t="s">
        <v>7</v>
      </c>
      <c r="D178" s="129" t="s">
        <v>485</v>
      </c>
      <c r="E178" s="129" t="s">
        <v>485</v>
      </c>
      <c r="F178" s="129" t="s">
        <v>485</v>
      </c>
      <c r="G178" s="129" t="s">
        <v>485</v>
      </c>
      <c r="H178" s="129" t="s">
        <v>485</v>
      </c>
      <c r="I178" s="112">
        <v>5.8</v>
      </c>
      <c r="J178" s="77" t="s">
        <v>133</v>
      </c>
      <c r="K178" s="84">
        <v>14.67</v>
      </c>
      <c r="L178" s="86">
        <v>5580000</v>
      </c>
      <c r="M178" s="80">
        <v>0.4</v>
      </c>
      <c r="N178" s="81">
        <v>50</v>
      </c>
      <c r="O178">
        <v>18.75</v>
      </c>
      <c r="P178" s="94">
        <v>7.148379727</v>
      </c>
      <c r="Q178" s="81">
        <f t="shared" si="6"/>
        <v>2.6229720182854521</v>
      </c>
      <c r="R178" s="81">
        <f t="shared" si="7"/>
        <v>1829522982.7541029</v>
      </c>
      <c r="S178" s="81">
        <v>7</v>
      </c>
      <c r="T178" s="81">
        <f t="shared" si="8"/>
        <v>261360426.10772899</v>
      </c>
      <c r="U178" s="81">
        <f>AVERAGE(T176:T178)</f>
        <v>266356563.28541553</v>
      </c>
      <c r="V178" s="81">
        <f>_xlfn.STDEV.S(T176:T178)</f>
        <v>5159358.3693801789</v>
      </c>
      <c r="W178" s="81">
        <f>MAX(K176:K178)-MIN(K176:K178)</f>
        <v>6.0000000000000497E-2</v>
      </c>
    </row>
    <row r="179" spans="1:23" x14ac:dyDescent="0.4">
      <c r="A179" s="85" t="s">
        <v>357</v>
      </c>
      <c r="B179" s="109" t="s">
        <v>136</v>
      </c>
      <c r="C179" s="131" t="s">
        <v>480</v>
      </c>
      <c r="D179" s="131"/>
      <c r="E179" s="129"/>
      <c r="F179" s="131"/>
      <c r="G179" s="131"/>
      <c r="H179" s="131"/>
      <c r="I179" s="111" t="s">
        <v>480</v>
      </c>
      <c r="J179" s="77" t="s">
        <v>133</v>
      </c>
      <c r="K179" s="84">
        <v>12.18</v>
      </c>
      <c r="L179" s="86">
        <v>28400000</v>
      </c>
      <c r="M179" s="80">
        <v>0.4</v>
      </c>
      <c r="N179" s="81">
        <v>50</v>
      </c>
      <c r="O179">
        <v>52.24</v>
      </c>
      <c r="P179" s="94">
        <v>6.6045898579999998</v>
      </c>
      <c r="Q179" s="81">
        <f t="shared" si="6"/>
        <v>7.909650882669542</v>
      </c>
      <c r="R179" s="81">
        <f t="shared" si="7"/>
        <v>28079260633.476871</v>
      </c>
      <c r="S179" s="81">
        <v>7</v>
      </c>
      <c r="T179" s="81">
        <f t="shared" si="8"/>
        <v>4011322947.6395531</v>
      </c>
      <c r="U179" s="81"/>
      <c r="V179" s="84"/>
      <c r="W179" s="84"/>
    </row>
    <row r="180" spans="1:23" x14ac:dyDescent="0.4">
      <c r="A180" s="85" t="s">
        <v>358</v>
      </c>
      <c r="B180" s="109" t="s">
        <v>136</v>
      </c>
      <c r="C180" s="131" t="s">
        <v>480</v>
      </c>
      <c r="D180" s="131"/>
      <c r="E180" s="131"/>
      <c r="F180" s="131"/>
      <c r="G180" s="131"/>
      <c r="H180" s="131"/>
      <c r="I180" s="111" t="s">
        <v>480</v>
      </c>
      <c r="J180" s="77" t="s">
        <v>133</v>
      </c>
      <c r="K180" s="84">
        <v>12.47</v>
      </c>
      <c r="L180" s="86">
        <v>23600000</v>
      </c>
      <c r="M180" s="80">
        <v>0.4</v>
      </c>
      <c r="N180" s="81">
        <v>50</v>
      </c>
      <c r="O180">
        <v>52.24</v>
      </c>
      <c r="P180" s="94">
        <v>6.6045898579999998</v>
      </c>
      <c r="Q180" s="81">
        <f t="shared" si="6"/>
        <v>7.909650882669542</v>
      </c>
      <c r="R180" s="81">
        <f t="shared" si="7"/>
        <v>23333470103.875149</v>
      </c>
      <c r="S180" s="81">
        <v>7</v>
      </c>
      <c r="T180" s="81">
        <f t="shared" si="8"/>
        <v>3333352871.9821639</v>
      </c>
      <c r="U180" s="81"/>
      <c r="V180" s="84"/>
      <c r="W180" s="84"/>
    </row>
    <row r="181" spans="1:23" x14ac:dyDescent="0.4">
      <c r="A181" s="85" t="s">
        <v>359</v>
      </c>
      <c r="B181" s="109" t="s">
        <v>136</v>
      </c>
      <c r="C181" s="131" t="s">
        <v>480</v>
      </c>
      <c r="D181" s="131"/>
      <c r="E181" s="131"/>
      <c r="F181" s="131"/>
      <c r="G181" s="131"/>
      <c r="H181" s="131"/>
      <c r="I181" s="111" t="s">
        <v>480</v>
      </c>
      <c r="J181" s="77" t="s">
        <v>133</v>
      </c>
      <c r="K181" s="84">
        <v>12.24</v>
      </c>
      <c r="L181" s="86">
        <v>27400000</v>
      </c>
      <c r="M181" s="80">
        <v>0.4</v>
      </c>
      <c r="N181" s="81">
        <v>50</v>
      </c>
      <c r="O181">
        <v>52.24</v>
      </c>
      <c r="P181" s="94">
        <v>6.6045898579999998</v>
      </c>
      <c r="Q181" s="81">
        <f t="shared" si="6"/>
        <v>7.909650882669542</v>
      </c>
      <c r="R181" s="81">
        <f t="shared" si="7"/>
        <v>27090554273.143181</v>
      </c>
      <c r="S181" s="81">
        <v>7</v>
      </c>
      <c r="T181" s="81">
        <f t="shared" si="8"/>
        <v>3870079181.8775973</v>
      </c>
      <c r="U181" s="81">
        <f>AVERAGE(T179:T181)</f>
        <v>3738251667.1664386</v>
      </c>
      <c r="V181" s="81">
        <f>_xlfn.STDEV.S(T179:T181)</f>
        <v>357693620.43222433</v>
      </c>
      <c r="W181" s="81">
        <f>MAX(K179:K181)-MIN(K179:K181)</f>
        <v>0.29000000000000092</v>
      </c>
    </row>
    <row r="182" spans="1:23" x14ac:dyDescent="0.4">
      <c r="A182" s="85" t="s">
        <v>360</v>
      </c>
      <c r="B182" s="109" t="s">
        <v>136</v>
      </c>
      <c r="C182" s="131" t="s">
        <v>480</v>
      </c>
      <c r="D182" s="131"/>
      <c r="E182" s="131"/>
      <c r="F182" s="131"/>
      <c r="G182" s="131"/>
      <c r="H182" s="131"/>
      <c r="I182" s="111" t="s">
        <v>480</v>
      </c>
      <c r="J182" s="77" t="s">
        <v>133</v>
      </c>
      <c r="K182" s="84">
        <v>12.48</v>
      </c>
      <c r="L182" s="86">
        <v>23400000</v>
      </c>
      <c r="M182" s="80">
        <v>0.4</v>
      </c>
      <c r="N182" s="81">
        <v>50</v>
      </c>
      <c r="O182">
        <v>43.38</v>
      </c>
      <c r="P182" s="94">
        <v>5.7012580530000001</v>
      </c>
      <c r="Q182" s="81">
        <f t="shared" si="6"/>
        <v>7.6088469591678036</v>
      </c>
      <c r="R182" s="81">
        <f t="shared" si="7"/>
        <v>22255877355.565823</v>
      </c>
      <c r="S182" s="81">
        <v>7</v>
      </c>
      <c r="T182" s="81">
        <f t="shared" si="8"/>
        <v>3179411050.7951174</v>
      </c>
      <c r="U182" s="81"/>
      <c r="V182" s="84"/>
      <c r="W182" s="84"/>
    </row>
    <row r="183" spans="1:23" x14ac:dyDescent="0.4">
      <c r="A183" s="85" t="s">
        <v>361</v>
      </c>
      <c r="B183" s="109" t="s">
        <v>136</v>
      </c>
      <c r="C183" s="131" t="s">
        <v>480</v>
      </c>
      <c r="D183" s="131"/>
      <c r="E183" s="131"/>
      <c r="F183" s="131"/>
      <c r="G183" s="131"/>
      <c r="H183" s="131"/>
      <c r="I183" s="111" t="s">
        <v>480</v>
      </c>
      <c r="J183" s="77" t="s">
        <v>133</v>
      </c>
      <c r="K183" s="84">
        <v>12.5</v>
      </c>
      <c r="L183" s="86">
        <v>23000000</v>
      </c>
      <c r="M183" s="80">
        <v>0.4</v>
      </c>
      <c r="N183" s="81">
        <v>50</v>
      </c>
      <c r="O183">
        <v>43.38</v>
      </c>
      <c r="P183" s="94">
        <v>5.7012580530000001</v>
      </c>
      <c r="Q183" s="81">
        <f t="shared" si="6"/>
        <v>7.6088469591678036</v>
      </c>
      <c r="R183" s="81">
        <f t="shared" si="7"/>
        <v>21875435007.607433</v>
      </c>
      <c r="S183" s="81">
        <v>7</v>
      </c>
      <c r="T183" s="81">
        <f t="shared" si="8"/>
        <v>3125062143.9439192</v>
      </c>
      <c r="U183" s="81"/>
      <c r="V183" s="84"/>
      <c r="W183" s="84"/>
    </row>
    <row r="184" spans="1:23" x14ac:dyDescent="0.4">
      <c r="A184" s="85" t="s">
        <v>362</v>
      </c>
      <c r="B184" s="109" t="s">
        <v>136</v>
      </c>
      <c r="C184" s="131" t="s">
        <v>480</v>
      </c>
      <c r="D184" s="131"/>
      <c r="E184" s="131"/>
      <c r="F184" s="131"/>
      <c r="G184" s="131"/>
      <c r="H184" s="131"/>
      <c r="I184" s="111" t="s">
        <v>480</v>
      </c>
      <c r="J184" s="77" t="s">
        <v>133</v>
      </c>
      <c r="K184" s="84">
        <v>12.53</v>
      </c>
      <c r="L184" s="86">
        <v>22600000</v>
      </c>
      <c r="M184" s="80">
        <v>0.4</v>
      </c>
      <c r="N184" s="81">
        <v>50</v>
      </c>
      <c r="O184">
        <v>43.38</v>
      </c>
      <c r="P184" s="94">
        <v>5.7012580530000001</v>
      </c>
      <c r="Q184" s="81">
        <f t="shared" si="6"/>
        <v>7.6088469591678036</v>
      </c>
      <c r="R184" s="81">
        <f t="shared" si="7"/>
        <v>21494992659.64904</v>
      </c>
      <c r="S184" s="81">
        <v>7</v>
      </c>
      <c r="T184" s="81">
        <f t="shared" si="8"/>
        <v>3070713237.09272</v>
      </c>
      <c r="U184" s="81">
        <f>AVERAGE(T182:T184)</f>
        <v>3125062143.9439187</v>
      </c>
      <c r="V184" s="81">
        <f>_xlfn.STDEV.S(T182:T184)</f>
        <v>54348906.851198673</v>
      </c>
      <c r="W184" s="81">
        <f>MAX(K182:K184)-MIN(K182:K184)</f>
        <v>4.9999999999998934E-2</v>
      </c>
    </row>
    <row r="185" spans="1:23" x14ac:dyDescent="0.4">
      <c r="A185" s="85" t="s">
        <v>363</v>
      </c>
      <c r="B185" s="109" t="s">
        <v>137</v>
      </c>
      <c r="C185" s="131" t="s">
        <v>182</v>
      </c>
      <c r="D185" s="131"/>
      <c r="E185" s="131"/>
      <c r="F185" s="131"/>
      <c r="G185" s="131"/>
      <c r="H185" s="131"/>
      <c r="I185" s="112"/>
      <c r="J185" s="77"/>
      <c r="K185" s="84">
        <v>24.53</v>
      </c>
      <c r="L185" s="86">
        <v>8730</v>
      </c>
      <c r="M185" s="80">
        <v>0.4</v>
      </c>
      <c r="N185" s="81">
        <v>50</v>
      </c>
      <c r="O185">
        <v>-0.88</v>
      </c>
      <c r="P185" s="94">
        <v>-0.25910722800000002</v>
      </c>
      <c r="Q185" s="81">
        <f t="shared" si="6"/>
        <v>3.3962773126498806</v>
      </c>
      <c r="R185" s="81">
        <f t="shared" si="7"/>
        <v>3706187.6174291819</v>
      </c>
      <c r="S185" s="81">
        <v>7</v>
      </c>
      <c r="T185" s="81">
        <f t="shared" si="8"/>
        <v>529455.37391845451</v>
      </c>
      <c r="U185" s="81"/>
      <c r="V185" s="84"/>
      <c r="W185" s="84"/>
    </row>
    <row r="186" spans="1:23" x14ac:dyDescent="0.4">
      <c r="A186" s="85" t="s">
        <v>364</v>
      </c>
      <c r="B186" s="109" t="s">
        <v>137</v>
      </c>
      <c r="C186" s="131" t="s">
        <v>182</v>
      </c>
      <c r="D186" s="131"/>
      <c r="E186" s="131"/>
      <c r="F186" s="131"/>
      <c r="G186" s="131"/>
      <c r="H186" s="131"/>
      <c r="I186" s="112"/>
      <c r="J186" s="77"/>
      <c r="K186" s="84">
        <v>24.47</v>
      </c>
      <c r="L186" s="86">
        <v>9070</v>
      </c>
      <c r="M186" s="80">
        <v>0.4</v>
      </c>
      <c r="N186" s="81">
        <v>50</v>
      </c>
      <c r="O186">
        <v>-0.88</v>
      </c>
      <c r="P186" s="94">
        <v>-0.25910722800000002</v>
      </c>
      <c r="Q186" s="81">
        <f t="shared" si="6"/>
        <v>3.3962773126498806</v>
      </c>
      <c r="R186" s="81">
        <f t="shared" si="7"/>
        <v>3850529.403216802</v>
      </c>
      <c r="S186" s="81">
        <v>7</v>
      </c>
      <c r="T186" s="81">
        <f t="shared" si="8"/>
        <v>550075.62903097167</v>
      </c>
      <c r="U186" s="81"/>
      <c r="V186" s="84"/>
      <c r="W186" s="84"/>
    </row>
    <row r="187" spans="1:23" x14ac:dyDescent="0.4">
      <c r="A187" s="85" t="s">
        <v>365</v>
      </c>
      <c r="B187" s="109" t="s">
        <v>137</v>
      </c>
      <c r="C187" s="131" t="s">
        <v>182</v>
      </c>
      <c r="D187" s="131"/>
      <c r="E187" s="131"/>
      <c r="F187" s="131"/>
      <c r="G187" s="131"/>
      <c r="H187" s="131"/>
      <c r="I187" s="112"/>
      <c r="J187" s="77"/>
      <c r="K187" s="84">
        <v>24.55</v>
      </c>
      <c r="L187" s="86">
        <v>8620</v>
      </c>
      <c r="M187" s="80">
        <v>0.4</v>
      </c>
      <c r="N187" s="81">
        <v>50</v>
      </c>
      <c r="O187">
        <v>-0.88</v>
      </c>
      <c r="P187" s="94">
        <v>-0.25910722800000002</v>
      </c>
      <c r="Q187" s="81">
        <f t="shared" si="6"/>
        <v>3.3962773126498806</v>
      </c>
      <c r="R187" s="81">
        <f t="shared" si="7"/>
        <v>3659488.8043802464</v>
      </c>
      <c r="S187" s="81">
        <v>7</v>
      </c>
      <c r="T187" s="81">
        <f t="shared" si="8"/>
        <v>522784.11491146375</v>
      </c>
      <c r="U187" s="81">
        <f>AVERAGE(T185:T187)</f>
        <v>534105.03928696329</v>
      </c>
      <c r="V187" s="81">
        <f>_xlfn.STDEV.S(T185:T187)</f>
        <v>14227.481392121292</v>
      </c>
      <c r="W187" s="81">
        <f>MAX(K185:K187)-MIN(K185:K187)</f>
        <v>8.0000000000001847E-2</v>
      </c>
    </row>
    <row r="188" spans="1:23" x14ac:dyDescent="0.4">
      <c r="A188" s="85" t="s">
        <v>366</v>
      </c>
      <c r="B188" s="109" t="s">
        <v>137</v>
      </c>
      <c r="C188" s="131" t="s">
        <v>182</v>
      </c>
      <c r="D188" s="131"/>
      <c r="E188" s="131"/>
      <c r="F188" s="131"/>
      <c r="G188" s="131"/>
      <c r="H188" s="131"/>
      <c r="I188" s="112"/>
      <c r="J188" s="77"/>
      <c r="K188" s="84">
        <v>23.94</v>
      </c>
      <c r="L188" s="86">
        <v>12800</v>
      </c>
      <c r="M188" s="80">
        <v>0.4</v>
      </c>
      <c r="N188" s="81">
        <v>50</v>
      </c>
      <c r="O188">
        <v>-0.92</v>
      </c>
      <c r="P188" s="94">
        <v>-0.25523026700000001</v>
      </c>
      <c r="Q188" s="81">
        <f t="shared" si="6"/>
        <v>3.604588165869842</v>
      </c>
      <c r="R188" s="81">
        <f t="shared" si="7"/>
        <v>5767341.0653917463</v>
      </c>
      <c r="S188" s="81">
        <v>7</v>
      </c>
      <c r="T188" s="81">
        <f t="shared" si="8"/>
        <v>823905.86648453516</v>
      </c>
      <c r="U188" s="81"/>
      <c r="V188" s="84"/>
      <c r="W188" s="84"/>
    </row>
    <row r="189" spans="1:23" x14ac:dyDescent="0.4">
      <c r="A189" s="85" t="s">
        <v>367</v>
      </c>
      <c r="B189" s="109" t="s">
        <v>137</v>
      </c>
      <c r="C189" s="131" t="s">
        <v>182</v>
      </c>
      <c r="D189" s="131"/>
      <c r="E189" s="131"/>
      <c r="F189" s="131"/>
      <c r="G189" s="131"/>
      <c r="H189" s="131"/>
      <c r="I189" s="112"/>
      <c r="J189" s="77"/>
      <c r="K189" s="84">
        <v>24.45</v>
      </c>
      <c r="L189" s="86">
        <v>9150</v>
      </c>
      <c r="M189" s="80">
        <v>0.4</v>
      </c>
      <c r="N189" s="81">
        <v>50</v>
      </c>
      <c r="O189">
        <v>-0.92</v>
      </c>
      <c r="P189" s="94">
        <v>-0.25523026700000001</v>
      </c>
      <c r="Q189" s="81">
        <f t="shared" si="6"/>
        <v>3.604588165869842</v>
      </c>
      <c r="R189" s="81">
        <f t="shared" si="7"/>
        <v>4122747.7147136317</v>
      </c>
      <c r="S189" s="81">
        <v>7</v>
      </c>
      <c r="T189" s="81">
        <f t="shared" si="8"/>
        <v>588963.95924480457</v>
      </c>
      <c r="U189" s="81"/>
      <c r="V189" s="84"/>
      <c r="W189" s="84"/>
    </row>
    <row r="190" spans="1:23" x14ac:dyDescent="0.4">
      <c r="A190" s="85" t="s">
        <v>368</v>
      </c>
      <c r="B190" s="109" t="s">
        <v>137</v>
      </c>
      <c r="C190" s="131" t="s">
        <v>182</v>
      </c>
      <c r="D190" s="131"/>
      <c r="E190" s="131"/>
      <c r="F190" s="131"/>
      <c r="G190" s="131"/>
      <c r="H190" s="131"/>
      <c r="I190" s="112"/>
      <c r="J190" s="77"/>
      <c r="K190" s="84">
        <v>23.87</v>
      </c>
      <c r="L190" s="86">
        <v>13400</v>
      </c>
      <c r="M190" s="80">
        <v>0.4</v>
      </c>
      <c r="N190" s="81">
        <v>50</v>
      </c>
      <c r="O190">
        <v>-0.92</v>
      </c>
      <c r="P190" s="94">
        <v>-0.25523026700000001</v>
      </c>
      <c r="Q190" s="81">
        <f t="shared" si="6"/>
        <v>3.604588165869842</v>
      </c>
      <c r="R190" s="81">
        <f t="shared" si="7"/>
        <v>6037685.1778319851</v>
      </c>
      <c r="S190" s="81">
        <v>7</v>
      </c>
      <c r="T190" s="81">
        <f t="shared" si="8"/>
        <v>862526.45397599787</v>
      </c>
      <c r="U190" s="81">
        <f>AVERAGE(T188:T190)</f>
        <v>758465.42656844587</v>
      </c>
      <c r="V190" s="81">
        <f>_xlfn.STDEV.S(T188:T190)</f>
        <v>148057.24573014621</v>
      </c>
      <c r="W190" s="81">
        <f>MAX(K188:K190)-MIN(K188:K190)</f>
        <v>0.57999999999999829</v>
      </c>
    </row>
    <row r="191" spans="1:23" x14ac:dyDescent="0.4">
      <c r="A191" s="85" t="s">
        <v>369</v>
      </c>
      <c r="B191" s="109" t="s">
        <v>145</v>
      </c>
      <c r="C191" s="131" t="s">
        <v>185</v>
      </c>
      <c r="D191" s="131"/>
      <c r="E191" s="131"/>
      <c r="F191" s="131"/>
      <c r="G191" s="131"/>
      <c r="H191" s="131"/>
      <c r="I191" s="112"/>
      <c r="J191" s="77"/>
      <c r="K191" s="84">
        <v>35</v>
      </c>
      <c r="L191" s="86">
        <v>3.22</v>
      </c>
      <c r="M191" s="80"/>
      <c r="N191" s="81"/>
      <c r="O191" s="84"/>
      <c r="P191" s="84"/>
      <c r="Q191" s="81" t="e">
        <f t="shared" si="6"/>
        <v>#DIV/0!</v>
      </c>
      <c r="R191" s="81" t="e">
        <f t="shared" si="7"/>
        <v>#DIV/0!</v>
      </c>
      <c r="S191" s="81">
        <v>7</v>
      </c>
      <c r="T191" s="81" t="e">
        <f t="shared" si="8"/>
        <v>#DIV/0!</v>
      </c>
      <c r="U191" s="81"/>
      <c r="V191" s="84"/>
      <c r="W191" s="84"/>
    </row>
    <row r="192" spans="1:23" x14ac:dyDescent="0.4">
      <c r="A192" s="85" t="s">
        <v>370</v>
      </c>
      <c r="B192" s="109" t="s">
        <v>145</v>
      </c>
      <c r="C192" s="131" t="s">
        <v>185</v>
      </c>
      <c r="D192" s="131"/>
      <c r="E192" s="131"/>
      <c r="F192" s="131"/>
      <c r="G192" s="131"/>
      <c r="H192" s="131"/>
      <c r="I192" s="112"/>
      <c r="J192" s="77"/>
      <c r="K192" s="84">
        <v>35</v>
      </c>
      <c r="L192" s="86">
        <v>3.22</v>
      </c>
      <c r="M192" s="80"/>
      <c r="N192" s="81"/>
      <c r="O192" s="84"/>
      <c r="P192" s="84"/>
      <c r="Q192" s="81" t="e">
        <f t="shared" si="6"/>
        <v>#DIV/0!</v>
      </c>
      <c r="R192" s="81" t="e">
        <f t="shared" si="7"/>
        <v>#DIV/0!</v>
      </c>
      <c r="S192" s="81">
        <v>7</v>
      </c>
      <c r="T192" s="81" t="e">
        <f t="shared" si="8"/>
        <v>#DIV/0!</v>
      </c>
      <c r="U192" s="81"/>
      <c r="V192" s="84"/>
      <c r="W192" s="84"/>
    </row>
    <row r="193" spans="1:23" x14ac:dyDescent="0.4">
      <c r="A193" s="85" t="s">
        <v>371</v>
      </c>
      <c r="B193" s="109" t="s">
        <v>145</v>
      </c>
      <c r="C193" s="131" t="s">
        <v>185</v>
      </c>
      <c r="D193" s="131"/>
      <c r="E193" s="131"/>
      <c r="F193" s="131"/>
      <c r="G193" s="131"/>
      <c r="H193" s="131"/>
      <c r="I193" s="112"/>
      <c r="J193" s="77"/>
      <c r="K193" s="84">
        <v>35</v>
      </c>
      <c r="L193" s="86">
        <v>3.22</v>
      </c>
      <c r="M193" s="80"/>
      <c r="N193" s="81"/>
      <c r="O193" s="84"/>
      <c r="P193" s="84"/>
      <c r="Q193" s="81" t="e">
        <f t="shared" si="6"/>
        <v>#DIV/0!</v>
      </c>
      <c r="R193" s="81" t="e">
        <f t="shared" si="7"/>
        <v>#DIV/0!</v>
      </c>
      <c r="S193" s="81">
        <v>7</v>
      </c>
      <c r="T193" s="81" t="e">
        <f t="shared" si="8"/>
        <v>#DIV/0!</v>
      </c>
      <c r="U193" s="81" t="e">
        <f>AVERAGE(T191:T193)</f>
        <v>#DIV/0!</v>
      </c>
      <c r="V193" s="81" t="e">
        <f>_xlfn.STDEV.S(T191:T193)</f>
        <v>#DIV/0!</v>
      </c>
      <c r="W193" s="81">
        <f>MAX(K191:K193)-MIN(K191:K193)</f>
        <v>0</v>
      </c>
    </row>
    <row r="194" spans="1:23" x14ac:dyDescent="0.4">
      <c r="A194" s="85" t="s">
        <v>372</v>
      </c>
      <c r="B194" s="109" t="s">
        <v>146</v>
      </c>
      <c r="C194" s="131" t="s">
        <v>177</v>
      </c>
      <c r="D194" s="131"/>
      <c r="E194" s="131"/>
      <c r="F194" s="131"/>
      <c r="G194" s="131"/>
      <c r="H194" s="131"/>
      <c r="I194" s="112"/>
      <c r="J194" s="77"/>
      <c r="K194" s="84">
        <v>13.8</v>
      </c>
      <c r="L194" s="86">
        <v>9820000</v>
      </c>
      <c r="M194" s="80"/>
      <c r="N194" s="81"/>
      <c r="O194" s="84"/>
      <c r="P194" s="84"/>
      <c r="Q194" s="81" t="e">
        <f t="shared" si="6"/>
        <v>#DIV/0!</v>
      </c>
      <c r="R194" s="81" t="e">
        <f t="shared" si="7"/>
        <v>#DIV/0!</v>
      </c>
      <c r="S194" s="81">
        <v>7</v>
      </c>
      <c r="T194" s="81" t="e">
        <f t="shared" si="8"/>
        <v>#DIV/0!</v>
      </c>
      <c r="U194" s="81"/>
      <c r="V194" s="84"/>
      <c r="W194" s="84"/>
    </row>
    <row r="195" spans="1:23" x14ac:dyDescent="0.4">
      <c r="A195" s="85" t="s">
        <v>373</v>
      </c>
      <c r="B195" s="109" t="s">
        <v>146</v>
      </c>
      <c r="C195" s="131" t="s">
        <v>177</v>
      </c>
      <c r="D195" s="131"/>
      <c r="E195" s="131"/>
      <c r="F195" s="131"/>
      <c r="G195" s="131"/>
      <c r="H195" s="131"/>
      <c r="I195" s="112"/>
      <c r="J195" s="77"/>
      <c r="K195" s="84">
        <v>13.7</v>
      </c>
      <c r="L195" s="86">
        <v>10500000</v>
      </c>
      <c r="M195" s="80"/>
      <c r="N195" s="81"/>
      <c r="O195" s="84"/>
      <c r="P195" s="84"/>
      <c r="Q195" s="81" t="e">
        <f t="shared" si="6"/>
        <v>#DIV/0!</v>
      </c>
      <c r="R195" s="81" t="e">
        <f t="shared" si="7"/>
        <v>#DIV/0!</v>
      </c>
      <c r="S195" s="81">
        <v>7</v>
      </c>
      <c r="T195" s="81" t="e">
        <f t="shared" si="8"/>
        <v>#DIV/0!</v>
      </c>
      <c r="U195" s="81"/>
      <c r="V195" s="84"/>
      <c r="W195" s="84"/>
    </row>
    <row r="196" spans="1:23" x14ac:dyDescent="0.4">
      <c r="A196" s="85" t="s">
        <v>374</v>
      </c>
      <c r="B196" s="109" t="s">
        <v>146</v>
      </c>
      <c r="C196" s="131" t="s">
        <v>177</v>
      </c>
      <c r="D196" s="131"/>
      <c r="E196" s="131"/>
      <c r="F196" s="131"/>
      <c r="G196" s="131"/>
      <c r="H196" s="131"/>
      <c r="I196" s="112"/>
      <c r="J196" s="77"/>
      <c r="K196" s="84">
        <v>13.72</v>
      </c>
      <c r="L196" s="86">
        <v>10400000</v>
      </c>
      <c r="M196" s="80"/>
      <c r="N196" s="81"/>
      <c r="O196" s="84"/>
      <c r="P196" s="84"/>
      <c r="Q196" s="81" t="e">
        <f t="shared" si="6"/>
        <v>#DIV/0!</v>
      </c>
      <c r="R196" s="81" t="e">
        <f t="shared" si="7"/>
        <v>#DIV/0!</v>
      </c>
      <c r="S196" s="81">
        <v>7</v>
      </c>
      <c r="T196" s="81" t="e">
        <f t="shared" si="8"/>
        <v>#DIV/0!</v>
      </c>
      <c r="U196" s="81" t="e">
        <f>AVERAGE(T194:T196)</f>
        <v>#DIV/0!</v>
      </c>
      <c r="V196" s="81" t="e">
        <f>_xlfn.STDEV.S(T194:T196)</f>
        <v>#DIV/0!</v>
      </c>
      <c r="W196" s="81">
        <f>MAX(K194:K196)-MIN(K194:K196)</f>
        <v>0.10000000000000142</v>
      </c>
    </row>
    <row r="197" spans="1:23" x14ac:dyDescent="0.4">
      <c r="A197" s="85" t="s">
        <v>375</v>
      </c>
      <c r="B197" s="109" t="s">
        <v>174</v>
      </c>
      <c r="C197" s="133"/>
      <c r="D197" s="133"/>
      <c r="E197" s="133"/>
      <c r="F197" s="133"/>
      <c r="G197" s="133"/>
      <c r="H197" s="133"/>
      <c r="I197" s="112"/>
      <c r="J197" s="77"/>
      <c r="K197" s="84"/>
      <c r="L197" s="84"/>
      <c r="M197" s="80"/>
      <c r="N197" s="84"/>
      <c r="O197" s="84"/>
      <c r="P197" s="84"/>
      <c r="Q197" s="81" t="e">
        <f t="shared" si="6"/>
        <v>#DIV/0!</v>
      </c>
      <c r="R197" s="81" t="e">
        <f t="shared" si="7"/>
        <v>#DIV/0!</v>
      </c>
      <c r="S197" s="81">
        <v>7</v>
      </c>
      <c r="T197" s="81" t="e">
        <f t="shared" si="8"/>
        <v>#DIV/0!</v>
      </c>
      <c r="U197" s="81"/>
      <c r="V197" s="84"/>
      <c r="W197" s="84"/>
    </row>
    <row r="198" spans="1:23" x14ac:dyDescent="0.4">
      <c r="A198" s="85" t="s">
        <v>376</v>
      </c>
      <c r="B198" s="109" t="s">
        <v>174</v>
      </c>
      <c r="C198" s="133"/>
      <c r="D198" s="133"/>
      <c r="E198" s="133"/>
      <c r="F198" s="133"/>
      <c r="G198" s="133"/>
      <c r="H198" s="133"/>
      <c r="I198" s="112"/>
      <c r="J198" s="77"/>
      <c r="K198" s="84"/>
      <c r="L198" s="84"/>
      <c r="M198" s="80"/>
      <c r="N198" s="84"/>
      <c r="O198" s="84"/>
      <c r="P198" s="84"/>
      <c r="Q198" s="81" t="e">
        <f t="shared" si="6"/>
        <v>#DIV/0!</v>
      </c>
      <c r="R198" s="81" t="e">
        <f t="shared" si="7"/>
        <v>#DIV/0!</v>
      </c>
      <c r="S198" s="81">
        <v>7</v>
      </c>
      <c r="T198" s="81" t="e">
        <f t="shared" si="8"/>
        <v>#DIV/0!</v>
      </c>
      <c r="U198" s="81"/>
      <c r="V198" s="84"/>
      <c r="W198" s="84"/>
    </row>
    <row r="199" spans="1:23" x14ac:dyDescent="0.4">
      <c r="A199" s="85" t="s">
        <v>377</v>
      </c>
      <c r="B199" s="109" t="s">
        <v>174</v>
      </c>
      <c r="C199" s="133"/>
      <c r="D199" s="133"/>
      <c r="E199" s="133"/>
      <c r="F199" s="133"/>
      <c r="G199" s="133"/>
      <c r="H199" s="133"/>
      <c r="I199" s="112"/>
      <c r="J199" s="77"/>
      <c r="K199" s="84"/>
      <c r="L199" s="84"/>
      <c r="M199" s="80"/>
      <c r="N199" s="84"/>
      <c r="O199" s="84"/>
      <c r="P199" s="84"/>
      <c r="Q199" s="81" t="e">
        <f t="shared" si="6"/>
        <v>#DIV/0!</v>
      </c>
      <c r="R199" s="81" t="e">
        <f t="shared" si="7"/>
        <v>#DIV/0!</v>
      </c>
      <c r="S199" s="81">
        <v>7</v>
      </c>
      <c r="T199" s="81" t="e">
        <f t="shared" si="8"/>
        <v>#DIV/0!</v>
      </c>
      <c r="U199" s="81" t="e">
        <f>AVERAGE(T197:T199)</f>
        <v>#DIV/0!</v>
      </c>
      <c r="V199" s="81" t="e">
        <f>_xlfn.STDEV.S(T197:T199)</f>
        <v>#DIV/0!</v>
      </c>
      <c r="W199" s="81">
        <f>MAX(K197:K199)-MIN(K197:K199)</f>
        <v>0</v>
      </c>
    </row>
    <row r="200" spans="1:23" x14ac:dyDescent="0.4">
      <c r="A200" s="85" t="s">
        <v>378</v>
      </c>
      <c r="B200" s="109" t="s">
        <v>174</v>
      </c>
      <c r="C200" s="133"/>
      <c r="D200" s="133"/>
      <c r="E200" s="133"/>
      <c r="F200" s="133"/>
      <c r="G200" s="133"/>
      <c r="H200" s="133"/>
      <c r="I200" s="112"/>
      <c r="J200" s="77"/>
      <c r="K200" s="84"/>
      <c r="L200" s="84"/>
      <c r="M200" s="80"/>
      <c r="N200" s="84"/>
      <c r="O200" s="84"/>
      <c r="P200" s="84"/>
      <c r="Q200" s="81" t="e">
        <f t="shared" si="6"/>
        <v>#DIV/0!</v>
      </c>
      <c r="R200" s="81" t="e">
        <f t="shared" si="7"/>
        <v>#DIV/0!</v>
      </c>
      <c r="S200" s="81">
        <v>7</v>
      </c>
      <c r="T200" s="81" t="e">
        <f t="shared" si="8"/>
        <v>#DIV/0!</v>
      </c>
      <c r="U200" s="81"/>
      <c r="V200" s="84"/>
      <c r="W200" s="84"/>
    </row>
    <row r="201" spans="1:23" x14ac:dyDescent="0.4">
      <c r="A201" s="85" t="s">
        <v>379</v>
      </c>
      <c r="B201" s="109" t="s">
        <v>174</v>
      </c>
      <c r="C201" s="133"/>
      <c r="D201" s="133"/>
      <c r="E201" s="133"/>
      <c r="F201" s="133"/>
      <c r="G201" s="133"/>
      <c r="H201" s="133"/>
      <c r="I201" s="112"/>
      <c r="J201" s="77"/>
      <c r="K201" s="84"/>
      <c r="L201" s="84"/>
      <c r="M201" s="80"/>
      <c r="N201" s="84"/>
      <c r="O201" s="84"/>
      <c r="P201" s="84"/>
      <c r="Q201" s="81" t="e">
        <f t="shared" si="6"/>
        <v>#DIV/0!</v>
      </c>
      <c r="R201" s="81" t="e">
        <f t="shared" si="7"/>
        <v>#DIV/0!</v>
      </c>
      <c r="S201" s="81">
        <v>7</v>
      </c>
      <c r="T201" s="81" t="e">
        <f t="shared" si="8"/>
        <v>#DIV/0!</v>
      </c>
      <c r="U201" s="81"/>
      <c r="V201" s="84"/>
      <c r="W201" s="84"/>
    </row>
    <row r="202" spans="1:23" x14ac:dyDescent="0.4">
      <c r="A202" s="85" t="s">
        <v>380</v>
      </c>
      <c r="B202" s="109" t="s">
        <v>174</v>
      </c>
      <c r="C202" s="133"/>
      <c r="D202" s="133"/>
      <c r="E202" s="133"/>
      <c r="F202" s="133"/>
      <c r="G202" s="133"/>
      <c r="H202" s="133"/>
      <c r="I202" s="112"/>
      <c r="J202" s="77"/>
      <c r="K202" s="84"/>
      <c r="L202" s="84"/>
      <c r="M202" s="80"/>
      <c r="N202" s="84"/>
      <c r="O202" s="84"/>
      <c r="P202" s="84"/>
      <c r="Q202" s="81" t="e">
        <f t="shared" si="6"/>
        <v>#DIV/0!</v>
      </c>
      <c r="R202" s="81" t="e">
        <f t="shared" si="7"/>
        <v>#DIV/0!</v>
      </c>
      <c r="S202" s="81">
        <v>7</v>
      </c>
      <c r="T202" s="81" t="e">
        <f t="shared" si="8"/>
        <v>#DIV/0!</v>
      </c>
      <c r="U202" s="81" t="e">
        <f>AVERAGE(T200:T202)</f>
        <v>#DIV/0!</v>
      </c>
      <c r="V202" s="81" t="e">
        <f>_xlfn.STDEV.S(T200:T202)</f>
        <v>#DIV/0!</v>
      </c>
      <c r="W202" s="81">
        <f>MAX(K200:K202)-MIN(K200:K202)</f>
        <v>0</v>
      </c>
    </row>
    <row r="203" spans="1:23" x14ac:dyDescent="0.4">
      <c r="A203" s="76" t="s">
        <v>381</v>
      </c>
      <c r="B203" s="107" t="s">
        <v>79</v>
      </c>
      <c r="C203" s="129" t="s">
        <v>8</v>
      </c>
      <c r="D203" s="129" t="s">
        <v>485</v>
      </c>
      <c r="E203" s="129" t="s">
        <v>484</v>
      </c>
      <c r="F203" s="129" t="s">
        <v>485</v>
      </c>
      <c r="G203" s="129" t="s">
        <v>484</v>
      </c>
      <c r="H203" s="129" t="s">
        <v>484</v>
      </c>
      <c r="I203" s="112">
        <v>4.8</v>
      </c>
      <c r="J203" s="77" t="s">
        <v>81</v>
      </c>
      <c r="K203" s="84">
        <v>23.79</v>
      </c>
      <c r="L203" s="86">
        <v>14900</v>
      </c>
      <c r="M203" s="80">
        <v>0.4</v>
      </c>
      <c r="N203" s="81">
        <v>50</v>
      </c>
      <c r="O203">
        <v>3.97</v>
      </c>
      <c r="P203" s="94">
        <v>4.2664134210000002</v>
      </c>
      <c r="Q203" s="81">
        <f t="shared" ref="Q203:Q266" si="9">O203/P203</f>
        <v>0.9305239807419966</v>
      </c>
      <c r="R203" s="81">
        <f t="shared" ref="R203:R266" si="10">(L203*N203*Q203)/M203</f>
        <v>1733100.9141319687</v>
      </c>
      <c r="S203" s="81">
        <v>7</v>
      </c>
      <c r="T203" s="81">
        <f t="shared" ref="T203:T266" si="11">R203/S203</f>
        <v>247585.84487599554</v>
      </c>
      <c r="U203" s="81"/>
      <c r="V203" s="81"/>
      <c r="W203" s="81"/>
    </row>
    <row r="204" spans="1:23" x14ac:dyDescent="0.4">
      <c r="A204" s="85" t="s">
        <v>382</v>
      </c>
      <c r="B204" s="108" t="s">
        <v>79</v>
      </c>
      <c r="C204" s="129" t="s">
        <v>8</v>
      </c>
      <c r="D204" s="129" t="s">
        <v>485</v>
      </c>
      <c r="E204" s="129" t="s">
        <v>484</v>
      </c>
      <c r="F204" s="129" t="s">
        <v>485</v>
      </c>
      <c r="G204" s="129" t="s">
        <v>484</v>
      </c>
      <c r="H204" s="129" t="s">
        <v>484</v>
      </c>
      <c r="I204" s="112">
        <v>4.8</v>
      </c>
      <c r="J204" s="77" t="s">
        <v>81</v>
      </c>
      <c r="K204" s="84">
        <v>23.5</v>
      </c>
      <c r="L204" s="86">
        <v>18000</v>
      </c>
      <c r="M204" s="80">
        <v>0.4</v>
      </c>
      <c r="N204" s="81">
        <v>50</v>
      </c>
      <c r="O204">
        <v>3.97</v>
      </c>
      <c r="P204" s="94">
        <v>4.2664134210000002</v>
      </c>
      <c r="Q204" s="81">
        <f t="shared" si="9"/>
        <v>0.9305239807419966</v>
      </c>
      <c r="R204" s="81">
        <f t="shared" si="10"/>
        <v>2093678.9566694924</v>
      </c>
      <c r="S204" s="81">
        <v>7</v>
      </c>
      <c r="T204" s="81">
        <f t="shared" si="11"/>
        <v>299096.99380992749</v>
      </c>
      <c r="U204" s="87"/>
      <c r="V204" s="87"/>
      <c r="W204" s="87"/>
    </row>
    <row r="205" spans="1:23" x14ac:dyDescent="0.4">
      <c r="A205" s="85" t="s">
        <v>383</v>
      </c>
      <c r="B205" s="107" t="s">
        <v>79</v>
      </c>
      <c r="C205" s="129" t="s">
        <v>8</v>
      </c>
      <c r="D205" s="129" t="s">
        <v>485</v>
      </c>
      <c r="E205" s="129" t="s">
        <v>484</v>
      </c>
      <c r="F205" s="129" t="s">
        <v>485</v>
      </c>
      <c r="G205" s="129" t="s">
        <v>484</v>
      </c>
      <c r="H205" s="129" t="s">
        <v>484</v>
      </c>
      <c r="I205" s="112">
        <v>4.8</v>
      </c>
      <c r="J205" s="77" t="s">
        <v>81</v>
      </c>
      <c r="K205" s="84">
        <v>23.52</v>
      </c>
      <c r="L205" s="86">
        <v>17900</v>
      </c>
      <c r="M205" s="80">
        <v>0.4</v>
      </c>
      <c r="N205" s="81">
        <v>50</v>
      </c>
      <c r="O205">
        <v>3.97</v>
      </c>
      <c r="P205" s="94">
        <v>4.2664134210000002</v>
      </c>
      <c r="Q205" s="81">
        <f t="shared" si="9"/>
        <v>0.9305239807419966</v>
      </c>
      <c r="R205" s="81">
        <f t="shared" si="10"/>
        <v>2082047.4069102174</v>
      </c>
      <c r="S205" s="81">
        <v>7</v>
      </c>
      <c r="T205" s="81">
        <f t="shared" si="11"/>
        <v>297435.34384431678</v>
      </c>
      <c r="U205" s="81">
        <f>AVERAGE(T203:T205)</f>
        <v>281372.72751007992</v>
      </c>
      <c r="V205" s="81">
        <f>_xlfn.STDEV.S(T203:T205)</f>
        <v>29272.091636046425</v>
      </c>
      <c r="W205" s="81">
        <f>MAX(K203:K205)-MIN(K203:K205)</f>
        <v>0.28999999999999915</v>
      </c>
    </row>
    <row r="206" spans="1:23" x14ac:dyDescent="0.4">
      <c r="A206" s="85" t="s">
        <v>384</v>
      </c>
      <c r="B206" s="107" t="s">
        <v>80</v>
      </c>
      <c r="C206" s="129" t="s">
        <v>9</v>
      </c>
      <c r="D206" s="129" t="s">
        <v>485</v>
      </c>
      <c r="E206" s="129" t="s">
        <v>484</v>
      </c>
      <c r="F206" s="129" t="s">
        <v>485</v>
      </c>
      <c r="G206" s="129" t="s">
        <v>485</v>
      </c>
      <c r="H206" s="129" t="s">
        <v>484</v>
      </c>
      <c r="I206" s="112">
        <v>4.8</v>
      </c>
      <c r="J206" s="77" t="s">
        <v>81</v>
      </c>
      <c r="K206" s="84">
        <v>23.11</v>
      </c>
      <c r="L206" s="86">
        <v>23300</v>
      </c>
      <c r="M206" s="80">
        <v>0.4</v>
      </c>
      <c r="N206" s="81">
        <v>50</v>
      </c>
      <c r="O206">
        <v>4.59</v>
      </c>
      <c r="P206" s="94">
        <v>4.3930607979999996</v>
      </c>
      <c r="Q206" s="81">
        <f t="shared" si="9"/>
        <v>1.0448296099361201</v>
      </c>
      <c r="R206" s="81">
        <f t="shared" si="10"/>
        <v>3043066.2389389495</v>
      </c>
      <c r="S206" s="81">
        <v>7</v>
      </c>
      <c r="T206" s="81">
        <f t="shared" si="11"/>
        <v>434723.74841984996</v>
      </c>
      <c r="U206" s="81"/>
      <c r="V206" s="87"/>
      <c r="W206" s="87"/>
    </row>
    <row r="207" spans="1:23" x14ac:dyDescent="0.4">
      <c r="A207" s="85" t="s">
        <v>385</v>
      </c>
      <c r="B207" s="108" t="s">
        <v>80</v>
      </c>
      <c r="C207" s="129" t="s">
        <v>9</v>
      </c>
      <c r="D207" s="129" t="s">
        <v>485</v>
      </c>
      <c r="E207" s="129" t="s">
        <v>484</v>
      </c>
      <c r="F207" s="129" t="s">
        <v>485</v>
      </c>
      <c r="G207" s="129" t="s">
        <v>485</v>
      </c>
      <c r="H207" s="129" t="s">
        <v>484</v>
      </c>
      <c r="I207" s="112">
        <v>4.8</v>
      </c>
      <c r="J207" s="77" t="s">
        <v>81</v>
      </c>
      <c r="K207" s="84">
        <v>23.12</v>
      </c>
      <c r="L207" s="86">
        <v>23200</v>
      </c>
      <c r="M207" s="80">
        <v>0.4</v>
      </c>
      <c r="N207" s="81">
        <v>50</v>
      </c>
      <c r="O207">
        <v>4.59</v>
      </c>
      <c r="P207" s="94">
        <v>4.3930607979999996</v>
      </c>
      <c r="Q207" s="81">
        <f t="shared" si="9"/>
        <v>1.0448296099361201</v>
      </c>
      <c r="R207" s="81">
        <f t="shared" si="10"/>
        <v>3030005.8688147482</v>
      </c>
      <c r="S207" s="81">
        <v>7</v>
      </c>
      <c r="T207" s="81">
        <f t="shared" si="11"/>
        <v>432857.98125924973</v>
      </c>
      <c r="U207" s="81"/>
      <c r="V207" s="81"/>
      <c r="W207" s="81"/>
    </row>
    <row r="208" spans="1:23" x14ac:dyDescent="0.4">
      <c r="A208" s="85" t="s">
        <v>386</v>
      </c>
      <c r="B208" s="107" t="s">
        <v>80</v>
      </c>
      <c r="C208" s="129" t="s">
        <v>9</v>
      </c>
      <c r="D208" s="129" t="s">
        <v>485</v>
      </c>
      <c r="E208" s="129" t="s">
        <v>484</v>
      </c>
      <c r="F208" s="129" t="s">
        <v>485</v>
      </c>
      <c r="G208" s="129" t="s">
        <v>485</v>
      </c>
      <c r="H208" s="129" t="s">
        <v>484</v>
      </c>
      <c r="I208" s="112">
        <v>4.8</v>
      </c>
      <c r="J208" s="77" t="s">
        <v>81</v>
      </c>
      <c r="K208" s="84">
        <v>23.13</v>
      </c>
      <c r="L208" s="86">
        <v>23000</v>
      </c>
      <c r="M208" s="80">
        <v>0.4</v>
      </c>
      <c r="N208" s="81">
        <v>50</v>
      </c>
      <c r="O208">
        <v>4.59</v>
      </c>
      <c r="P208" s="94">
        <v>4.3930607979999996</v>
      </c>
      <c r="Q208" s="81">
        <f t="shared" si="9"/>
        <v>1.0448296099361201</v>
      </c>
      <c r="R208" s="81">
        <f t="shared" si="10"/>
        <v>3003885.1285663447</v>
      </c>
      <c r="S208" s="81">
        <v>7</v>
      </c>
      <c r="T208" s="81">
        <f t="shared" si="11"/>
        <v>429126.44693804922</v>
      </c>
      <c r="U208" s="81">
        <f>AVERAGE(T206:T208)</f>
        <v>432236.05887238303</v>
      </c>
      <c r="V208" s="81">
        <f>_xlfn.STDEV.S(T206:T208)</f>
        <v>2850.0064142044866</v>
      </c>
      <c r="W208" s="81">
        <f>MAX(K206:K208)-MIN(K206:K208)</f>
        <v>1.9999999999999574E-2</v>
      </c>
    </row>
    <row r="209" spans="1:23" x14ac:dyDescent="0.4">
      <c r="A209" s="85" t="s">
        <v>387</v>
      </c>
      <c r="B209" s="107" t="s">
        <v>174</v>
      </c>
      <c r="C209" s="131"/>
      <c r="D209" s="131"/>
      <c r="E209" s="131"/>
      <c r="F209" s="131"/>
      <c r="G209" s="131"/>
      <c r="H209" s="131"/>
      <c r="I209" s="112"/>
      <c r="J209" s="77"/>
      <c r="K209" s="84"/>
      <c r="L209" s="84"/>
      <c r="M209" s="80"/>
      <c r="N209" s="81"/>
      <c r="P209" s="94"/>
      <c r="Q209" s="81" t="e">
        <f t="shared" si="9"/>
        <v>#DIV/0!</v>
      </c>
      <c r="R209" s="81" t="e">
        <f t="shared" si="10"/>
        <v>#DIV/0!</v>
      </c>
      <c r="S209" s="81">
        <v>7</v>
      </c>
      <c r="T209" s="81" t="e">
        <f t="shared" si="11"/>
        <v>#DIV/0!</v>
      </c>
      <c r="U209" s="81"/>
      <c r="V209" s="81"/>
      <c r="W209" s="81"/>
    </row>
    <row r="210" spans="1:23" x14ac:dyDescent="0.4">
      <c r="A210" s="85" t="s">
        <v>388</v>
      </c>
      <c r="B210" s="107" t="s">
        <v>174</v>
      </c>
      <c r="C210" s="131"/>
      <c r="D210" s="131"/>
      <c r="E210" s="131"/>
      <c r="F210" s="131"/>
      <c r="G210" s="131"/>
      <c r="H210" s="131"/>
      <c r="I210" s="112"/>
      <c r="J210" s="77"/>
      <c r="K210" s="84"/>
      <c r="L210" s="84"/>
      <c r="M210" s="80"/>
      <c r="N210" s="87"/>
      <c r="P210" s="94"/>
      <c r="Q210" s="81" t="e">
        <f t="shared" si="9"/>
        <v>#DIV/0!</v>
      </c>
      <c r="R210" s="81" t="e">
        <f t="shared" si="10"/>
        <v>#DIV/0!</v>
      </c>
      <c r="S210" s="81">
        <v>7</v>
      </c>
      <c r="T210" s="81" t="e">
        <f t="shared" si="11"/>
        <v>#DIV/0!</v>
      </c>
      <c r="U210" s="81"/>
      <c r="V210" s="87"/>
      <c r="W210" s="87"/>
    </row>
    <row r="211" spans="1:23" x14ac:dyDescent="0.4">
      <c r="A211" s="85" t="s">
        <v>389</v>
      </c>
      <c r="B211" s="107" t="s">
        <v>174</v>
      </c>
      <c r="C211" s="131"/>
      <c r="D211" s="131"/>
      <c r="E211" s="131"/>
      <c r="F211" s="131"/>
      <c r="G211" s="131"/>
      <c r="H211" s="131"/>
      <c r="I211" s="112"/>
      <c r="J211" s="77"/>
      <c r="K211" s="84"/>
      <c r="L211" s="84"/>
      <c r="M211" s="80"/>
      <c r="N211" s="81"/>
      <c r="P211" s="94"/>
      <c r="Q211" s="81" t="e">
        <f t="shared" si="9"/>
        <v>#DIV/0!</v>
      </c>
      <c r="R211" s="81" t="e">
        <f t="shared" si="10"/>
        <v>#DIV/0!</v>
      </c>
      <c r="S211" s="81">
        <v>7</v>
      </c>
      <c r="T211" s="81" t="e">
        <f t="shared" si="11"/>
        <v>#DIV/0!</v>
      </c>
      <c r="U211" s="81" t="e">
        <f>AVERAGE(T209:T211)</f>
        <v>#DIV/0!</v>
      </c>
      <c r="V211" s="81" t="e">
        <f>_xlfn.STDEV.S(T209:T211)</f>
        <v>#DIV/0!</v>
      </c>
      <c r="W211" s="81">
        <f>MAX(K209:K211)-MIN(K209:K211)</f>
        <v>0</v>
      </c>
    </row>
    <row r="212" spans="1:23" x14ac:dyDescent="0.4">
      <c r="A212" s="85" t="s">
        <v>390</v>
      </c>
      <c r="B212" s="108" t="s">
        <v>147</v>
      </c>
      <c r="C212" s="131" t="s">
        <v>175</v>
      </c>
      <c r="D212" s="131"/>
      <c r="E212" s="131"/>
      <c r="F212" s="131"/>
      <c r="G212" s="131"/>
      <c r="H212" s="131"/>
      <c r="I212" s="112"/>
      <c r="J212" s="77"/>
      <c r="K212" s="84">
        <v>10.19</v>
      </c>
      <c r="L212" s="86">
        <v>110000000</v>
      </c>
      <c r="M212" s="80"/>
      <c r="N212" s="87"/>
      <c r="P212" s="94"/>
      <c r="Q212" s="81" t="e">
        <f t="shared" si="9"/>
        <v>#DIV/0!</v>
      </c>
      <c r="R212" s="81" t="e">
        <f t="shared" si="10"/>
        <v>#DIV/0!</v>
      </c>
      <c r="S212" s="81">
        <v>7</v>
      </c>
      <c r="T212" s="81" t="e">
        <f t="shared" si="11"/>
        <v>#DIV/0!</v>
      </c>
      <c r="U212" s="81"/>
      <c r="V212" s="87"/>
      <c r="W212" s="87"/>
    </row>
    <row r="213" spans="1:23" x14ac:dyDescent="0.4">
      <c r="A213" s="85" t="s">
        <v>391</v>
      </c>
      <c r="B213" s="110" t="s">
        <v>147</v>
      </c>
      <c r="C213" s="131" t="s">
        <v>175</v>
      </c>
      <c r="D213" s="131"/>
      <c r="E213" s="131"/>
      <c r="F213" s="131"/>
      <c r="G213" s="131"/>
      <c r="H213" s="131"/>
      <c r="I213" s="112"/>
      <c r="J213" s="77"/>
      <c r="K213" s="84">
        <v>10.25</v>
      </c>
      <c r="L213" s="86">
        <v>106000000</v>
      </c>
      <c r="M213" s="80"/>
      <c r="N213" s="87"/>
      <c r="P213" s="94"/>
      <c r="Q213" s="81" t="e">
        <f t="shared" si="9"/>
        <v>#DIV/0!</v>
      </c>
      <c r="R213" s="81" t="e">
        <f t="shared" si="10"/>
        <v>#DIV/0!</v>
      </c>
      <c r="S213" s="81">
        <v>7</v>
      </c>
      <c r="T213" s="81" t="e">
        <f t="shared" si="11"/>
        <v>#DIV/0!</v>
      </c>
      <c r="U213" s="81"/>
      <c r="V213" s="91"/>
      <c r="W213" s="91"/>
    </row>
    <row r="214" spans="1:23" x14ac:dyDescent="0.4">
      <c r="A214" s="85" t="s">
        <v>392</v>
      </c>
      <c r="B214" s="109" t="s">
        <v>147</v>
      </c>
      <c r="C214" s="131" t="s">
        <v>175</v>
      </c>
      <c r="D214" s="131"/>
      <c r="E214" s="131"/>
      <c r="F214" s="131"/>
      <c r="G214" s="131"/>
      <c r="H214" s="131"/>
      <c r="I214" s="112"/>
      <c r="J214" s="77"/>
      <c r="K214" s="84">
        <v>10.25</v>
      </c>
      <c r="L214" s="86">
        <v>106000000</v>
      </c>
      <c r="M214" s="80"/>
      <c r="N214" s="87"/>
      <c r="P214" s="94"/>
      <c r="Q214" s="81" t="e">
        <f t="shared" si="9"/>
        <v>#DIV/0!</v>
      </c>
      <c r="R214" s="81" t="e">
        <f t="shared" si="10"/>
        <v>#DIV/0!</v>
      </c>
      <c r="S214" s="81">
        <v>7</v>
      </c>
      <c r="T214" s="81" t="e">
        <f t="shared" si="11"/>
        <v>#DIV/0!</v>
      </c>
      <c r="U214" s="81" t="e">
        <f>AVERAGE(T212:T214)</f>
        <v>#DIV/0!</v>
      </c>
      <c r="V214" s="81" t="e">
        <f>_xlfn.STDEV.S(T212:T214)</f>
        <v>#DIV/0!</v>
      </c>
      <c r="W214" s="81">
        <f>MAX(K212:K214)-MIN(K212:K214)</f>
        <v>6.0000000000000497E-2</v>
      </c>
    </row>
    <row r="215" spans="1:23" x14ac:dyDescent="0.4">
      <c r="A215" s="85" t="s">
        <v>393</v>
      </c>
      <c r="B215" s="109" t="s">
        <v>90</v>
      </c>
      <c r="C215" s="129" t="s">
        <v>8</v>
      </c>
      <c r="D215" s="129" t="s">
        <v>485</v>
      </c>
      <c r="E215" s="129" t="s">
        <v>484</v>
      </c>
      <c r="F215" s="129" t="s">
        <v>485</v>
      </c>
      <c r="G215" s="129" t="s">
        <v>484</v>
      </c>
      <c r="H215" s="129" t="s">
        <v>484</v>
      </c>
      <c r="I215" s="112">
        <v>5.8</v>
      </c>
      <c r="J215" s="77" t="s">
        <v>81</v>
      </c>
      <c r="K215" s="84">
        <v>15.73</v>
      </c>
      <c r="L215" s="86">
        <v>2940000</v>
      </c>
      <c r="M215" s="80">
        <v>0.4</v>
      </c>
      <c r="N215" s="87">
        <v>50</v>
      </c>
      <c r="O215">
        <v>28.41</v>
      </c>
      <c r="P215" s="94">
        <v>7.8492788070000001</v>
      </c>
      <c r="Q215" s="81">
        <f t="shared" si="9"/>
        <v>3.6194408045060031</v>
      </c>
      <c r="R215" s="81">
        <f t="shared" si="10"/>
        <v>1330144495.655956</v>
      </c>
      <c r="S215" s="81">
        <v>7</v>
      </c>
      <c r="T215" s="81">
        <f t="shared" si="11"/>
        <v>190020642.23656514</v>
      </c>
      <c r="U215" s="81"/>
      <c r="V215" s="84"/>
      <c r="W215" s="84"/>
    </row>
    <row r="216" spans="1:23" x14ac:dyDescent="0.4">
      <c r="A216" s="85" t="s">
        <v>394</v>
      </c>
      <c r="B216" s="109" t="s">
        <v>90</v>
      </c>
      <c r="C216" s="129" t="s">
        <v>8</v>
      </c>
      <c r="D216" s="129" t="s">
        <v>485</v>
      </c>
      <c r="E216" s="129" t="s">
        <v>484</v>
      </c>
      <c r="F216" s="129" t="s">
        <v>485</v>
      </c>
      <c r="G216" s="129" t="s">
        <v>484</v>
      </c>
      <c r="H216" s="129" t="s">
        <v>484</v>
      </c>
      <c r="I216" s="112">
        <v>5.8</v>
      </c>
      <c r="J216" s="77" t="s">
        <v>81</v>
      </c>
      <c r="K216" s="84">
        <v>15.47</v>
      </c>
      <c r="L216" s="86">
        <v>3460000</v>
      </c>
      <c r="M216" s="80">
        <v>0.4</v>
      </c>
      <c r="N216" s="87">
        <v>50</v>
      </c>
      <c r="O216">
        <v>28.41</v>
      </c>
      <c r="P216" s="94">
        <v>7.8492788070000001</v>
      </c>
      <c r="Q216" s="81">
        <f t="shared" si="9"/>
        <v>3.6194408045060031</v>
      </c>
      <c r="R216" s="81">
        <f t="shared" si="10"/>
        <v>1565408147.9488461</v>
      </c>
      <c r="S216" s="81">
        <v>7</v>
      </c>
      <c r="T216" s="81">
        <f t="shared" si="11"/>
        <v>223629735.42126372</v>
      </c>
      <c r="U216" s="81"/>
      <c r="V216" s="84"/>
      <c r="W216" s="84"/>
    </row>
    <row r="217" spans="1:23" x14ac:dyDescent="0.4">
      <c r="A217" s="85" t="s">
        <v>395</v>
      </c>
      <c r="B217" s="109" t="s">
        <v>90</v>
      </c>
      <c r="C217" s="129" t="s">
        <v>8</v>
      </c>
      <c r="D217" s="129" t="s">
        <v>485</v>
      </c>
      <c r="E217" s="129" t="s">
        <v>484</v>
      </c>
      <c r="F217" s="129" t="s">
        <v>485</v>
      </c>
      <c r="G217" s="129" t="s">
        <v>484</v>
      </c>
      <c r="H217" s="129" t="s">
        <v>484</v>
      </c>
      <c r="I217" s="112">
        <v>5.8</v>
      </c>
      <c r="J217" s="77" t="s">
        <v>81</v>
      </c>
      <c r="K217" s="84">
        <v>15.46</v>
      </c>
      <c r="L217" s="86">
        <v>3490000</v>
      </c>
      <c r="M217" s="80">
        <v>0.4</v>
      </c>
      <c r="N217" s="87">
        <v>50</v>
      </c>
      <c r="O217">
        <v>28.41</v>
      </c>
      <c r="P217" s="94">
        <v>7.8492788070000001</v>
      </c>
      <c r="Q217" s="81">
        <f t="shared" si="9"/>
        <v>3.6194408045060031</v>
      </c>
      <c r="R217" s="81">
        <f t="shared" si="10"/>
        <v>1578981050.9657438</v>
      </c>
      <c r="S217" s="81">
        <v>7</v>
      </c>
      <c r="T217" s="81">
        <f t="shared" si="11"/>
        <v>225568721.56653482</v>
      </c>
      <c r="U217" s="81">
        <f>AVERAGE(T215:T217)</f>
        <v>213073033.07478788</v>
      </c>
      <c r="V217" s="81">
        <f>_xlfn.STDEV.S(T215:T217)</f>
        <v>19987482.566259325</v>
      </c>
      <c r="W217" s="81">
        <f>MAX(K215:K217)-MIN(K215:K217)</f>
        <v>0.26999999999999957</v>
      </c>
    </row>
    <row r="218" spans="1:23" x14ac:dyDescent="0.4">
      <c r="A218" s="85" t="s">
        <v>396</v>
      </c>
      <c r="B218" s="109" t="s">
        <v>91</v>
      </c>
      <c r="C218" s="129" t="s">
        <v>9</v>
      </c>
      <c r="D218" s="129" t="s">
        <v>485</v>
      </c>
      <c r="E218" s="129" t="s">
        <v>484</v>
      </c>
      <c r="F218" s="129" t="s">
        <v>485</v>
      </c>
      <c r="G218" s="129" t="s">
        <v>485</v>
      </c>
      <c r="H218" s="129" t="s">
        <v>484</v>
      </c>
      <c r="I218" s="112">
        <v>5.8</v>
      </c>
      <c r="J218" s="77" t="s">
        <v>81</v>
      </c>
      <c r="K218" s="84">
        <v>18.850000000000001</v>
      </c>
      <c r="L218" s="86">
        <v>379000</v>
      </c>
      <c r="M218" s="80">
        <v>0.4</v>
      </c>
      <c r="N218" s="87">
        <v>50</v>
      </c>
      <c r="O218">
        <v>38.799999999999997</v>
      </c>
      <c r="P218" s="94">
        <v>6.9105928140000001</v>
      </c>
      <c r="Q218" s="81">
        <f t="shared" si="9"/>
        <v>5.6145689732139958</v>
      </c>
      <c r="R218" s="81">
        <f t="shared" si="10"/>
        <v>265990205.10601303</v>
      </c>
      <c r="S218" s="81">
        <v>7</v>
      </c>
      <c r="T218" s="81">
        <f t="shared" si="11"/>
        <v>37998600.72943043</v>
      </c>
      <c r="U218" s="81"/>
      <c r="V218" s="84"/>
      <c r="W218" s="84"/>
    </row>
    <row r="219" spans="1:23" x14ac:dyDescent="0.4">
      <c r="A219" s="85" t="s">
        <v>397</v>
      </c>
      <c r="B219" s="109" t="s">
        <v>91</v>
      </c>
      <c r="C219" s="129" t="s">
        <v>9</v>
      </c>
      <c r="D219" s="129" t="s">
        <v>485</v>
      </c>
      <c r="E219" s="129" t="s">
        <v>484</v>
      </c>
      <c r="F219" s="129" t="s">
        <v>485</v>
      </c>
      <c r="G219" s="129" t="s">
        <v>485</v>
      </c>
      <c r="H219" s="129" t="s">
        <v>484</v>
      </c>
      <c r="I219" s="112">
        <v>5.8</v>
      </c>
      <c r="J219" s="77" t="s">
        <v>81</v>
      </c>
      <c r="K219" s="84">
        <v>18.899999999999999</v>
      </c>
      <c r="L219" s="86">
        <v>368000</v>
      </c>
      <c r="M219" s="80">
        <v>0.4</v>
      </c>
      <c r="N219" s="87">
        <v>50</v>
      </c>
      <c r="O219">
        <v>38.799999999999997</v>
      </c>
      <c r="P219" s="94">
        <v>6.9105928140000001</v>
      </c>
      <c r="Q219" s="81">
        <f t="shared" si="9"/>
        <v>5.6145689732139958</v>
      </c>
      <c r="R219" s="81">
        <f t="shared" si="10"/>
        <v>258270172.76784378</v>
      </c>
      <c r="S219" s="81">
        <v>7</v>
      </c>
      <c r="T219" s="81">
        <f t="shared" si="11"/>
        <v>36895738.966834828</v>
      </c>
      <c r="U219" s="81"/>
      <c r="V219" s="84"/>
      <c r="W219" s="84"/>
    </row>
    <row r="220" spans="1:23" x14ac:dyDescent="0.4">
      <c r="A220" s="85" t="s">
        <v>398</v>
      </c>
      <c r="B220" s="109" t="s">
        <v>91</v>
      </c>
      <c r="C220" s="129" t="s">
        <v>9</v>
      </c>
      <c r="D220" s="129" t="s">
        <v>485</v>
      </c>
      <c r="E220" s="129" t="s">
        <v>484</v>
      </c>
      <c r="F220" s="129" t="s">
        <v>485</v>
      </c>
      <c r="G220" s="129" t="s">
        <v>485</v>
      </c>
      <c r="H220" s="129" t="s">
        <v>484</v>
      </c>
      <c r="I220" s="112">
        <v>5.8</v>
      </c>
      <c r="J220" s="77" t="s">
        <v>81</v>
      </c>
      <c r="K220" s="84">
        <v>18.98</v>
      </c>
      <c r="L220" s="86">
        <v>349000</v>
      </c>
      <c r="M220" s="80">
        <v>0.4</v>
      </c>
      <c r="N220" s="87">
        <v>50</v>
      </c>
      <c r="O220">
        <v>38.799999999999997</v>
      </c>
      <c r="P220" s="94">
        <v>6.9105928140000001</v>
      </c>
      <c r="Q220" s="81">
        <f t="shared" si="9"/>
        <v>5.6145689732139958</v>
      </c>
      <c r="R220" s="81">
        <f t="shared" si="10"/>
        <v>244935571.45646057</v>
      </c>
      <c r="S220" s="81">
        <v>7</v>
      </c>
      <c r="T220" s="81">
        <f t="shared" si="11"/>
        <v>34990795.922351509</v>
      </c>
      <c r="U220" s="81">
        <f>AVERAGE(T218:T220)</f>
        <v>36628378.53953892</v>
      </c>
      <c r="V220" s="81">
        <f>_xlfn.STDEV.S(T218:T220)</f>
        <v>1521622.0417484273</v>
      </c>
      <c r="W220" s="81">
        <f>MAX(K218:K220)-MIN(K218:K220)</f>
        <v>0.12999999999999901</v>
      </c>
    </row>
    <row r="221" spans="1:23" x14ac:dyDescent="0.4">
      <c r="A221" s="85" t="s">
        <v>399</v>
      </c>
      <c r="B221" s="107" t="s">
        <v>174</v>
      </c>
      <c r="C221" s="131"/>
      <c r="D221" s="131"/>
      <c r="E221" s="131"/>
      <c r="F221" s="131"/>
      <c r="G221" s="131"/>
      <c r="H221" s="131"/>
      <c r="I221" s="112"/>
      <c r="J221" s="77"/>
      <c r="K221" s="84"/>
      <c r="L221" s="84"/>
      <c r="M221" s="80"/>
      <c r="N221" s="84"/>
      <c r="P221" s="94"/>
      <c r="Q221" s="81" t="e">
        <f t="shared" si="9"/>
        <v>#DIV/0!</v>
      </c>
      <c r="R221" s="81" t="e">
        <f t="shared" si="10"/>
        <v>#DIV/0!</v>
      </c>
      <c r="S221" s="81">
        <v>7</v>
      </c>
      <c r="T221" s="81" t="e">
        <f t="shared" si="11"/>
        <v>#DIV/0!</v>
      </c>
      <c r="U221" s="81"/>
      <c r="V221" s="84"/>
      <c r="W221" s="84"/>
    </row>
    <row r="222" spans="1:23" x14ac:dyDescent="0.4">
      <c r="A222" s="85" t="s">
        <v>400</v>
      </c>
      <c r="B222" s="107" t="s">
        <v>174</v>
      </c>
      <c r="C222" s="131"/>
      <c r="D222" s="131"/>
      <c r="E222" s="131"/>
      <c r="F222" s="131"/>
      <c r="G222" s="131"/>
      <c r="H222" s="131"/>
      <c r="I222" s="112"/>
      <c r="J222" s="77"/>
      <c r="K222" s="84"/>
      <c r="L222" s="84"/>
      <c r="M222" s="80"/>
      <c r="N222" s="84"/>
      <c r="P222" s="94"/>
      <c r="Q222" s="81" t="e">
        <f t="shared" si="9"/>
        <v>#DIV/0!</v>
      </c>
      <c r="R222" s="81" t="e">
        <f t="shared" si="10"/>
        <v>#DIV/0!</v>
      </c>
      <c r="S222" s="81">
        <v>7</v>
      </c>
      <c r="T222" s="81" t="e">
        <f t="shared" si="11"/>
        <v>#DIV/0!</v>
      </c>
      <c r="U222" s="81"/>
      <c r="V222" s="84"/>
      <c r="W222" s="84"/>
    </row>
    <row r="223" spans="1:23" x14ac:dyDescent="0.4">
      <c r="A223" s="85" t="s">
        <v>401</v>
      </c>
      <c r="B223" s="107" t="s">
        <v>174</v>
      </c>
      <c r="C223" s="131"/>
      <c r="D223" s="131"/>
      <c r="E223" s="131"/>
      <c r="F223" s="131"/>
      <c r="G223" s="131"/>
      <c r="H223" s="131"/>
      <c r="I223" s="112"/>
      <c r="J223" s="77"/>
      <c r="K223" s="84"/>
      <c r="L223" s="84"/>
      <c r="M223" s="80"/>
      <c r="N223" s="84"/>
      <c r="P223" s="94"/>
      <c r="Q223" s="81" t="e">
        <f t="shared" si="9"/>
        <v>#DIV/0!</v>
      </c>
      <c r="R223" s="81" t="e">
        <f t="shared" si="10"/>
        <v>#DIV/0!</v>
      </c>
      <c r="S223" s="81">
        <v>7</v>
      </c>
      <c r="T223" s="81" t="e">
        <f t="shared" si="11"/>
        <v>#DIV/0!</v>
      </c>
      <c r="U223" s="81" t="e">
        <f>AVERAGE(T221:T223)</f>
        <v>#DIV/0!</v>
      </c>
      <c r="V223" s="81" t="e">
        <f>_xlfn.STDEV.S(T221:T223)</f>
        <v>#DIV/0!</v>
      </c>
      <c r="W223" s="81">
        <f>MAX(K221:K223)-MIN(K221:K223)</f>
        <v>0</v>
      </c>
    </row>
    <row r="224" spans="1:23" x14ac:dyDescent="0.4">
      <c r="A224" s="85" t="s">
        <v>402</v>
      </c>
      <c r="B224" s="109" t="s">
        <v>148</v>
      </c>
      <c r="C224" s="131" t="s">
        <v>176</v>
      </c>
      <c r="D224" s="131"/>
      <c r="E224" s="131"/>
      <c r="F224" s="131"/>
      <c r="G224" s="131"/>
      <c r="H224" s="131"/>
      <c r="I224" s="112"/>
      <c r="J224" s="77"/>
      <c r="K224" s="84">
        <v>13.78</v>
      </c>
      <c r="L224" s="86">
        <v>10500000</v>
      </c>
      <c r="M224" s="80"/>
      <c r="N224" s="87"/>
      <c r="P224" s="94"/>
      <c r="Q224" s="81" t="e">
        <f t="shared" si="9"/>
        <v>#DIV/0!</v>
      </c>
      <c r="R224" s="81" t="e">
        <f t="shared" si="10"/>
        <v>#DIV/0!</v>
      </c>
      <c r="S224" s="81">
        <v>7</v>
      </c>
      <c r="T224" s="81" t="e">
        <f t="shared" si="11"/>
        <v>#DIV/0!</v>
      </c>
      <c r="U224" s="81"/>
      <c r="V224" s="84"/>
      <c r="W224" s="84"/>
    </row>
    <row r="225" spans="1:23" x14ac:dyDescent="0.4">
      <c r="A225" s="85" t="s">
        <v>403</v>
      </c>
      <c r="B225" s="109" t="s">
        <v>148</v>
      </c>
      <c r="C225" s="131" t="s">
        <v>176</v>
      </c>
      <c r="D225" s="131"/>
      <c r="E225" s="131"/>
      <c r="F225" s="131"/>
      <c r="G225" s="131"/>
      <c r="H225" s="131"/>
      <c r="I225" s="112"/>
      <c r="J225" s="77"/>
      <c r="K225" s="84">
        <v>13.98</v>
      </c>
      <c r="L225" s="86">
        <v>9240000</v>
      </c>
      <c r="M225" s="80"/>
      <c r="N225" s="87"/>
      <c r="P225" s="94"/>
      <c r="Q225" s="81" t="e">
        <f t="shared" si="9"/>
        <v>#DIV/0!</v>
      </c>
      <c r="R225" s="81" t="e">
        <f t="shared" si="10"/>
        <v>#DIV/0!</v>
      </c>
      <c r="S225" s="81">
        <v>7</v>
      </c>
      <c r="T225" s="81" t="e">
        <f t="shared" si="11"/>
        <v>#DIV/0!</v>
      </c>
      <c r="U225" s="81"/>
      <c r="V225" s="84"/>
      <c r="W225" s="84"/>
    </row>
    <row r="226" spans="1:23" x14ac:dyDescent="0.4">
      <c r="A226" s="85" t="s">
        <v>404</v>
      </c>
      <c r="B226" s="109" t="s">
        <v>148</v>
      </c>
      <c r="C226" s="131" t="s">
        <v>176</v>
      </c>
      <c r="D226" s="131"/>
      <c r="E226" s="131"/>
      <c r="F226" s="131"/>
      <c r="G226" s="131"/>
      <c r="H226" s="131"/>
      <c r="I226" s="112"/>
      <c r="J226" s="77"/>
      <c r="K226" s="84">
        <v>13.84</v>
      </c>
      <c r="L226" s="86">
        <v>10100000</v>
      </c>
      <c r="M226" s="80"/>
      <c r="N226" s="87"/>
      <c r="P226" s="94"/>
      <c r="Q226" s="81" t="e">
        <f t="shared" si="9"/>
        <v>#DIV/0!</v>
      </c>
      <c r="R226" s="81" t="e">
        <f t="shared" si="10"/>
        <v>#DIV/0!</v>
      </c>
      <c r="S226" s="81">
        <v>7</v>
      </c>
      <c r="T226" s="81" t="e">
        <f t="shared" si="11"/>
        <v>#DIV/0!</v>
      </c>
      <c r="U226" s="81" t="e">
        <f>AVERAGE(T224:T226)</f>
        <v>#DIV/0!</v>
      </c>
      <c r="V226" s="81" t="e">
        <f>_xlfn.STDEV.S(T224:T226)</f>
        <v>#DIV/0!</v>
      </c>
      <c r="W226" s="81">
        <f>MAX(K224:K226)-MIN(K224:K226)</f>
        <v>0.20000000000000107</v>
      </c>
    </row>
    <row r="227" spans="1:23" x14ac:dyDescent="0.4">
      <c r="A227" s="85" t="s">
        <v>405</v>
      </c>
      <c r="B227" s="109" t="s">
        <v>100</v>
      </c>
      <c r="C227" s="129" t="s">
        <v>8</v>
      </c>
      <c r="D227" s="129" t="s">
        <v>485</v>
      </c>
      <c r="E227" s="129" t="s">
        <v>484</v>
      </c>
      <c r="F227" s="129" t="s">
        <v>485</v>
      </c>
      <c r="G227" s="129" t="s">
        <v>484</v>
      </c>
      <c r="H227" s="129" t="s">
        <v>484</v>
      </c>
      <c r="I227" s="112">
        <v>4.8</v>
      </c>
      <c r="J227" s="77" t="s">
        <v>132</v>
      </c>
      <c r="K227" s="84">
        <v>30.09</v>
      </c>
      <c r="L227" s="86">
        <v>178</v>
      </c>
      <c r="M227" s="80">
        <v>0.4</v>
      </c>
      <c r="N227" s="87">
        <v>50</v>
      </c>
      <c r="O227">
        <v>0.66</v>
      </c>
      <c r="P227" s="94">
        <v>-0.136152194</v>
      </c>
      <c r="Q227" s="81">
        <f t="shared" si="9"/>
        <v>-4.8475164491289799</v>
      </c>
      <c r="R227" s="81">
        <f t="shared" si="10"/>
        <v>-107857.24099311981</v>
      </c>
      <c r="S227" s="81">
        <v>7</v>
      </c>
      <c r="T227" s="81">
        <f t="shared" si="11"/>
        <v>-15408.177284731401</v>
      </c>
      <c r="U227" s="81"/>
      <c r="V227" s="84"/>
      <c r="W227" s="84"/>
    </row>
    <row r="228" spans="1:23" x14ac:dyDescent="0.4">
      <c r="A228" s="85" t="s">
        <v>406</v>
      </c>
      <c r="B228" s="109" t="s">
        <v>100</v>
      </c>
      <c r="C228" s="129" t="s">
        <v>8</v>
      </c>
      <c r="D228" s="129" t="s">
        <v>485</v>
      </c>
      <c r="E228" s="129" t="s">
        <v>484</v>
      </c>
      <c r="F228" s="129" t="s">
        <v>485</v>
      </c>
      <c r="G228" s="129" t="s">
        <v>484</v>
      </c>
      <c r="H228" s="129" t="s">
        <v>484</v>
      </c>
      <c r="I228" s="112">
        <v>4.8</v>
      </c>
      <c r="J228" s="77" t="s">
        <v>132</v>
      </c>
      <c r="K228" s="84">
        <v>29.71</v>
      </c>
      <c r="L228" s="86">
        <v>236</v>
      </c>
      <c r="M228" s="80">
        <v>0.4</v>
      </c>
      <c r="N228" s="87">
        <v>50</v>
      </c>
      <c r="O228">
        <v>0.66</v>
      </c>
      <c r="P228" s="94">
        <v>-0.136152194</v>
      </c>
      <c r="Q228" s="81">
        <f t="shared" si="9"/>
        <v>-4.8475164491289799</v>
      </c>
      <c r="R228" s="81">
        <f t="shared" si="10"/>
        <v>-143001.73524930491</v>
      </c>
      <c r="S228" s="81">
        <v>7</v>
      </c>
      <c r="T228" s="81">
        <f t="shared" si="11"/>
        <v>-20428.819321329272</v>
      </c>
      <c r="U228" s="81"/>
      <c r="V228" s="84"/>
      <c r="W228" s="84"/>
    </row>
    <row r="229" spans="1:23" x14ac:dyDescent="0.4">
      <c r="A229" s="85" t="s">
        <v>407</v>
      </c>
      <c r="B229" s="109" t="s">
        <v>100</v>
      </c>
      <c r="C229" s="129" t="s">
        <v>8</v>
      </c>
      <c r="D229" s="129" t="s">
        <v>485</v>
      </c>
      <c r="E229" s="129" t="s">
        <v>484</v>
      </c>
      <c r="F229" s="129" t="s">
        <v>485</v>
      </c>
      <c r="G229" s="129" t="s">
        <v>484</v>
      </c>
      <c r="H229" s="129" t="s">
        <v>484</v>
      </c>
      <c r="I229" s="112">
        <v>4.8</v>
      </c>
      <c r="J229" s="77" t="s">
        <v>132</v>
      </c>
      <c r="K229" s="84">
        <v>29.85</v>
      </c>
      <c r="L229" s="86">
        <v>213</v>
      </c>
      <c r="M229" s="80">
        <v>0.4</v>
      </c>
      <c r="N229" s="87">
        <v>50</v>
      </c>
      <c r="O229">
        <v>0.66</v>
      </c>
      <c r="P229" s="94">
        <v>-0.136152194</v>
      </c>
      <c r="Q229" s="81">
        <f t="shared" si="9"/>
        <v>-4.8475164491289799</v>
      </c>
      <c r="R229" s="81">
        <f t="shared" si="10"/>
        <v>-129065.12545805908</v>
      </c>
      <c r="S229" s="81">
        <v>7</v>
      </c>
      <c r="T229" s="81">
        <f t="shared" si="11"/>
        <v>-18437.875065437012</v>
      </c>
      <c r="U229" s="81">
        <f>AVERAGE(T227:T229)</f>
        <v>-18091.623890499231</v>
      </c>
      <c r="V229" s="81">
        <f>_xlfn.STDEV.S(T227:T229)</f>
        <v>2528.1671269959043</v>
      </c>
      <c r="W229" s="81">
        <f>MAX(K227:K229)-MIN(K227:K229)</f>
        <v>0.37999999999999901</v>
      </c>
    </row>
    <row r="230" spans="1:23" x14ac:dyDescent="0.4">
      <c r="A230" s="85" t="s">
        <v>408</v>
      </c>
      <c r="B230" s="109" t="s">
        <v>101</v>
      </c>
      <c r="C230" s="129" t="s">
        <v>9</v>
      </c>
      <c r="D230" s="129" t="s">
        <v>485</v>
      </c>
      <c r="E230" s="129" t="s">
        <v>484</v>
      </c>
      <c r="F230" s="129" t="s">
        <v>485</v>
      </c>
      <c r="G230" s="129" t="s">
        <v>485</v>
      </c>
      <c r="H230" s="129" t="s">
        <v>484</v>
      </c>
      <c r="I230" s="112">
        <v>4.8</v>
      </c>
      <c r="J230" s="77" t="s">
        <v>132</v>
      </c>
      <c r="K230" s="84">
        <v>25.49</v>
      </c>
      <c r="L230" s="86">
        <v>4830</v>
      </c>
      <c r="M230" s="80">
        <v>0.4</v>
      </c>
      <c r="N230" s="87">
        <v>50</v>
      </c>
      <c r="O230">
        <v>0.61</v>
      </c>
      <c r="P230" s="94">
        <v>-1.7535663E-2</v>
      </c>
      <c r="Q230" s="81">
        <f t="shared" si="9"/>
        <v>-34.786252450221014</v>
      </c>
      <c r="R230" s="81">
        <f t="shared" si="10"/>
        <v>-21002199.916820936</v>
      </c>
      <c r="S230" s="81">
        <v>7</v>
      </c>
      <c r="T230" s="81">
        <f t="shared" si="11"/>
        <v>-3000314.2738315621</v>
      </c>
      <c r="U230" s="81"/>
      <c r="V230" s="84"/>
      <c r="W230" s="84"/>
    </row>
    <row r="231" spans="1:23" x14ac:dyDescent="0.4">
      <c r="A231" s="85" t="s">
        <v>409</v>
      </c>
      <c r="B231" s="109" t="s">
        <v>101</v>
      </c>
      <c r="C231" s="129" t="s">
        <v>9</v>
      </c>
      <c r="D231" s="129" t="s">
        <v>485</v>
      </c>
      <c r="E231" s="129" t="s">
        <v>484</v>
      </c>
      <c r="F231" s="129" t="s">
        <v>485</v>
      </c>
      <c r="G231" s="129" t="s">
        <v>485</v>
      </c>
      <c r="H231" s="129" t="s">
        <v>484</v>
      </c>
      <c r="I231" s="112">
        <v>4.8</v>
      </c>
      <c r="J231" s="77" t="s">
        <v>132</v>
      </c>
      <c r="K231" s="84">
        <v>25.54</v>
      </c>
      <c r="L231" s="86">
        <v>4670</v>
      </c>
      <c r="M231" s="80">
        <v>0.4</v>
      </c>
      <c r="N231" s="87">
        <v>50</v>
      </c>
      <c r="O231">
        <v>0.61</v>
      </c>
      <c r="P231" s="94">
        <v>-1.7535663E-2</v>
      </c>
      <c r="Q231" s="81">
        <f t="shared" si="9"/>
        <v>-34.786252450221014</v>
      </c>
      <c r="R231" s="81">
        <f t="shared" si="10"/>
        <v>-20306474.867816515</v>
      </c>
      <c r="S231" s="81">
        <v>7</v>
      </c>
      <c r="T231" s="81">
        <f t="shared" si="11"/>
        <v>-2900924.981116645</v>
      </c>
      <c r="U231" s="81"/>
      <c r="V231" s="84"/>
      <c r="W231" s="84"/>
    </row>
    <row r="232" spans="1:23" x14ac:dyDescent="0.4">
      <c r="A232" s="85" t="s">
        <v>410</v>
      </c>
      <c r="B232" s="109" t="s">
        <v>101</v>
      </c>
      <c r="C232" s="129" t="s">
        <v>9</v>
      </c>
      <c r="D232" s="129" t="s">
        <v>485</v>
      </c>
      <c r="E232" s="129" t="s">
        <v>484</v>
      </c>
      <c r="F232" s="129" t="s">
        <v>485</v>
      </c>
      <c r="G232" s="129" t="s">
        <v>485</v>
      </c>
      <c r="H232" s="129" t="s">
        <v>484</v>
      </c>
      <c r="I232" s="112">
        <v>4.8</v>
      </c>
      <c r="J232" s="77" t="s">
        <v>132</v>
      </c>
      <c r="K232" s="84">
        <v>25.75</v>
      </c>
      <c r="L232" s="86">
        <v>4060</v>
      </c>
      <c r="M232" s="80">
        <v>0.4</v>
      </c>
      <c r="N232" s="87">
        <v>50</v>
      </c>
      <c r="O232">
        <v>0.61</v>
      </c>
      <c r="P232" s="94">
        <v>-1.7535663E-2</v>
      </c>
      <c r="Q232" s="81">
        <f t="shared" si="9"/>
        <v>-34.786252450221014</v>
      </c>
      <c r="R232" s="81">
        <f t="shared" si="10"/>
        <v>-17654023.118487161</v>
      </c>
      <c r="S232" s="81">
        <v>7</v>
      </c>
      <c r="T232" s="81">
        <f t="shared" si="11"/>
        <v>-2522003.302641023</v>
      </c>
      <c r="U232" s="81">
        <f>AVERAGE(T230:T232)</f>
        <v>-2807747.5191964097</v>
      </c>
      <c r="V232" s="81">
        <f>_xlfn.STDEV.S(T230:T232)</f>
        <v>252402.21046522519</v>
      </c>
      <c r="W232" s="81">
        <f>MAX(K230:K232)-MIN(K230:K232)</f>
        <v>0.26000000000000156</v>
      </c>
    </row>
    <row r="233" spans="1:23" x14ac:dyDescent="0.4">
      <c r="A233" s="85" t="s">
        <v>411</v>
      </c>
      <c r="B233" s="107" t="s">
        <v>174</v>
      </c>
      <c r="C233" s="131"/>
      <c r="D233" s="131"/>
      <c r="E233" s="131"/>
      <c r="F233" s="131"/>
      <c r="G233" s="131"/>
      <c r="H233" s="131"/>
      <c r="I233" s="112"/>
      <c r="J233" s="77"/>
      <c r="K233" s="84"/>
      <c r="L233" s="84"/>
      <c r="M233" s="80"/>
      <c r="N233" s="84"/>
      <c r="P233" s="94"/>
      <c r="Q233" s="81" t="e">
        <f t="shared" si="9"/>
        <v>#DIV/0!</v>
      </c>
      <c r="R233" s="81" t="e">
        <f t="shared" si="10"/>
        <v>#DIV/0!</v>
      </c>
      <c r="S233" s="81">
        <v>7</v>
      </c>
      <c r="T233" s="81" t="e">
        <f t="shared" si="11"/>
        <v>#DIV/0!</v>
      </c>
      <c r="U233" s="81"/>
      <c r="V233" s="84"/>
      <c r="W233" s="84"/>
    </row>
    <row r="234" spans="1:23" x14ac:dyDescent="0.4">
      <c r="A234" s="85" t="s">
        <v>412</v>
      </c>
      <c r="B234" s="107" t="s">
        <v>174</v>
      </c>
      <c r="C234" s="131"/>
      <c r="D234" s="131"/>
      <c r="E234" s="131"/>
      <c r="F234" s="131"/>
      <c r="G234" s="131"/>
      <c r="H234" s="131"/>
      <c r="I234" s="112"/>
      <c r="J234" s="77"/>
      <c r="K234" s="84"/>
      <c r="L234" s="84"/>
      <c r="M234" s="80"/>
      <c r="N234" s="84"/>
      <c r="P234" s="94"/>
      <c r="Q234" s="81" t="e">
        <f t="shared" si="9"/>
        <v>#DIV/0!</v>
      </c>
      <c r="R234" s="81" t="e">
        <f t="shared" si="10"/>
        <v>#DIV/0!</v>
      </c>
      <c r="S234" s="81">
        <v>7</v>
      </c>
      <c r="T234" s="81" t="e">
        <f t="shared" si="11"/>
        <v>#DIV/0!</v>
      </c>
      <c r="U234" s="81"/>
      <c r="V234" s="84"/>
      <c r="W234" s="84"/>
    </row>
    <row r="235" spans="1:23" x14ac:dyDescent="0.4">
      <c r="A235" s="85" t="s">
        <v>413</v>
      </c>
      <c r="B235" s="107" t="s">
        <v>174</v>
      </c>
      <c r="C235" s="131"/>
      <c r="D235" s="131"/>
      <c r="E235" s="131"/>
      <c r="F235" s="131"/>
      <c r="G235" s="131"/>
      <c r="H235" s="131"/>
      <c r="I235" s="112"/>
      <c r="J235" s="77"/>
      <c r="K235" s="84"/>
      <c r="L235" s="84"/>
      <c r="M235" s="80"/>
      <c r="N235" s="84"/>
      <c r="P235" s="94"/>
      <c r="Q235" s="81" t="e">
        <f t="shared" si="9"/>
        <v>#DIV/0!</v>
      </c>
      <c r="R235" s="81" t="e">
        <f t="shared" si="10"/>
        <v>#DIV/0!</v>
      </c>
      <c r="S235" s="81">
        <v>7</v>
      </c>
      <c r="T235" s="81" t="e">
        <f t="shared" si="11"/>
        <v>#DIV/0!</v>
      </c>
      <c r="U235" s="81" t="e">
        <f>AVERAGE(T233:T235)</f>
        <v>#DIV/0!</v>
      </c>
      <c r="V235" s="81" t="e">
        <f>_xlfn.STDEV.S(T233:T235)</f>
        <v>#DIV/0!</v>
      </c>
      <c r="W235" s="81">
        <f>MAX(K233:K235)-MIN(K233:K235)</f>
        <v>0</v>
      </c>
    </row>
    <row r="236" spans="1:23" x14ac:dyDescent="0.4">
      <c r="A236" s="85" t="s">
        <v>414</v>
      </c>
      <c r="B236" s="109" t="s">
        <v>146</v>
      </c>
      <c r="C236" s="131" t="s">
        <v>177</v>
      </c>
      <c r="D236" s="131"/>
      <c r="E236" s="131"/>
      <c r="F236" s="131"/>
      <c r="G236" s="131"/>
      <c r="H236" s="131"/>
      <c r="I236" s="112"/>
      <c r="J236" s="77"/>
      <c r="K236" s="84">
        <v>17.260000000000002</v>
      </c>
      <c r="L236" s="86">
        <v>1070000</v>
      </c>
      <c r="M236" s="80"/>
      <c r="N236" s="87"/>
      <c r="P236" s="94"/>
      <c r="Q236" s="81" t="e">
        <f t="shared" si="9"/>
        <v>#DIV/0!</v>
      </c>
      <c r="R236" s="81" t="e">
        <f t="shared" si="10"/>
        <v>#DIV/0!</v>
      </c>
      <c r="S236" s="81">
        <v>7</v>
      </c>
      <c r="T236" s="81" t="e">
        <f t="shared" si="11"/>
        <v>#DIV/0!</v>
      </c>
      <c r="U236" s="81"/>
      <c r="V236" s="84"/>
      <c r="W236" s="84"/>
    </row>
    <row r="237" spans="1:23" x14ac:dyDescent="0.4">
      <c r="A237" s="85" t="s">
        <v>415</v>
      </c>
      <c r="B237" s="109" t="s">
        <v>146</v>
      </c>
      <c r="C237" s="131" t="s">
        <v>177</v>
      </c>
      <c r="D237" s="131"/>
      <c r="E237" s="131"/>
      <c r="F237" s="131"/>
      <c r="G237" s="131"/>
      <c r="H237" s="131"/>
      <c r="I237" s="112"/>
      <c r="J237" s="77"/>
      <c r="K237" s="84">
        <v>17.34</v>
      </c>
      <c r="L237" s="86">
        <v>1020000</v>
      </c>
      <c r="M237" s="80"/>
      <c r="N237" s="87"/>
      <c r="P237" s="94"/>
      <c r="Q237" s="81" t="e">
        <f t="shared" si="9"/>
        <v>#DIV/0!</v>
      </c>
      <c r="R237" s="81" t="e">
        <f t="shared" si="10"/>
        <v>#DIV/0!</v>
      </c>
      <c r="S237" s="81">
        <v>7</v>
      </c>
      <c r="T237" s="81" t="e">
        <f t="shared" si="11"/>
        <v>#DIV/0!</v>
      </c>
      <c r="U237" s="81"/>
      <c r="V237" s="84"/>
      <c r="W237" s="84"/>
    </row>
    <row r="238" spans="1:23" x14ac:dyDescent="0.4">
      <c r="A238" s="85" t="s">
        <v>416</v>
      </c>
      <c r="B238" s="109" t="s">
        <v>146</v>
      </c>
      <c r="C238" s="131" t="s">
        <v>177</v>
      </c>
      <c r="D238" s="131"/>
      <c r="E238" s="131"/>
      <c r="F238" s="131"/>
      <c r="G238" s="131"/>
      <c r="H238" s="131"/>
      <c r="I238" s="112"/>
      <c r="J238" s="77"/>
      <c r="K238" s="84">
        <v>17.32</v>
      </c>
      <c r="L238" s="86">
        <v>1030000</v>
      </c>
      <c r="M238" s="80"/>
      <c r="N238" s="87"/>
      <c r="P238" s="94"/>
      <c r="Q238" s="81" t="e">
        <f t="shared" si="9"/>
        <v>#DIV/0!</v>
      </c>
      <c r="R238" s="81" t="e">
        <f t="shared" si="10"/>
        <v>#DIV/0!</v>
      </c>
      <c r="S238" s="81">
        <v>7</v>
      </c>
      <c r="T238" s="81" t="e">
        <f t="shared" si="11"/>
        <v>#DIV/0!</v>
      </c>
      <c r="U238" s="81" t="e">
        <f>AVERAGE(T236:T238)</f>
        <v>#DIV/0!</v>
      </c>
      <c r="V238" s="81" t="e">
        <f>_xlfn.STDEV.S(T236:T238)</f>
        <v>#DIV/0!</v>
      </c>
      <c r="W238" s="81">
        <f>MAX(K236:K238)-MIN(K236:K238)</f>
        <v>7.9999999999998295E-2</v>
      </c>
    </row>
    <row r="239" spans="1:23" x14ac:dyDescent="0.4">
      <c r="A239" s="85" t="s">
        <v>417</v>
      </c>
      <c r="B239" s="109" t="s">
        <v>110</v>
      </c>
      <c r="C239" s="129" t="s">
        <v>8</v>
      </c>
      <c r="D239" s="129" t="s">
        <v>485</v>
      </c>
      <c r="E239" s="129" t="s">
        <v>484</v>
      </c>
      <c r="F239" s="129" t="s">
        <v>485</v>
      </c>
      <c r="G239" s="129" t="s">
        <v>484</v>
      </c>
      <c r="H239" s="129" t="s">
        <v>484</v>
      </c>
      <c r="I239" s="112">
        <v>5.8</v>
      </c>
      <c r="J239" s="77" t="s">
        <v>132</v>
      </c>
      <c r="K239" s="84">
        <v>18.59</v>
      </c>
      <c r="L239" s="86">
        <v>449000</v>
      </c>
      <c r="M239" s="80">
        <v>0.4</v>
      </c>
      <c r="N239" s="87">
        <v>50</v>
      </c>
      <c r="O239">
        <v>7.24</v>
      </c>
      <c r="P239" s="94">
        <v>3.9626258700000001</v>
      </c>
      <c r="Q239" s="81">
        <f t="shared" si="9"/>
        <v>1.8270713000720404</v>
      </c>
      <c r="R239" s="81">
        <f t="shared" si="10"/>
        <v>102544376.71654326</v>
      </c>
      <c r="S239" s="81">
        <v>7</v>
      </c>
      <c r="T239" s="81">
        <f t="shared" si="11"/>
        <v>14649196.673791895</v>
      </c>
      <c r="U239" s="81"/>
      <c r="V239" s="84"/>
      <c r="W239" s="84"/>
    </row>
    <row r="240" spans="1:23" x14ac:dyDescent="0.4">
      <c r="A240" s="85" t="s">
        <v>418</v>
      </c>
      <c r="B240" s="109" t="s">
        <v>110</v>
      </c>
      <c r="C240" s="129" t="s">
        <v>8</v>
      </c>
      <c r="D240" s="129" t="s">
        <v>485</v>
      </c>
      <c r="E240" s="129" t="s">
        <v>484</v>
      </c>
      <c r="F240" s="129" t="s">
        <v>485</v>
      </c>
      <c r="G240" s="129" t="s">
        <v>484</v>
      </c>
      <c r="H240" s="129" t="s">
        <v>484</v>
      </c>
      <c r="I240" s="112">
        <v>5.8</v>
      </c>
      <c r="J240" s="77" t="s">
        <v>132</v>
      </c>
      <c r="K240" s="84">
        <v>18.32</v>
      </c>
      <c r="L240" s="86">
        <v>536000</v>
      </c>
      <c r="M240" s="80">
        <v>0.4</v>
      </c>
      <c r="N240" s="87">
        <v>50</v>
      </c>
      <c r="O240">
        <v>7.24</v>
      </c>
      <c r="P240" s="94">
        <v>3.9626258700000001</v>
      </c>
      <c r="Q240" s="81">
        <f t="shared" si="9"/>
        <v>1.8270713000720404</v>
      </c>
      <c r="R240" s="81">
        <f t="shared" si="10"/>
        <v>122413777.10482672</v>
      </c>
      <c r="S240" s="81">
        <v>7</v>
      </c>
      <c r="T240" s="81">
        <f t="shared" si="11"/>
        <v>17487682.443546675</v>
      </c>
      <c r="U240" s="81"/>
      <c r="V240" s="84"/>
      <c r="W240" s="84"/>
    </row>
    <row r="241" spans="1:23" x14ac:dyDescent="0.4">
      <c r="A241" s="85" t="s">
        <v>419</v>
      </c>
      <c r="B241" s="109" t="s">
        <v>110</v>
      </c>
      <c r="C241" s="129" t="s">
        <v>8</v>
      </c>
      <c r="D241" s="129" t="s">
        <v>485</v>
      </c>
      <c r="E241" s="129" t="s">
        <v>484</v>
      </c>
      <c r="F241" s="129" t="s">
        <v>485</v>
      </c>
      <c r="G241" s="129" t="s">
        <v>484</v>
      </c>
      <c r="H241" s="129" t="s">
        <v>484</v>
      </c>
      <c r="I241" s="112">
        <v>5.8</v>
      </c>
      <c r="J241" s="77" t="s">
        <v>132</v>
      </c>
      <c r="K241" s="84">
        <v>18.47</v>
      </c>
      <c r="L241" s="86">
        <v>486000</v>
      </c>
      <c r="M241" s="80">
        <v>0.4</v>
      </c>
      <c r="N241" s="87">
        <v>50</v>
      </c>
      <c r="O241">
        <v>7.24</v>
      </c>
      <c r="P241" s="94">
        <v>3.9626258700000001</v>
      </c>
      <c r="Q241" s="81">
        <f t="shared" si="9"/>
        <v>1.8270713000720404</v>
      </c>
      <c r="R241" s="81">
        <f t="shared" si="10"/>
        <v>110994581.47937645</v>
      </c>
      <c r="S241" s="81">
        <v>7</v>
      </c>
      <c r="T241" s="81">
        <f t="shared" si="11"/>
        <v>15856368.782768065</v>
      </c>
      <c r="U241" s="81">
        <f>AVERAGE(T239:T241)</f>
        <v>15997749.300035544</v>
      </c>
      <c r="V241" s="81">
        <f>_xlfn.STDEV.S(T239:T241)</f>
        <v>1424514.5503897853</v>
      </c>
      <c r="W241" s="81">
        <f>MAX(K239:K241)-MIN(K239:K241)</f>
        <v>0.26999999999999957</v>
      </c>
    </row>
    <row r="242" spans="1:23" x14ac:dyDescent="0.4">
      <c r="A242" s="85" t="s">
        <v>420</v>
      </c>
      <c r="B242" s="109" t="s">
        <v>111</v>
      </c>
      <c r="C242" s="129" t="s">
        <v>9</v>
      </c>
      <c r="D242" s="129" t="s">
        <v>485</v>
      </c>
      <c r="E242" s="129" t="s">
        <v>484</v>
      </c>
      <c r="F242" s="129" t="s">
        <v>485</v>
      </c>
      <c r="G242" s="129" t="s">
        <v>485</v>
      </c>
      <c r="H242" s="129" t="s">
        <v>484</v>
      </c>
      <c r="I242" s="112">
        <v>5.8</v>
      </c>
      <c r="J242" s="77" t="s">
        <v>132</v>
      </c>
      <c r="K242" s="84">
        <v>24.17</v>
      </c>
      <c r="L242" s="86">
        <v>11600</v>
      </c>
      <c r="M242" s="80">
        <v>0.4</v>
      </c>
      <c r="N242" s="87">
        <v>50</v>
      </c>
      <c r="O242">
        <v>6.09</v>
      </c>
      <c r="P242" s="94">
        <v>3.51862158</v>
      </c>
      <c r="Q242" s="81">
        <f t="shared" si="9"/>
        <v>1.7307914083787321</v>
      </c>
      <c r="R242" s="81">
        <f t="shared" si="10"/>
        <v>2509647.5421491615</v>
      </c>
      <c r="S242" s="81">
        <v>7</v>
      </c>
      <c r="T242" s="81">
        <f t="shared" si="11"/>
        <v>358521.07744988019</v>
      </c>
      <c r="U242" s="81"/>
      <c r="V242" s="84"/>
      <c r="W242" s="84"/>
    </row>
    <row r="243" spans="1:23" x14ac:dyDescent="0.4">
      <c r="A243" s="85" t="s">
        <v>421</v>
      </c>
      <c r="B243" s="109" t="s">
        <v>111</v>
      </c>
      <c r="C243" s="129" t="s">
        <v>9</v>
      </c>
      <c r="D243" s="129" t="s">
        <v>485</v>
      </c>
      <c r="E243" s="129" t="s">
        <v>484</v>
      </c>
      <c r="F243" s="129" t="s">
        <v>485</v>
      </c>
      <c r="G243" s="129" t="s">
        <v>485</v>
      </c>
      <c r="H243" s="129" t="s">
        <v>484</v>
      </c>
      <c r="I243" s="112">
        <v>5.8</v>
      </c>
      <c r="J243" s="77" t="s">
        <v>132</v>
      </c>
      <c r="K243" s="84">
        <v>24.26</v>
      </c>
      <c r="L243" s="86">
        <v>11000</v>
      </c>
      <c r="M243" s="80">
        <v>0.4</v>
      </c>
      <c r="N243" s="87">
        <v>50</v>
      </c>
      <c r="O243">
        <v>6.09</v>
      </c>
      <c r="P243" s="94">
        <v>3.51862158</v>
      </c>
      <c r="Q243" s="81">
        <f t="shared" si="9"/>
        <v>1.7307914083787321</v>
      </c>
      <c r="R243" s="81">
        <f t="shared" si="10"/>
        <v>2379838.1865207562</v>
      </c>
      <c r="S243" s="81">
        <v>7</v>
      </c>
      <c r="T243" s="81">
        <f t="shared" si="11"/>
        <v>339976.88378867944</v>
      </c>
      <c r="U243" s="81"/>
      <c r="V243" s="84"/>
      <c r="W243" s="84"/>
    </row>
    <row r="244" spans="1:23" x14ac:dyDescent="0.4">
      <c r="A244" s="85" t="s">
        <v>422</v>
      </c>
      <c r="B244" s="109" t="s">
        <v>111</v>
      </c>
      <c r="C244" s="129" t="s">
        <v>9</v>
      </c>
      <c r="D244" s="129" t="s">
        <v>485</v>
      </c>
      <c r="E244" s="129" t="s">
        <v>484</v>
      </c>
      <c r="F244" s="129" t="s">
        <v>485</v>
      </c>
      <c r="G244" s="129" t="s">
        <v>485</v>
      </c>
      <c r="H244" s="129" t="s">
        <v>484</v>
      </c>
      <c r="I244" s="112">
        <v>5.8</v>
      </c>
      <c r="J244" s="77" t="s">
        <v>132</v>
      </c>
      <c r="K244" s="84">
        <v>24.28</v>
      </c>
      <c r="L244" s="86">
        <v>10800</v>
      </c>
      <c r="M244" s="80">
        <v>0.4</v>
      </c>
      <c r="N244" s="87">
        <v>50</v>
      </c>
      <c r="O244">
        <v>6.09</v>
      </c>
      <c r="P244" s="94">
        <v>3.51862158</v>
      </c>
      <c r="Q244" s="81">
        <f t="shared" si="9"/>
        <v>1.7307914083787321</v>
      </c>
      <c r="R244" s="81">
        <f t="shared" si="10"/>
        <v>2336568.4013112881</v>
      </c>
      <c r="S244" s="81">
        <v>7</v>
      </c>
      <c r="T244" s="81">
        <f t="shared" si="11"/>
        <v>333795.48590161261</v>
      </c>
      <c r="U244" s="81">
        <f>AVERAGE(T242:T244)</f>
        <v>344097.81571339071</v>
      </c>
      <c r="V244" s="81">
        <f>_xlfn.STDEV.S(T242:T244)</f>
        <v>12867.605810678959</v>
      </c>
      <c r="W244" s="81">
        <f>MAX(K242:K244)-MIN(K242:K244)</f>
        <v>0.10999999999999943</v>
      </c>
    </row>
    <row r="245" spans="1:23" x14ac:dyDescent="0.4">
      <c r="A245" s="85" t="s">
        <v>423</v>
      </c>
      <c r="B245" s="107" t="s">
        <v>174</v>
      </c>
      <c r="C245" s="131"/>
      <c r="D245" s="131"/>
      <c r="E245" s="131"/>
      <c r="F245" s="131"/>
      <c r="G245" s="131"/>
      <c r="H245" s="131"/>
      <c r="I245" s="112"/>
      <c r="J245" s="77"/>
      <c r="K245" s="84"/>
      <c r="L245" s="84"/>
      <c r="M245" s="80"/>
      <c r="N245" s="84"/>
      <c r="P245" s="94"/>
      <c r="Q245" s="81" t="e">
        <f t="shared" si="9"/>
        <v>#DIV/0!</v>
      </c>
      <c r="R245" s="81" t="e">
        <f t="shared" si="10"/>
        <v>#DIV/0!</v>
      </c>
      <c r="S245" s="81">
        <v>7</v>
      </c>
      <c r="T245" s="81" t="e">
        <f t="shared" si="11"/>
        <v>#DIV/0!</v>
      </c>
      <c r="U245" s="81"/>
      <c r="V245" s="84"/>
      <c r="W245" s="84"/>
    </row>
    <row r="246" spans="1:23" x14ac:dyDescent="0.4">
      <c r="A246" s="85" t="s">
        <v>424</v>
      </c>
      <c r="B246" s="107" t="s">
        <v>174</v>
      </c>
      <c r="C246" s="131"/>
      <c r="D246" s="131"/>
      <c r="E246" s="131"/>
      <c r="F246" s="131"/>
      <c r="G246" s="131"/>
      <c r="H246" s="131"/>
      <c r="I246" s="112"/>
      <c r="J246" s="77"/>
      <c r="K246" s="84"/>
      <c r="L246" s="84"/>
      <c r="M246" s="80"/>
      <c r="N246" s="84"/>
      <c r="P246" s="94"/>
      <c r="Q246" s="81" t="e">
        <f t="shared" si="9"/>
        <v>#DIV/0!</v>
      </c>
      <c r="R246" s="81" t="e">
        <f t="shared" si="10"/>
        <v>#DIV/0!</v>
      </c>
      <c r="S246" s="81">
        <v>7</v>
      </c>
      <c r="T246" s="81" t="e">
        <f t="shared" si="11"/>
        <v>#DIV/0!</v>
      </c>
      <c r="U246" s="81"/>
      <c r="V246" s="84"/>
      <c r="W246" s="84"/>
    </row>
    <row r="247" spans="1:23" x14ac:dyDescent="0.4">
      <c r="A247" s="85" t="s">
        <v>425</v>
      </c>
      <c r="B247" s="107" t="s">
        <v>174</v>
      </c>
      <c r="C247" s="131"/>
      <c r="D247" s="131"/>
      <c r="E247" s="131"/>
      <c r="F247" s="131"/>
      <c r="G247" s="131"/>
      <c r="H247" s="131"/>
      <c r="I247" s="112"/>
      <c r="J247" s="77"/>
      <c r="K247" s="84"/>
      <c r="L247" s="84"/>
      <c r="M247" s="80"/>
      <c r="N247" s="84"/>
      <c r="P247" s="94"/>
      <c r="Q247" s="81" t="e">
        <f t="shared" si="9"/>
        <v>#DIV/0!</v>
      </c>
      <c r="R247" s="81" t="e">
        <f t="shared" si="10"/>
        <v>#DIV/0!</v>
      </c>
      <c r="S247" s="81">
        <v>7</v>
      </c>
      <c r="T247" s="81" t="e">
        <f t="shared" si="11"/>
        <v>#DIV/0!</v>
      </c>
      <c r="U247" s="81" t="e">
        <f>AVERAGE(T245:T247)</f>
        <v>#DIV/0!</v>
      </c>
      <c r="V247" s="81" t="e">
        <f>_xlfn.STDEV.S(T245:T247)</f>
        <v>#DIV/0!</v>
      </c>
      <c r="W247" s="81">
        <f>MAX(K245:K247)-MIN(K245:K247)</f>
        <v>0</v>
      </c>
    </row>
    <row r="248" spans="1:23" x14ac:dyDescent="0.4">
      <c r="A248" s="85" t="s">
        <v>426</v>
      </c>
      <c r="B248" s="109" t="s">
        <v>149</v>
      </c>
      <c r="C248" s="131" t="s">
        <v>178</v>
      </c>
      <c r="D248" s="131"/>
      <c r="E248" s="131"/>
      <c r="F248" s="131"/>
      <c r="G248" s="131"/>
      <c r="H248" s="131"/>
      <c r="I248" s="112"/>
      <c r="J248" s="77"/>
      <c r="K248" s="84">
        <v>20.8</v>
      </c>
      <c r="L248" s="86">
        <v>106000</v>
      </c>
      <c r="M248" s="80"/>
      <c r="N248" s="87"/>
      <c r="P248" s="94"/>
      <c r="Q248" s="81" t="e">
        <f t="shared" si="9"/>
        <v>#DIV/0!</v>
      </c>
      <c r="R248" s="81" t="e">
        <f t="shared" si="10"/>
        <v>#DIV/0!</v>
      </c>
      <c r="S248" s="81">
        <v>7</v>
      </c>
      <c r="T248" s="81" t="e">
        <f t="shared" si="11"/>
        <v>#DIV/0!</v>
      </c>
      <c r="U248" s="81"/>
      <c r="V248" s="84"/>
      <c r="W248" s="84"/>
    </row>
    <row r="249" spans="1:23" x14ac:dyDescent="0.4">
      <c r="A249" s="85" t="s">
        <v>427</v>
      </c>
      <c r="B249" s="109" t="s">
        <v>149</v>
      </c>
      <c r="C249" s="131" t="s">
        <v>178</v>
      </c>
      <c r="D249" s="131"/>
      <c r="E249" s="131"/>
      <c r="F249" s="131"/>
      <c r="G249" s="131"/>
      <c r="H249" s="131"/>
      <c r="I249" s="112"/>
      <c r="J249" s="77"/>
      <c r="K249" s="84">
        <v>20.85</v>
      </c>
      <c r="L249" s="86">
        <v>103000</v>
      </c>
      <c r="M249" s="80"/>
      <c r="N249" s="87"/>
      <c r="P249" s="94"/>
      <c r="Q249" s="81" t="e">
        <f t="shared" si="9"/>
        <v>#DIV/0!</v>
      </c>
      <c r="R249" s="81" t="e">
        <f t="shared" si="10"/>
        <v>#DIV/0!</v>
      </c>
      <c r="S249" s="81">
        <v>7</v>
      </c>
      <c r="T249" s="81" t="e">
        <f t="shared" si="11"/>
        <v>#DIV/0!</v>
      </c>
      <c r="U249" s="81"/>
      <c r="V249" s="84"/>
      <c r="W249" s="84"/>
    </row>
    <row r="250" spans="1:23" x14ac:dyDescent="0.4">
      <c r="A250" s="85" t="s">
        <v>428</v>
      </c>
      <c r="B250" s="109" t="s">
        <v>149</v>
      </c>
      <c r="C250" s="131" t="s">
        <v>178</v>
      </c>
      <c r="D250" s="131"/>
      <c r="E250" s="131"/>
      <c r="F250" s="131"/>
      <c r="G250" s="131"/>
      <c r="H250" s="131"/>
      <c r="I250" s="112"/>
      <c r="J250" s="77"/>
      <c r="K250" s="84">
        <v>20.82</v>
      </c>
      <c r="L250" s="86">
        <v>104000</v>
      </c>
      <c r="M250" s="80"/>
      <c r="N250" s="87"/>
      <c r="P250" s="94"/>
      <c r="Q250" s="81" t="e">
        <f t="shared" si="9"/>
        <v>#DIV/0!</v>
      </c>
      <c r="R250" s="81" t="e">
        <f t="shared" si="10"/>
        <v>#DIV/0!</v>
      </c>
      <c r="S250" s="81">
        <v>7</v>
      </c>
      <c r="T250" s="81" t="e">
        <f t="shared" si="11"/>
        <v>#DIV/0!</v>
      </c>
      <c r="U250" s="81" t="e">
        <f>AVERAGE(T248:T250)</f>
        <v>#DIV/0!</v>
      </c>
      <c r="V250" s="81" t="e">
        <f>_xlfn.STDEV.S(T248:T250)</f>
        <v>#DIV/0!</v>
      </c>
      <c r="W250" s="81">
        <f>MAX(K248:K250)-MIN(K248:K250)</f>
        <v>5.0000000000000711E-2</v>
      </c>
    </row>
    <row r="251" spans="1:23" x14ac:dyDescent="0.4">
      <c r="A251" s="85" t="s">
        <v>429</v>
      </c>
      <c r="B251" s="109" t="s">
        <v>120</v>
      </c>
      <c r="C251" s="129" t="s">
        <v>8</v>
      </c>
      <c r="D251" s="129" t="s">
        <v>485</v>
      </c>
      <c r="E251" s="129" t="s">
        <v>484</v>
      </c>
      <c r="F251" s="129" t="s">
        <v>485</v>
      </c>
      <c r="G251" s="129" t="s">
        <v>484</v>
      </c>
      <c r="H251" s="129" t="s">
        <v>484</v>
      </c>
      <c r="I251" s="112">
        <v>4.8</v>
      </c>
      <c r="J251" s="77" t="s">
        <v>133</v>
      </c>
      <c r="K251" s="84">
        <v>23.89</v>
      </c>
      <c r="L251" s="86">
        <v>13900</v>
      </c>
      <c r="M251" s="80">
        <v>0.4</v>
      </c>
      <c r="N251" s="87">
        <v>50</v>
      </c>
      <c r="O251">
        <v>3.41</v>
      </c>
      <c r="P251" s="94">
        <v>3.3580046440000002</v>
      </c>
      <c r="Q251" s="81">
        <f t="shared" si="9"/>
        <v>1.0154840036010384</v>
      </c>
      <c r="R251" s="81">
        <f t="shared" si="10"/>
        <v>1764403.4562568043</v>
      </c>
      <c r="S251" s="81">
        <v>7</v>
      </c>
      <c r="T251" s="81">
        <f t="shared" si="11"/>
        <v>252057.6366081149</v>
      </c>
      <c r="U251" s="81"/>
      <c r="V251" s="84"/>
      <c r="W251" s="84"/>
    </row>
    <row r="252" spans="1:23" x14ac:dyDescent="0.4">
      <c r="A252" s="85" t="s">
        <v>430</v>
      </c>
      <c r="B252" s="109" t="s">
        <v>120</v>
      </c>
      <c r="C252" s="129" t="s">
        <v>8</v>
      </c>
      <c r="D252" s="129" t="s">
        <v>485</v>
      </c>
      <c r="E252" s="129" t="s">
        <v>484</v>
      </c>
      <c r="F252" s="129" t="s">
        <v>485</v>
      </c>
      <c r="G252" s="129" t="s">
        <v>484</v>
      </c>
      <c r="H252" s="129" t="s">
        <v>484</v>
      </c>
      <c r="I252" s="112">
        <v>4.8</v>
      </c>
      <c r="J252" s="77" t="s">
        <v>133</v>
      </c>
      <c r="K252" s="84">
        <v>23.89</v>
      </c>
      <c r="L252" s="86">
        <v>14000</v>
      </c>
      <c r="M252" s="80">
        <v>0.4</v>
      </c>
      <c r="N252" s="87">
        <v>50</v>
      </c>
      <c r="O252">
        <v>3.41</v>
      </c>
      <c r="P252" s="94">
        <v>3.3580046440000002</v>
      </c>
      <c r="Q252" s="81">
        <f t="shared" si="9"/>
        <v>1.0154840036010384</v>
      </c>
      <c r="R252" s="81">
        <f t="shared" si="10"/>
        <v>1777097.0063018173</v>
      </c>
      <c r="S252" s="81">
        <v>7</v>
      </c>
      <c r="T252" s="81">
        <f t="shared" si="11"/>
        <v>253871.00090025962</v>
      </c>
      <c r="U252" s="81"/>
      <c r="V252" s="84"/>
      <c r="W252" s="84"/>
    </row>
    <row r="253" spans="1:23" x14ac:dyDescent="0.4">
      <c r="A253" s="85" t="s">
        <v>431</v>
      </c>
      <c r="B253" s="109" t="s">
        <v>120</v>
      </c>
      <c r="C253" s="129" t="s">
        <v>8</v>
      </c>
      <c r="D253" s="129" t="s">
        <v>485</v>
      </c>
      <c r="E253" s="129" t="s">
        <v>484</v>
      </c>
      <c r="F253" s="129" t="s">
        <v>485</v>
      </c>
      <c r="G253" s="129" t="s">
        <v>484</v>
      </c>
      <c r="H253" s="129" t="s">
        <v>484</v>
      </c>
      <c r="I253" s="112">
        <v>4.8</v>
      </c>
      <c r="J253" s="77" t="s">
        <v>133</v>
      </c>
      <c r="K253" s="84">
        <v>23.85</v>
      </c>
      <c r="L253" s="86">
        <v>14400</v>
      </c>
      <c r="M253" s="80">
        <v>0.4</v>
      </c>
      <c r="N253" s="87">
        <v>50</v>
      </c>
      <c r="O253">
        <v>3.41</v>
      </c>
      <c r="P253" s="94">
        <v>3.3580046440000002</v>
      </c>
      <c r="Q253" s="81">
        <f t="shared" si="9"/>
        <v>1.0154840036010384</v>
      </c>
      <c r="R253" s="81">
        <f t="shared" si="10"/>
        <v>1827871.2064818691</v>
      </c>
      <c r="S253" s="81">
        <v>7</v>
      </c>
      <c r="T253" s="81">
        <f t="shared" si="11"/>
        <v>261124.45806883843</v>
      </c>
      <c r="U253" s="81">
        <f>AVERAGE(T251:T253)</f>
        <v>255684.36519240434</v>
      </c>
      <c r="V253" s="81">
        <f>_xlfn.STDEV.S(T251:T253)</f>
        <v>4797.7109533795656</v>
      </c>
      <c r="W253" s="81">
        <f>MAX(K251:K253)-MIN(K251:K253)</f>
        <v>3.9999999999999147E-2</v>
      </c>
    </row>
    <row r="254" spans="1:23" x14ac:dyDescent="0.4">
      <c r="A254" s="85" t="s">
        <v>432</v>
      </c>
      <c r="B254" s="109" t="s">
        <v>121</v>
      </c>
      <c r="C254" s="129" t="s">
        <v>9</v>
      </c>
      <c r="D254" s="129" t="s">
        <v>485</v>
      </c>
      <c r="E254" s="129" t="s">
        <v>484</v>
      </c>
      <c r="F254" s="129" t="s">
        <v>485</v>
      </c>
      <c r="G254" s="129" t="s">
        <v>485</v>
      </c>
      <c r="H254" s="129" t="s">
        <v>484</v>
      </c>
      <c r="I254" s="112">
        <v>4.8</v>
      </c>
      <c r="J254" s="77" t="s">
        <v>133</v>
      </c>
      <c r="K254" s="84">
        <v>23.58</v>
      </c>
      <c r="L254" s="86">
        <v>17200</v>
      </c>
      <c r="M254" s="80">
        <v>0.4</v>
      </c>
      <c r="N254" s="87">
        <v>50</v>
      </c>
      <c r="O254">
        <v>5.14</v>
      </c>
      <c r="P254" s="94">
        <v>4.0757038860000003</v>
      </c>
      <c r="Q254" s="81">
        <f t="shared" si="9"/>
        <v>1.2611318544646595</v>
      </c>
      <c r="R254" s="81">
        <f t="shared" si="10"/>
        <v>2711433.4870990179</v>
      </c>
      <c r="S254" s="81">
        <v>7</v>
      </c>
      <c r="T254" s="81">
        <f t="shared" si="11"/>
        <v>387347.6410141454</v>
      </c>
      <c r="U254" s="81"/>
      <c r="V254" s="84"/>
      <c r="W254" s="84"/>
    </row>
    <row r="255" spans="1:23" x14ac:dyDescent="0.4">
      <c r="A255" s="85" t="s">
        <v>433</v>
      </c>
      <c r="B255" s="109" t="s">
        <v>121</v>
      </c>
      <c r="C255" s="129" t="s">
        <v>9</v>
      </c>
      <c r="D255" s="129" t="s">
        <v>485</v>
      </c>
      <c r="E255" s="129" t="s">
        <v>484</v>
      </c>
      <c r="F255" s="129" t="s">
        <v>485</v>
      </c>
      <c r="G255" s="129" t="s">
        <v>485</v>
      </c>
      <c r="H255" s="129" t="s">
        <v>484</v>
      </c>
      <c r="I255" s="112">
        <v>4.8</v>
      </c>
      <c r="J255" s="77" t="s">
        <v>133</v>
      </c>
      <c r="K255" s="84">
        <v>23.57</v>
      </c>
      <c r="L255" s="86">
        <v>17200</v>
      </c>
      <c r="M255" s="80">
        <v>0.4</v>
      </c>
      <c r="N255" s="87">
        <v>50</v>
      </c>
      <c r="O255">
        <v>5.14</v>
      </c>
      <c r="P255" s="94">
        <v>4.0757038860000003</v>
      </c>
      <c r="Q255" s="81">
        <f t="shared" si="9"/>
        <v>1.2611318544646595</v>
      </c>
      <c r="R255" s="81">
        <f t="shared" si="10"/>
        <v>2711433.4870990179</v>
      </c>
      <c r="S255" s="81">
        <v>7</v>
      </c>
      <c r="T255" s="81">
        <f t="shared" si="11"/>
        <v>387347.6410141454</v>
      </c>
      <c r="U255" s="81"/>
      <c r="V255" s="84"/>
      <c r="W255" s="84"/>
    </row>
    <row r="256" spans="1:23" x14ac:dyDescent="0.4">
      <c r="A256" s="85" t="s">
        <v>434</v>
      </c>
      <c r="B256" s="109" t="s">
        <v>121</v>
      </c>
      <c r="C256" s="129" t="s">
        <v>9</v>
      </c>
      <c r="D256" s="129" t="s">
        <v>485</v>
      </c>
      <c r="E256" s="129" t="s">
        <v>484</v>
      </c>
      <c r="F256" s="129" t="s">
        <v>485</v>
      </c>
      <c r="G256" s="129" t="s">
        <v>485</v>
      </c>
      <c r="H256" s="129" t="s">
        <v>484</v>
      </c>
      <c r="I256" s="112">
        <v>4.8</v>
      </c>
      <c r="J256" s="77" t="s">
        <v>133</v>
      </c>
      <c r="K256" s="84">
        <v>23.63</v>
      </c>
      <c r="L256" s="86">
        <v>16600</v>
      </c>
      <c r="M256" s="80">
        <v>0.4</v>
      </c>
      <c r="N256" s="87">
        <v>50</v>
      </c>
      <c r="O256">
        <v>5.14</v>
      </c>
      <c r="P256" s="94">
        <v>4.0757038860000003</v>
      </c>
      <c r="Q256" s="81">
        <f t="shared" si="9"/>
        <v>1.2611318544646595</v>
      </c>
      <c r="R256" s="81">
        <f t="shared" si="10"/>
        <v>2616848.5980141684</v>
      </c>
      <c r="S256" s="81">
        <v>7</v>
      </c>
      <c r="T256" s="81">
        <f t="shared" si="11"/>
        <v>373835.51400202408</v>
      </c>
      <c r="U256" s="81">
        <f>AVERAGE(T254:T256)</f>
        <v>382843.59867677162</v>
      </c>
      <c r="V256" s="81">
        <f>_xlfn.STDEV.S(T254:T256)</f>
        <v>7801.2301677726555</v>
      </c>
      <c r="W256" s="81">
        <f>MAX(K254:K256)-MIN(K254:K256)</f>
        <v>5.9999999999998721E-2</v>
      </c>
    </row>
    <row r="257" spans="1:23" x14ac:dyDescent="0.4">
      <c r="A257" s="85" t="s">
        <v>435</v>
      </c>
      <c r="B257" s="107" t="s">
        <v>174</v>
      </c>
      <c r="C257" s="131"/>
      <c r="D257" s="131"/>
      <c r="E257" s="131"/>
      <c r="F257" s="131"/>
      <c r="G257" s="131"/>
      <c r="H257" s="131"/>
      <c r="I257" s="112"/>
      <c r="J257" s="77"/>
      <c r="K257" s="84"/>
      <c r="L257" s="84"/>
      <c r="M257" s="80"/>
      <c r="N257" s="84"/>
      <c r="P257" s="94"/>
      <c r="Q257" s="81" t="e">
        <f t="shared" si="9"/>
        <v>#DIV/0!</v>
      </c>
      <c r="R257" s="81" t="e">
        <f t="shared" si="10"/>
        <v>#DIV/0!</v>
      </c>
      <c r="S257" s="81">
        <v>7</v>
      </c>
      <c r="T257" s="81" t="e">
        <f t="shared" si="11"/>
        <v>#DIV/0!</v>
      </c>
      <c r="U257" s="81"/>
      <c r="V257" s="84"/>
      <c r="W257" s="84"/>
    </row>
    <row r="258" spans="1:23" x14ac:dyDescent="0.4">
      <c r="A258" s="85" t="s">
        <v>436</v>
      </c>
      <c r="B258" s="107" t="s">
        <v>174</v>
      </c>
      <c r="C258" s="131"/>
      <c r="D258" s="131"/>
      <c r="E258" s="131"/>
      <c r="F258" s="131"/>
      <c r="G258" s="131"/>
      <c r="H258" s="131"/>
      <c r="I258" s="112"/>
      <c r="J258" s="77"/>
      <c r="K258" s="84"/>
      <c r="L258" s="84"/>
      <c r="M258" s="80"/>
      <c r="N258" s="84"/>
      <c r="P258" s="94"/>
      <c r="Q258" s="81" t="e">
        <f t="shared" si="9"/>
        <v>#DIV/0!</v>
      </c>
      <c r="R258" s="81" t="e">
        <f t="shared" si="10"/>
        <v>#DIV/0!</v>
      </c>
      <c r="S258" s="81">
        <v>7</v>
      </c>
      <c r="T258" s="81" t="e">
        <f t="shared" si="11"/>
        <v>#DIV/0!</v>
      </c>
      <c r="U258" s="81"/>
      <c r="V258" s="84"/>
      <c r="W258" s="84"/>
    </row>
    <row r="259" spans="1:23" x14ac:dyDescent="0.4">
      <c r="A259" s="85" t="s">
        <v>437</v>
      </c>
      <c r="B259" s="107" t="s">
        <v>174</v>
      </c>
      <c r="C259" s="131"/>
      <c r="D259" s="131"/>
      <c r="E259" s="131"/>
      <c r="F259" s="131"/>
      <c r="G259" s="131"/>
      <c r="H259" s="131"/>
      <c r="I259" s="112"/>
      <c r="J259" s="77"/>
      <c r="K259" s="84"/>
      <c r="L259" s="84"/>
      <c r="M259" s="80"/>
      <c r="N259" s="84"/>
      <c r="P259" s="94"/>
      <c r="Q259" s="81" t="e">
        <f t="shared" si="9"/>
        <v>#DIV/0!</v>
      </c>
      <c r="R259" s="81" t="e">
        <f t="shared" si="10"/>
        <v>#DIV/0!</v>
      </c>
      <c r="S259" s="81">
        <v>7</v>
      </c>
      <c r="T259" s="81" t="e">
        <f t="shared" si="11"/>
        <v>#DIV/0!</v>
      </c>
      <c r="U259" s="81" t="e">
        <f>AVERAGE(T257:T259)</f>
        <v>#DIV/0!</v>
      </c>
      <c r="V259" s="81" t="e">
        <f>_xlfn.STDEV.S(T257:T259)</f>
        <v>#DIV/0!</v>
      </c>
      <c r="W259" s="81">
        <f>MAX(K257:K259)-MIN(K257:K259)</f>
        <v>0</v>
      </c>
    </row>
    <row r="260" spans="1:23" x14ac:dyDescent="0.4">
      <c r="A260" s="85" t="s">
        <v>438</v>
      </c>
      <c r="B260" s="109" t="s">
        <v>150</v>
      </c>
      <c r="C260" s="131" t="s">
        <v>179</v>
      </c>
      <c r="D260" s="131"/>
      <c r="E260" s="131"/>
      <c r="F260" s="131"/>
      <c r="G260" s="131"/>
      <c r="H260" s="131"/>
      <c r="I260" s="112"/>
      <c r="J260" s="77"/>
      <c r="K260" s="84">
        <v>24.34</v>
      </c>
      <c r="L260" s="86">
        <v>10400</v>
      </c>
      <c r="M260" s="80"/>
      <c r="N260" s="87"/>
      <c r="P260" s="94"/>
      <c r="Q260" s="81" t="e">
        <f t="shared" si="9"/>
        <v>#DIV/0!</v>
      </c>
      <c r="R260" s="81" t="e">
        <f t="shared" si="10"/>
        <v>#DIV/0!</v>
      </c>
      <c r="S260" s="81">
        <v>7</v>
      </c>
      <c r="T260" s="81" t="e">
        <f t="shared" si="11"/>
        <v>#DIV/0!</v>
      </c>
      <c r="U260" s="81"/>
      <c r="V260" s="84"/>
      <c r="W260" s="84"/>
    </row>
    <row r="261" spans="1:23" x14ac:dyDescent="0.4">
      <c r="A261" s="85" t="s">
        <v>439</v>
      </c>
      <c r="B261" s="109" t="s">
        <v>150</v>
      </c>
      <c r="C261" s="131" t="s">
        <v>179</v>
      </c>
      <c r="D261" s="131"/>
      <c r="E261" s="131"/>
      <c r="F261" s="131"/>
      <c r="G261" s="131"/>
      <c r="H261" s="131"/>
      <c r="I261" s="112"/>
      <c r="J261" s="77"/>
      <c r="K261" s="84">
        <v>24.24</v>
      </c>
      <c r="L261" s="86">
        <v>11100</v>
      </c>
      <c r="M261" s="80"/>
      <c r="N261" s="87"/>
      <c r="P261" s="94"/>
      <c r="Q261" s="81" t="e">
        <f t="shared" si="9"/>
        <v>#DIV/0!</v>
      </c>
      <c r="R261" s="81" t="e">
        <f t="shared" si="10"/>
        <v>#DIV/0!</v>
      </c>
      <c r="S261" s="81">
        <v>7</v>
      </c>
      <c r="T261" s="81" t="e">
        <f t="shared" si="11"/>
        <v>#DIV/0!</v>
      </c>
      <c r="U261" s="81"/>
      <c r="V261" s="84"/>
      <c r="W261" s="84"/>
    </row>
    <row r="262" spans="1:23" x14ac:dyDescent="0.4">
      <c r="A262" s="85" t="s">
        <v>440</v>
      </c>
      <c r="B262" s="109" t="s">
        <v>150</v>
      </c>
      <c r="C262" s="131" t="s">
        <v>179</v>
      </c>
      <c r="D262" s="131"/>
      <c r="E262" s="131"/>
      <c r="F262" s="131"/>
      <c r="G262" s="131"/>
      <c r="H262" s="131"/>
      <c r="I262" s="112"/>
      <c r="J262" s="77"/>
      <c r="K262" s="84">
        <v>24.33</v>
      </c>
      <c r="L262" s="86">
        <v>10500</v>
      </c>
      <c r="M262" s="80"/>
      <c r="N262" s="87"/>
      <c r="P262" s="94"/>
      <c r="Q262" s="81" t="e">
        <f t="shared" si="9"/>
        <v>#DIV/0!</v>
      </c>
      <c r="R262" s="81" t="e">
        <f t="shared" si="10"/>
        <v>#DIV/0!</v>
      </c>
      <c r="S262" s="81">
        <v>7</v>
      </c>
      <c r="T262" s="81" t="e">
        <f t="shared" si="11"/>
        <v>#DIV/0!</v>
      </c>
      <c r="U262" s="81" t="e">
        <f>AVERAGE(T260:T262)</f>
        <v>#DIV/0!</v>
      </c>
      <c r="V262" s="81" t="e">
        <f>_xlfn.STDEV.S(T260:T262)</f>
        <v>#DIV/0!</v>
      </c>
      <c r="W262" s="81">
        <f>MAX(K260:K262)-MIN(K260:K262)</f>
        <v>0.10000000000000142</v>
      </c>
    </row>
    <row r="263" spans="1:23" x14ac:dyDescent="0.4">
      <c r="A263" s="85" t="s">
        <v>441</v>
      </c>
      <c r="B263" s="109" t="s">
        <v>130</v>
      </c>
      <c r="C263" s="129" t="s">
        <v>8</v>
      </c>
      <c r="D263" s="129" t="s">
        <v>485</v>
      </c>
      <c r="E263" s="129" t="s">
        <v>484</v>
      </c>
      <c r="F263" s="129" t="s">
        <v>485</v>
      </c>
      <c r="G263" s="129" t="s">
        <v>484</v>
      </c>
      <c r="H263" s="129" t="s">
        <v>484</v>
      </c>
      <c r="I263" s="112">
        <v>5.8</v>
      </c>
      <c r="J263" s="77" t="s">
        <v>133</v>
      </c>
      <c r="K263" s="84">
        <v>14.71</v>
      </c>
      <c r="L263" s="86">
        <v>5720000</v>
      </c>
      <c r="M263" s="80">
        <v>0.4</v>
      </c>
      <c r="N263" s="87">
        <v>50</v>
      </c>
      <c r="O263">
        <v>143.59</v>
      </c>
      <c r="P263" s="94">
        <v>6.6052360180000003</v>
      </c>
      <c r="Q263" s="81">
        <f t="shared" si="9"/>
        <v>21.738814420665868</v>
      </c>
      <c r="R263" s="81">
        <f t="shared" si="10"/>
        <v>15543252310.776094</v>
      </c>
      <c r="S263" s="81">
        <v>7</v>
      </c>
      <c r="T263" s="81">
        <f t="shared" si="11"/>
        <v>2220464615.8251562</v>
      </c>
      <c r="U263" s="81"/>
      <c r="V263" s="84"/>
      <c r="W263" s="84"/>
    </row>
    <row r="264" spans="1:23" x14ac:dyDescent="0.4">
      <c r="A264" s="85" t="s">
        <v>442</v>
      </c>
      <c r="B264" s="109" t="s">
        <v>130</v>
      </c>
      <c r="C264" s="129" t="s">
        <v>8</v>
      </c>
      <c r="D264" s="129" t="s">
        <v>485</v>
      </c>
      <c r="E264" s="129" t="s">
        <v>484</v>
      </c>
      <c r="F264" s="129" t="s">
        <v>485</v>
      </c>
      <c r="G264" s="129" t="s">
        <v>484</v>
      </c>
      <c r="H264" s="129" t="s">
        <v>484</v>
      </c>
      <c r="I264" s="112">
        <v>5.8</v>
      </c>
      <c r="J264" s="77" t="s">
        <v>133</v>
      </c>
      <c r="K264" s="84">
        <v>14.73</v>
      </c>
      <c r="L264" s="86">
        <v>5660000</v>
      </c>
      <c r="M264" s="80">
        <v>0.4</v>
      </c>
      <c r="N264" s="87">
        <v>50</v>
      </c>
      <c r="O264">
        <v>143.59</v>
      </c>
      <c r="P264" s="94">
        <v>6.6052360180000003</v>
      </c>
      <c r="Q264" s="81">
        <f t="shared" si="9"/>
        <v>21.738814420665868</v>
      </c>
      <c r="R264" s="81">
        <f t="shared" si="10"/>
        <v>15380211202.621101</v>
      </c>
      <c r="S264" s="81">
        <v>7</v>
      </c>
      <c r="T264" s="81">
        <f t="shared" si="11"/>
        <v>2197173028.9458718</v>
      </c>
      <c r="U264" s="81"/>
      <c r="V264" s="84"/>
      <c r="W264" s="84"/>
    </row>
    <row r="265" spans="1:23" x14ac:dyDescent="0.4">
      <c r="A265" s="85" t="s">
        <v>443</v>
      </c>
      <c r="B265" s="109" t="s">
        <v>130</v>
      </c>
      <c r="C265" s="129" t="s">
        <v>8</v>
      </c>
      <c r="D265" s="129" t="s">
        <v>485</v>
      </c>
      <c r="E265" s="129" t="s">
        <v>484</v>
      </c>
      <c r="F265" s="129" t="s">
        <v>485</v>
      </c>
      <c r="G265" s="129" t="s">
        <v>484</v>
      </c>
      <c r="H265" s="129" t="s">
        <v>484</v>
      </c>
      <c r="I265" s="112">
        <v>5.8</v>
      </c>
      <c r="J265" s="77" t="s">
        <v>133</v>
      </c>
      <c r="K265" s="84">
        <v>14.7</v>
      </c>
      <c r="L265" s="86">
        <v>5760000</v>
      </c>
      <c r="M265" s="80">
        <v>0.4</v>
      </c>
      <c r="N265" s="87">
        <v>50</v>
      </c>
      <c r="O265">
        <v>143.59</v>
      </c>
      <c r="P265" s="94">
        <v>6.6052360180000003</v>
      </c>
      <c r="Q265" s="81">
        <f t="shared" si="9"/>
        <v>21.738814420665868</v>
      </c>
      <c r="R265" s="81">
        <f t="shared" si="10"/>
        <v>15651946382.879423</v>
      </c>
      <c r="S265" s="81">
        <v>7</v>
      </c>
      <c r="T265" s="81">
        <f t="shared" si="11"/>
        <v>2235992340.411346</v>
      </c>
      <c r="U265" s="81">
        <f>AVERAGE(T263:T265)</f>
        <v>2217876661.7274585</v>
      </c>
      <c r="V265" s="81">
        <f>_xlfn.STDEV.S(T263:T265)</f>
        <v>19538624.963702474</v>
      </c>
      <c r="W265" s="81">
        <f>MAX(K263:K265)-MIN(K263:K265)</f>
        <v>3.0000000000001137E-2</v>
      </c>
    </row>
    <row r="266" spans="1:23" x14ac:dyDescent="0.4">
      <c r="A266" s="85" t="s">
        <v>444</v>
      </c>
      <c r="B266" s="109" t="s">
        <v>131</v>
      </c>
      <c r="C266" s="129" t="s">
        <v>9</v>
      </c>
      <c r="D266" s="129" t="s">
        <v>485</v>
      </c>
      <c r="E266" s="129" t="s">
        <v>484</v>
      </c>
      <c r="F266" s="129" t="s">
        <v>485</v>
      </c>
      <c r="G266" s="129" t="s">
        <v>485</v>
      </c>
      <c r="H266" s="129" t="s">
        <v>484</v>
      </c>
      <c r="I266" s="112">
        <v>5.8</v>
      </c>
      <c r="J266" s="77" t="s">
        <v>133</v>
      </c>
      <c r="K266" s="84">
        <v>14.28</v>
      </c>
      <c r="L266" s="86">
        <v>7570000</v>
      </c>
      <c r="M266" s="80">
        <v>0.4</v>
      </c>
      <c r="N266" s="87">
        <v>50</v>
      </c>
      <c r="O266">
        <v>145.94999999999999</v>
      </c>
      <c r="P266" s="94">
        <v>7.5074601200000002</v>
      </c>
      <c r="Q266" s="81">
        <f t="shared" si="9"/>
        <v>19.440662709774074</v>
      </c>
      <c r="R266" s="81">
        <f t="shared" si="10"/>
        <v>18395727089.123714</v>
      </c>
      <c r="S266" s="81">
        <v>7</v>
      </c>
      <c r="T266" s="81">
        <f t="shared" si="11"/>
        <v>2627961012.7319593</v>
      </c>
      <c r="U266" s="81"/>
      <c r="V266" s="84"/>
      <c r="W266" s="84"/>
    </row>
    <row r="267" spans="1:23" x14ac:dyDescent="0.4">
      <c r="A267" s="85" t="s">
        <v>445</v>
      </c>
      <c r="B267" s="109" t="s">
        <v>131</v>
      </c>
      <c r="C267" s="129" t="s">
        <v>9</v>
      </c>
      <c r="D267" s="129" t="s">
        <v>485</v>
      </c>
      <c r="E267" s="129" t="s">
        <v>484</v>
      </c>
      <c r="F267" s="129" t="s">
        <v>485</v>
      </c>
      <c r="G267" s="129" t="s">
        <v>485</v>
      </c>
      <c r="H267" s="129" t="s">
        <v>484</v>
      </c>
      <c r="I267" s="112">
        <v>5.8</v>
      </c>
      <c r="J267" s="77" t="s">
        <v>133</v>
      </c>
      <c r="K267" s="84">
        <v>14.25</v>
      </c>
      <c r="L267" s="86">
        <v>7720000</v>
      </c>
      <c r="M267" s="80">
        <v>0.4</v>
      </c>
      <c r="N267" s="87">
        <v>50</v>
      </c>
      <c r="O267">
        <v>145.94999999999999</v>
      </c>
      <c r="P267" s="94">
        <v>7.5074601200000002</v>
      </c>
      <c r="Q267" s="81">
        <f t="shared" ref="Q267:Q298" si="12">O267/P267</f>
        <v>19.440662709774074</v>
      </c>
      <c r="R267" s="81">
        <f t="shared" ref="R267:R298" si="13">(L267*N267*Q267)/M267</f>
        <v>18760239514.93198</v>
      </c>
      <c r="S267" s="81">
        <v>7</v>
      </c>
      <c r="T267" s="81">
        <f t="shared" ref="T267:T298" si="14">R267/S267</f>
        <v>2680034216.4188542</v>
      </c>
      <c r="U267" s="81"/>
      <c r="V267" s="84"/>
      <c r="W267" s="84"/>
    </row>
    <row r="268" spans="1:23" x14ac:dyDescent="0.4">
      <c r="A268" s="85" t="s">
        <v>446</v>
      </c>
      <c r="B268" s="109" t="s">
        <v>131</v>
      </c>
      <c r="C268" s="129" t="s">
        <v>9</v>
      </c>
      <c r="D268" s="129" t="s">
        <v>485</v>
      </c>
      <c r="E268" s="129" t="s">
        <v>484</v>
      </c>
      <c r="F268" s="129" t="s">
        <v>485</v>
      </c>
      <c r="G268" s="129" t="s">
        <v>485</v>
      </c>
      <c r="H268" s="129" t="s">
        <v>484</v>
      </c>
      <c r="I268" s="112">
        <v>5.8</v>
      </c>
      <c r="J268" s="77" t="s">
        <v>133</v>
      </c>
      <c r="K268" s="84">
        <v>14.33</v>
      </c>
      <c r="L268" s="86">
        <v>7340000</v>
      </c>
      <c r="M268" s="80">
        <v>0.4</v>
      </c>
      <c r="N268" s="87">
        <v>50</v>
      </c>
      <c r="O268">
        <v>145.94999999999999</v>
      </c>
      <c r="P268" s="94">
        <v>7.5074601200000002</v>
      </c>
      <c r="Q268" s="81">
        <f t="shared" si="12"/>
        <v>19.440662709774074</v>
      </c>
      <c r="R268" s="81">
        <f t="shared" si="13"/>
        <v>17836808036.217712</v>
      </c>
      <c r="S268" s="81">
        <v>7</v>
      </c>
      <c r="T268" s="81">
        <f t="shared" si="14"/>
        <v>2548115433.7453876</v>
      </c>
      <c r="U268" s="81">
        <f>AVERAGE(T266:T268)</f>
        <v>2618703554.2987342</v>
      </c>
      <c r="V268" s="81">
        <f>_xlfn.STDEV.S(T266:T268)</f>
        <v>66444839.588898912</v>
      </c>
      <c r="W268" s="81">
        <f>MAX(K266:K268)-MIN(K266:K268)</f>
        <v>8.0000000000000071E-2</v>
      </c>
    </row>
    <row r="269" spans="1:23" x14ac:dyDescent="0.4">
      <c r="A269" s="85" t="s">
        <v>447</v>
      </c>
      <c r="B269" s="107" t="s">
        <v>174</v>
      </c>
      <c r="C269" s="131"/>
      <c r="D269" s="131"/>
      <c r="E269" s="131"/>
      <c r="F269" s="131"/>
      <c r="G269" s="131"/>
      <c r="H269" s="131"/>
      <c r="I269" s="112"/>
      <c r="J269" s="77"/>
      <c r="K269" s="84"/>
      <c r="L269" s="84"/>
      <c r="M269" s="80"/>
      <c r="N269" s="84"/>
      <c r="P269" s="94"/>
      <c r="Q269" s="81" t="e">
        <f t="shared" si="12"/>
        <v>#DIV/0!</v>
      </c>
      <c r="R269" s="81" t="e">
        <f t="shared" si="13"/>
        <v>#DIV/0!</v>
      </c>
      <c r="S269" s="81">
        <v>7</v>
      </c>
      <c r="T269" s="81" t="e">
        <f t="shared" si="14"/>
        <v>#DIV/0!</v>
      </c>
      <c r="U269" s="81"/>
      <c r="V269" s="84"/>
      <c r="W269" s="84"/>
    </row>
    <row r="270" spans="1:23" x14ac:dyDescent="0.4">
      <c r="A270" s="85" t="s">
        <v>448</v>
      </c>
      <c r="B270" s="107" t="s">
        <v>174</v>
      </c>
      <c r="C270" s="131"/>
      <c r="D270" s="131"/>
      <c r="E270" s="131"/>
      <c r="F270" s="131"/>
      <c r="G270" s="131"/>
      <c r="H270" s="131"/>
      <c r="I270" s="112"/>
      <c r="J270" s="77"/>
      <c r="K270" s="84"/>
      <c r="L270" s="84"/>
      <c r="M270" s="80"/>
      <c r="N270" s="84"/>
      <c r="P270" s="94"/>
      <c r="Q270" s="81" t="e">
        <f t="shared" si="12"/>
        <v>#DIV/0!</v>
      </c>
      <c r="R270" s="81" t="e">
        <f t="shared" si="13"/>
        <v>#DIV/0!</v>
      </c>
      <c r="S270" s="81">
        <v>7</v>
      </c>
      <c r="T270" s="81" t="e">
        <f t="shared" si="14"/>
        <v>#DIV/0!</v>
      </c>
      <c r="U270" s="81"/>
      <c r="V270" s="84"/>
      <c r="W270" s="84"/>
    </row>
    <row r="271" spans="1:23" x14ac:dyDescent="0.4">
      <c r="A271" s="85" t="s">
        <v>449</v>
      </c>
      <c r="B271" s="107" t="s">
        <v>174</v>
      </c>
      <c r="C271" s="131"/>
      <c r="D271" s="131"/>
      <c r="E271" s="131"/>
      <c r="F271" s="131"/>
      <c r="G271" s="131"/>
      <c r="H271" s="131"/>
      <c r="I271" s="112"/>
      <c r="J271" s="77"/>
      <c r="K271" s="84"/>
      <c r="L271" s="84"/>
      <c r="M271" s="80"/>
      <c r="N271" s="84"/>
      <c r="P271" s="94"/>
      <c r="Q271" s="81" t="e">
        <f t="shared" si="12"/>
        <v>#DIV/0!</v>
      </c>
      <c r="R271" s="81" t="e">
        <f t="shared" si="13"/>
        <v>#DIV/0!</v>
      </c>
      <c r="S271" s="81">
        <v>7</v>
      </c>
      <c r="T271" s="81" t="e">
        <f t="shared" si="14"/>
        <v>#DIV/0!</v>
      </c>
      <c r="U271" s="81" t="e">
        <f>AVERAGE(T269:T271)</f>
        <v>#DIV/0!</v>
      </c>
      <c r="V271" s="81" t="e">
        <f>_xlfn.STDEV.S(T269:T271)</f>
        <v>#DIV/0!</v>
      </c>
      <c r="W271" s="81">
        <f>MAX(K269:K271)-MIN(K269:K271)</f>
        <v>0</v>
      </c>
    </row>
    <row r="272" spans="1:23" x14ac:dyDescent="0.4">
      <c r="A272" s="85" t="s">
        <v>450</v>
      </c>
      <c r="B272" s="109" t="s">
        <v>151</v>
      </c>
      <c r="C272" s="131" t="s">
        <v>180</v>
      </c>
      <c r="D272" s="131"/>
      <c r="E272" s="131"/>
      <c r="F272" s="131"/>
      <c r="G272" s="131"/>
      <c r="H272" s="131"/>
      <c r="I272" s="112"/>
      <c r="J272" s="77"/>
      <c r="K272" s="84">
        <v>27.76</v>
      </c>
      <c r="L272" s="86">
        <v>991</v>
      </c>
      <c r="M272" s="80"/>
      <c r="N272" s="84"/>
      <c r="P272" s="94"/>
      <c r="Q272" s="81" t="e">
        <f t="shared" si="12"/>
        <v>#DIV/0!</v>
      </c>
      <c r="R272" s="81" t="e">
        <f t="shared" si="13"/>
        <v>#DIV/0!</v>
      </c>
      <c r="S272" s="81">
        <v>7</v>
      </c>
      <c r="T272" s="81" t="e">
        <f t="shared" si="14"/>
        <v>#DIV/0!</v>
      </c>
      <c r="U272" s="81"/>
      <c r="V272" s="84"/>
      <c r="W272" s="84"/>
    </row>
    <row r="273" spans="1:23" x14ac:dyDescent="0.4">
      <c r="A273" s="85" t="s">
        <v>451</v>
      </c>
      <c r="B273" s="109" t="s">
        <v>151</v>
      </c>
      <c r="C273" s="131" t="s">
        <v>180</v>
      </c>
      <c r="D273" s="131"/>
      <c r="E273" s="131"/>
      <c r="F273" s="131"/>
      <c r="G273" s="131"/>
      <c r="H273" s="131"/>
      <c r="I273" s="112"/>
      <c r="J273" s="77"/>
      <c r="K273" s="84">
        <v>27.65</v>
      </c>
      <c r="L273" s="86">
        <v>1080</v>
      </c>
      <c r="M273" s="80"/>
      <c r="N273" s="84"/>
      <c r="P273" s="94"/>
      <c r="Q273" s="81" t="e">
        <f t="shared" si="12"/>
        <v>#DIV/0!</v>
      </c>
      <c r="R273" s="81" t="e">
        <f t="shared" si="13"/>
        <v>#DIV/0!</v>
      </c>
      <c r="S273" s="81">
        <v>7</v>
      </c>
      <c r="T273" s="81" t="e">
        <f t="shared" si="14"/>
        <v>#DIV/0!</v>
      </c>
      <c r="U273" s="81"/>
      <c r="V273" s="84"/>
      <c r="W273" s="84"/>
    </row>
    <row r="274" spans="1:23" x14ac:dyDescent="0.4">
      <c r="A274" s="85" t="s">
        <v>452</v>
      </c>
      <c r="B274" s="109" t="s">
        <v>151</v>
      </c>
      <c r="C274" s="131" t="s">
        <v>180</v>
      </c>
      <c r="D274" s="131"/>
      <c r="E274" s="131"/>
      <c r="F274" s="131"/>
      <c r="G274" s="131"/>
      <c r="H274" s="131"/>
      <c r="I274" s="112"/>
      <c r="J274" s="77"/>
      <c r="K274" s="84">
        <v>27.7</v>
      </c>
      <c r="L274" s="86">
        <v>1040</v>
      </c>
      <c r="M274" s="80"/>
      <c r="N274" s="84"/>
      <c r="P274" s="94"/>
      <c r="Q274" s="81" t="e">
        <f t="shared" si="12"/>
        <v>#DIV/0!</v>
      </c>
      <c r="R274" s="81" t="e">
        <f t="shared" si="13"/>
        <v>#DIV/0!</v>
      </c>
      <c r="S274" s="81">
        <v>7</v>
      </c>
      <c r="T274" s="81" t="e">
        <f t="shared" si="14"/>
        <v>#DIV/0!</v>
      </c>
      <c r="U274" s="81" t="e">
        <f>AVERAGE(T272:T274)</f>
        <v>#DIV/0!</v>
      </c>
      <c r="V274" s="81" t="e">
        <f>_xlfn.STDEV.S(T272:T274)</f>
        <v>#DIV/0!</v>
      </c>
      <c r="W274" s="81">
        <f>MAX(K272:K274)-MIN(K272:K274)</f>
        <v>0.11000000000000298</v>
      </c>
    </row>
    <row r="275" spans="1:23" x14ac:dyDescent="0.4">
      <c r="A275" s="85" t="s">
        <v>453</v>
      </c>
      <c r="B275" s="109" t="s">
        <v>138</v>
      </c>
      <c r="C275" s="131" t="s">
        <v>181</v>
      </c>
      <c r="D275" s="131"/>
      <c r="E275" s="131"/>
      <c r="F275" s="131"/>
      <c r="G275" s="131"/>
      <c r="H275" s="131"/>
      <c r="I275" s="112"/>
      <c r="J275" s="77"/>
      <c r="K275" s="84">
        <v>11.23</v>
      </c>
      <c r="L275" s="86">
        <v>56000000</v>
      </c>
      <c r="M275" s="80">
        <v>0.4</v>
      </c>
      <c r="N275" s="87">
        <v>50</v>
      </c>
      <c r="O275">
        <v>32.68</v>
      </c>
      <c r="P275" s="94">
        <v>7.2550884509999998</v>
      </c>
      <c r="Q275" s="81">
        <f t="shared" si="12"/>
        <v>4.5044247524639864</v>
      </c>
      <c r="R275" s="81">
        <f t="shared" si="13"/>
        <v>31530973267.247906</v>
      </c>
      <c r="S275" s="81">
        <v>7</v>
      </c>
      <c r="T275" s="81">
        <f t="shared" si="14"/>
        <v>4504424752.4639864</v>
      </c>
      <c r="U275" s="81"/>
      <c r="V275" s="84"/>
      <c r="W275" s="84"/>
    </row>
    <row r="276" spans="1:23" x14ac:dyDescent="0.4">
      <c r="A276" s="85" t="s">
        <v>454</v>
      </c>
      <c r="B276" s="109" t="s">
        <v>138</v>
      </c>
      <c r="C276" s="131" t="s">
        <v>181</v>
      </c>
      <c r="D276" s="131"/>
      <c r="E276" s="131"/>
      <c r="F276" s="131"/>
      <c r="G276" s="131"/>
      <c r="H276" s="131"/>
      <c r="I276" s="112"/>
      <c r="J276" s="77"/>
      <c r="K276" s="84">
        <v>11.22</v>
      </c>
      <c r="L276" s="86">
        <v>56300000</v>
      </c>
      <c r="M276" s="80">
        <v>0.4</v>
      </c>
      <c r="N276" s="87">
        <v>50</v>
      </c>
      <c r="O276">
        <v>32.68</v>
      </c>
      <c r="P276" s="94">
        <v>7.2550884509999998</v>
      </c>
      <c r="Q276" s="81">
        <f t="shared" si="12"/>
        <v>4.5044247524639864</v>
      </c>
      <c r="R276" s="81">
        <f t="shared" si="13"/>
        <v>31699889195.465302</v>
      </c>
      <c r="S276" s="81">
        <v>7</v>
      </c>
      <c r="T276" s="81">
        <f t="shared" si="14"/>
        <v>4528555599.3521862</v>
      </c>
      <c r="U276" s="81"/>
      <c r="V276" s="84"/>
      <c r="W276" s="84"/>
    </row>
    <row r="277" spans="1:23" x14ac:dyDescent="0.4">
      <c r="A277" s="85" t="s">
        <v>455</v>
      </c>
      <c r="B277" s="109" t="s">
        <v>138</v>
      </c>
      <c r="C277" s="131" t="s">
        <v>181</v>
      </c>
      <c r="D277" s="131"/>
      <c r="E277" s="131"/>
      <c r="F277" s="131"/>
      <c r="G277" s="131"/>
      <c r="H277" s="131"/>
      <c r="I277" s="112"/>
      <c r="J277" s="77"/>
      <c r="K277" s="84">
        <v>11.17</v>
      </c>
      <c r="L277" s="86">
        <v>58000000</v>
      </c>
      <c r="M277" s="80">
        <v>0.4</v>
      </c>
      <c r="N277" s="87">
        <v>50</v>
      </c>
      <c r="O277">
        <v>32.68</v>
      </c>
      <c r="P277" s="94">
        <v>7.2550884509999998</v>
      </c>
      <c r="Q277" s="81">
        <f t="shared" si="12"/>
        <v>4.5044247524639864</v>
      </c>
      <c r="R277" s="81">
        <f t="shared" si="13"/>
        <v>32657079455.363903</v>
      </c>
      <c r="S277" s="81">
        <v>7</v>
      </c>
      <c r="T277" s="81">
        <f t="shared" si="14"/>
        <v>4665297065.0519857</v>
      </c>
      <c r="U277" s="81">
        <f>AVERAGE(T275:T277)</f>
        <v>4566092472.2893867</v>
      </c>
      <c r="V277" s="81">
        <f>_xlfn.STDEV.S(T275:T277)</f>
        <v>86756774.154992417</v>
      </c>
      <c r="W277" s="81">
        <f>MAX(K275:K277)-MIN(K275:K277)</f>
        <v>6.0000000000000497E-2</v>
      </c>
    </row>
    <row r="278" spans="1:23" x14ac:dyDescent="0.4">
      <c r="A278" s="85" t="s">
        <v>456</v>
      </c>
      <c r="B278" s="109" t="s">
        <v>138</v>
      </c>
      <c r="C278" s="131" t="s">
        <v>181</v>
      </c>
      <c r="D278" s="131"/>
      <c r="E278" s="131"/>
      <c r="F278" s="131"/>
      <c r="G278" s="131"/>
      <c r="H278" s="131"/>
      <c r="I278" s="112"/>
      <c r="J278" s="77"/>
      <c r="K278" s="84">
        <v>11.33</v>
      </c>
      <c r="L278" s="86">
        <v>52400000</v>
      </c>
      <c r="M278" s="80">
        <v>0.4</v>
      </c>
      <c r="N278" s="87">
        <v>50</v>
      </c>
      <c r="O278">
        <v>36.909999999999997</v>
      </c>
      <c r="P278" s="94">
        <v>6.9136389979999997</v>
      </c>
      <c r="Q278" s="81">
        <f t="shared" si="12"/>
        <v>5.338722489079549</v>
      </c>
      <c r="R278" s="81">
        <f t="shared" si="13"/>
        <v>34968632303.471046</v>
      </c>
      <c r="S278" s="81">
        <v>7</v>
      </c>
      <c r="T278" s="81">
        <f t="shared" si="14"/>
        <v>4995518900.4958639</v>
      </c>
      <c r="U278" s="81"/>
      <c r="V278" s="84"/>
      <c r="W278" s="84"/>
    </row>
    <row r="279" spans="1:23" x14ac:dyDescent="0.4">
      <c r="A279" s="85" t="s">
        <v>457</v>
      </c>
      <c r="B279" s="109" t="s">
        <v>138</v>
      </c>
      <c r="C279" s="131" t="s">
        <v>181</v>
      </c>
      <c r="D279" s="131"/>
      <c r="E279" s="131"/>
      <c r="F279" s="131"/>
      <c r="G279" s="131"/>
      <c r="H279" s="131"/>
      <c r="I279" s="112"/>
      <c r="J279" s="77"/>
      <c r="K279" s="84">
        <v>11.44</v>
      </c>
      <c r="L279" s="86">
        <v>48600000</v>
      </c>
      <c r="M279" s="80">
        <v>0.4</v>
      </c>
      <c r="N279" s="87">
        <v>50</v>
      </c>
      <c r="O279">
        <v>36.909999999999997</v>
      </c>
      <c r="P279" s="94">
        <v>6.9136389979999997</v>
      </c>
      <c r="Q279" s="81">
        <f t="shared" si="12"/>
        <v>5.338722489079549</v>
      </c>
      <c r="R279" s="81">
        <f t="shared" si="13"/>
        <v>32432739121.15826</v>
      </c>
      <c r="S279" s="81">
        <v>7</v>
      </c>
      <c r="T279" s="81">
        <f t="shared" si="14"/>
        <v>4633248445.8797512</v>
      </c>
      <c r="U279" s="81"/>
      <c r="V279" s="84"/>
      <c r="W279" s="84"/>
    </row>
    <row r="280" spans="1:23" x14ac:dyDescent="0.4">
      <c r="A280" s="85" t="s">
        <v>458</v>
      </c>
      <c r="B280" s="109" t="s">
        <v>138</v>
      </c>
      <c r="C280" s="131" t="s">
        <v>181</v>
      </c>
      <c r="D280" s="131"/>
      <c r="E280" s="131"/>
      <c r="F280" s="131"/>
      <c r="G280" s="131"/>
      <c r="H280" s="131"/>
      <c r="I280" s="112"/>
      <c r="J280" s="77"/>
      <c r="K280" s="84">
        <v>11.49</v>
      </c>
      <c r="L280" s="86">
        <v>47000000</v>
      </c>
      <c r="M280" s="80">
        <v>0.4</v>
      </c>
      <c r="N280" s="87">
        <v>50</v>
      </c>
      <c r="O280">
        <v>36.909999999999997</v>
      </c>
      <c r="P280" s="94">
        <v>6.9136389979999997</v>
      </c>
      <c r="Q280" s="81">
        <f t="shared" si="12"/>
        <v>5.338722489079549</v>
      </c>
      <c r="R280" s="81">
        <f t="shared" si="13"/>
        <v>31364994623.34235</v>
      </c>
      <c r="S280" s="81">
        <v>7</v>
      </c>
      <c r="T280" s="81">
        <f t="shared" si="14"/>
        <v>4480713517.6203356</v>
      </c>
      <c r="U280" s="81">
        <f>AVERAGE(T278:T280)</f>
        <v>4703160287.9986496</v>
      </c>
      <c r="V280" s="81">
        <f>_xlfn.STDEV.S(T278:T280)</f>
        <v>264427484.97602934</v>
      </c>
      <c r="W280" s="81">
        <f>MAX(K278:K280)-MIN(K278:K280)</f>
        <v>0.16000000000000014</v>
      </c>
    </row>
    <row r="281" spans="1:23" x14ac:dyDescent="0.4">
      <c r="A281" s="85" t="s">
        <v>459</v>
      </c>
      <c r="B281" s="109" t="s">
        <v>139</v>
      </c>
      <c r="C281" s="131" t="s">
        <v>183</v>
      </c>
      <c r="D281" s="131"/>
      <c r="E281" s="131"/>
      <c r="F281" s="131"/>
      <c r="G281" s="131"/>
      <c r="H281" s="131"/>
      <c r="I281" s="112"/>
      <c r="J281" s="77"/>
      <c r="K281" s="84">
        <v>12.62</v>
      </c>
      <c r="L281" s="86">
        <v>22500000</v>
      </c>
      <c r="M281" s="80">
        <v>0.4</v>
      </c>
      <c r="N281" s="87">
        <v>50</v>
      </c>
      <c r="O281" s="96">
        <v>13.945656868071055</v>
      </c>
      <c r="P281" s="94">
        <v>6.5039735009999999</v>
      </c>
      <c r="Q281" s="81">
        <f t="shared" si="12"/>
        <v>2.1441749210581622</v>
      </c>
      <c r="R281" s="81">
        <f t="shared" si="13"/>
        <v>6030491965.4760809</v>
      </c>
      <c r="S281" s="81">
        <v>7</v>
      </c>
      <c r="T281" s="81">
        <f t="shared" si="14"/>
        <v>861498852.21086872</v>
      </c>
      <c r="U281" s="81"/>
      <c r="V281" s="84"/>
      <c r="W281" s="84"/>
    </row>
    <row r="282" spans="1:23" x14ac:dyDescent="0.4">
      <c r="A282" s="85" t="s">
        <v>460</v>
      </c>
      <c r="B282" s="109" t="s">
        <v>139</v>
      </c>
      <c r="C282" s="131" t="s">
        <v>183</v>
      </c>
      <c r="D282" s="131"/>
      <c r="E282" s="131"/>
      <c r="F282" s="131"/>
      <c r="G282" s="131"/>
      <c r="H282" s="131"/>
      <c r="I282" s="112"/>
      <c r="J282" s="77"/>
      <c r="K282" s="84">
        <v>12.58</v>
      </c>
      <c r="L282" s="86">
        <v>23000000</v>
      </c>
      <c r="M282" s="80">
        <v>0.4</v>
      </c>
      <c r="N282" s="87">
        <v>50</v>
      </c>
      <c r="O282" s="96">
        <v>13.945656868071055</v>
      </c>
      <c r="P282" s="94">
        <v>6.5039735009999999</v>
      </c>
      <c r="Q282" s="81">
        <f t="shared" si="12"/>
        <v>2.1441749210581622</v>
      </c>
      <c r="R282" s="81">
        <f t="shared" si="13"/>
        <v>6164502898.0422163</v>
      </c>
      <c r="S282" s="81">
        <v>7</v>
      </c>
      <c r="T282" s="81">
        <f t="shared" si="14"/>
        <v>880643271.14888799</v>
      </c>
      <c r="U282" s="81"/>
      <c r="V282" s="84"/>
      <c r="W282" s="84"/>
    </row>
    <row r="283" spans="1:23" x14ac:dyDescent="0.4">
      <c r="A283" s="85" t="s">
        <v>461</v>
      </c>
      <c r="B283" s="109" t="s">
        <v>139</v>
      </c>
      <c r="C283" s="131" t="s">
        <v>183</v>
      </c>
      <c r="D283" s="131"/>
      <c r="E283" s="131"/>
      <c r="F283" s="131"/>
      <c r="G283" s="131"/>
      <c r="H283" s="131"/>
      <c r="I283" s="112"/>
      <c r="J283" s="77"/>
      <c r="K283" s="84">
        <v>12.56</v>
      </c>
      <c r="L283" s="86">
        <v>23400000</v>
      </c>
      <c r="M283" s="80">
        <v>0.4</v>
      </c>
      <c r="N283" s="87">
        <v>50</v>
      </c>
      <c r="O283" s="96">
        <v>13.945656868071055</v>
      </c>
      <c r="P283" s="94">
        <v>6.5039735009999999</v>
      </c>
      <c r="Q283" s="81">
        <f t="shared" si="12"/>
        <v>2.1441749210581622</v>
      </c>
      <c r="R283" s="81">
        <f t="shared" si="13"/>
        <v>6271711644.0951233</v>
      </c>
      <c r="S283" s="81">
        <v>7</v>
      </c>
      <c r="T283" s="81">
        <f t="shared" si="14"/>
        <v>895958806.29930329</v>
      </c>
      <c r="U283" s="81">
        <f>AVERAGE(T281:T283)</f>
        <v>879366976.55302</v>
      </c>
      <c r="V283" s="81">
        <f>_xlfn.STDEV.S(T281:T283)</f>
        <v>17265393.272840213</v>
      </c>
      <c r="W283" s="81">
        <f>MAX(K281:K283)-MIN(K281:K283)</f>
        <v>5.9999999999998721E-2</v>
      </c>
    </row>
    <row r="284" spans="1:23" x14ac:dyDescent="0.4">
      <c r="A284" s="85" t="s">
        <v>462</v>
      </c>
      <c r="B284" s="109" t="s">
        <v>152</v>
      </c>
      <c r="C284" s="131" t="s">
        <v>184</v>
      </c>
      <c r="D284" s="131"/>
      <c r="E284" s="131"/>
      <c r="F284" s="131"/>
      <c r="G284" s="131"/>
      <c r="H284" s="131"/>
      <c r="I284" s="112"/>
      <c r="J284" s="77"/>
      <c r="K284" s="84">
        <v>30.69</v>
      </c>
      <c r="L284" s="86">
        <v>112</v>
      </c>
      <c r="M284" s="80"/>
      <c r="N284" s="87"/>
      <c r="O284" s="97"/>
      <c r="P284" s="94"/>
      <c r="Q284" s="81" t="e">
        <f t="shared" si="12"/>
        <v>#DIV/0!</v>
      </c>
      <c r="R284" s="81" t="e">
        <f t="shared" si="13"/>
        <v>#DIV/0!</v>
      </c>
      <c r="S284" s="81">
        <v>7</v>
      </c>
      <c r="T284" s="81" t="e">
        <f t="shared" si="14"/>
        <v>#DIV/0!</v>
      </c>
      <c r="U284" s="81"/>
      <c r="V284" s="84"/>
      <c r="W284" s="84"/>
    </row>
    <row r="285" spans="1:23" x14ac:dyDescent="0.4">
      <c r="A285" s="85" t="s">
        <v>463</v>
      </c>
      <c r="B285" s="109" t="s">
        <v>152</v>
      </c>
      <c r="C285" s="131" t="s">
        <v>184</v>
      </c>
      <c r="D285" s="131"/>
      <c r="E285" s="131"/>
      <c r="F285" s="131"/>
      <c r="G285" s="131"/>
      <c r="H285" s="131"/>
      <c r="I285" s="112"/>
      <c r="J285" s="77"/>
      <c r="K285" s="84">
        <v>31.7</v>
      </c>
      <c r="L285" s="86">
        <v>50.9</v>
      </c>
      <c r="M285" s="80"/>
      <c r="N285" s="87"/>
      <c r="O285" s="97"/>
      <c r="P285" s="94"/>
      <c r="Q285" s="81" t="e">
        <f t="shared" si="12"/>
        <v>#DIV/0!</v>
      </c>
      <c r="R285" s="81" t="e">
        <f t="shared" si="13"/>
        <v>#DIV/0!</v>
      </c>
      <c r="S285" s="81">
        <v>7</v>
      </c>
      <c r="T285" s="81" t="e">
        <f t="shared" si="14"/>
        <v>#DIV/0!</v>
      </c>
      <c r="U285" s="81"/>
      <c r="V285" s="84"/>
      <c r="W285" s="84"/>
    </row>
    <row r="286" spans="1:23" x14ac:dyDescent="0.4">
      <c r="A286" s="85" t="s">
        <v>464</v>
      </c>
      <c r="B286" s="109" t="s">
        <v>152</v>
      </c>
      <c r="C286" s="131" t="s">
        <v>184</v>
      </c>
      <c r="D286" s="131"/>
      <c r="E286" s="131"/>
      <c r="F286" s="131"/>
      <c r="G286" s="131"/>
      <c r="H286" s="131"/>
      <c r="I286" s="112"/>
      <c r="J286" s="77"/>
      <c r="K286" s="84">
        <v>32.08</v>
      </c>
      <c r="L286" s="86">
        <v>37.6</v>
      </c>
      <c r="M286" s="80"/>
      <c r="N286" s="87"/>
      <c r="O286" s="97"/>
      <c r="P286" s="94"/>
      <c r="Q286" s="81" t="e">
        <f t="shared" si="12"/>
        <v>#DIV/0!</v>
      </c>
      <c r="R286" s="81" t="e">
        <f t="shared" si="13"/>
        <v>#DIV/0!</v>
      </c>
      <c r="S286" s="81">
        <v>7</v>
      </c>
      <c r="T286" s="81" t="e">
        <f t="shared" si="14"/>
        <v>#DIV/0!</v>
      </c>
      <c r="U286" s="81" t="e">
        <f>AVERAGE(T284:T286)</f>
        <v>#DIV/0!</v>
      </c>
      <c r="V286" s="81" t="e">
        <f>_xlfn.STDEV.S(T284:T286)</f>
        <v>#DIV/0!</v>
      </c>
      <c r="W286" s="81">
        <f>MAX(K284:K286)-MIN(K284:K286)</f>
        <v>1.389999999999997</v>
      </c>
    </row>
    <row r="287" spans="1:23" x14ac:dyDescent="0.4">
      <c r="A287" s="85" t="s">
        <v>465</v>
      </c>
      <c r="B287" s="109" t="s">
        <v>145</v>
      </c>
      <c r="C287" s="131" t="s">
        <v>185</v>
      </c>
      <c r="D287" s="131"/>
      <c r="E287" s="131"/>
      <c r="F287" s="131"/>
      <c r="G287" s="131"/>
      <c r="H287" s="131"/>
      <c r="I287" s="112"/>
      <c r="J287" s="77"/>
      <c r="K287" s="84">
        <v>35</v>
      </c>
      <c r="L287" s="86">
        <v>3.4</v>
      </c>
      <c r="M287" s="80"/>
      <c r="N287" s="84"/>
      <c r="O287" s="97"/>
      <c r="P287" s="94"/>
      <c r="Q287" s="81" t="e">
        <f t="shared" si="12"/>
        <v>#DIV/0!</v>
      </c>
      <c r="R287" s="81" t="e">
        <f t="shared" si="13"/>
        <v>#DIV/0!</v>
      </c>
      <c r="S287" s="81">
        <v>7</v>
      </c>
      <c r="T287" s="81" t="e">
        <f t="shared" si="14"/>
        <v>#DIV/0!</v>
      </c>
      <c r="U287" s="81"/>
      <c r="V287" s="84"/>
      <c r="W287" s="84"/>
    </row>
    <row r="288" spans="1:23" x14ac:dyDescent="0.4">
      <c r="A288" s="85" t="s">
        <v>466</v>
      </c>
      <c r="B288" s="109" t="s">
        <v>145</v>
      </c>
      <c r="C288" s="131" t="s">
        <v>185</v>
      </c>
      <c r="D288" s="131"/>
      <c r="E288" s="131"/>
      <c r="F288" s="131"/>
      <c r="G288" s="131"/>
      <c r="H288" s="131"/>
      <c r="I288" s="112"/>
      <c r="J288" s="77"/>
      <c r="K288" s="84">
        <v>35</v>
      </c>
      <c r="L288" s="86">
        <v>3.4</v>
      </c>
      <c r="M288" s="80"/>
      <c r="N288" s="84"/>
      <c r="O288" s="97"/>
      <c r="P288" s="94"/>
      <c r="Q288" s="81" t="e">
        <f t="shared" si="12"/>
        <v>#DIV/0!</v>
      </c>
      <c r="R288" s="81" t="e">
        <f t="shared" si="13"/>
        <v>#DIV/0!</v>
      </c>
      <c r="S288" s="81">
        <v>7</v>
      </c>
      <c r="T288" s="81" t="e">
        <f t="shared" si="14"/>
        <v>#DIV/0!</v>
      </c>
      <c r="U288" s="81"/>
      <c r="V288" s="84"/>
      <c r="W288" s="84"/>
    </row>
    <row r="289" spans="1:23" x14ac:dyDescent="0.4">
      <c r="A289" s="85" t="s">
        <v>467</v>
      </c>
      <c r="B289" s="109" t="s">
        <v>145</v>
      </c>
      <c r="C289" s="131" t="s">
        <v>185</v>
      </c>
      <c r="D289" s="131"/>
      <c r="E289" s="131"/>
      <c r="F289" s="131"/>
      <c r="G289" s="131"/>
      <c r="H289" s="131"/>
      <c r="I289" s="112"/>
      <c r="J289" s="77"/>
      <c r="K289" s="84">
        <v>35</v>
      </c>
      <c r="L289" s="86">
        <v>3.4</v>
      </c>
      <c r="M289" s="80"/>
      <c r="N289" s="84"/>
      <c r="O289" s="97"/>
      <c r="P289" s="94"/>
      <c r="Q289" s="81" t="e">
        <f t="shared" si="12"/>
        <v>#DIV/0!</v>
      </c>
      <c r="R289" s="81" t="e">
        <f t="shared" si="13"/>
        <v>#DIV/0!</v>
      </c>
      <c r="S289" s="81">
        <v>7</v>
      </c>
      <c r="T289" s="81" t="e">
        <f t="shared" si="14"/>
        <v>#DIV/0!</v>
      </c>
      <c r="U289" s="81" t="e">
        <f>AVERAGE(T287:T289)</f>
        <v>#DIV/0!</v>
      </c>
      <c r="V289" s="81" t="e">
        <f>_xlfn.STDEV.S(T287:T289)</f>
        <v>#DIV/0!</v>
      </c>
      <c r="W289" s="81">
        <f>MAX(K287:K289)-MIN(K287:K289)</f>
        <v>0</v>
      </c>
    </row>
    <row r="290" spans="1:23" x14ac:dyDescent="0.4">
      <c r="A290" s="85" t="s">
        <v>468</v>
      </c>
      <c r="B290" s="107" t="s">
        <v>174</v>
      </c>
      <c r="C290" s="131"/>
      <c r="D290" s="131"/>
      <c r="E290" s="131"/>
      <c r="F290" s="131"/>
      <c r="G290" s="131"/>
      <c r="H290" s="131"/>
      <c r="I290" s="112"/>
      <c r="J290" s="77"/>
      <c r="K290" s="84"/>
      <c r="L290" s="84"/>
      <c r="M290" s="80"/>
      <c r="N290" s="84"/>
      <c r="O290" s="97"/>
      <c r="P290" s="94"/>
      <c r="Q290" s="81" t="e">
        <f t="shared" si="12"/>
        <v>#DIV/0!</v>
      </c>
      <c r="R290" s="81" t="e">
        <f t="shared" si="13"/>
        <v>#DIV/0!</v>
      </c>
      <c r="S290" s="81">
        <v>7</v>
      </c>
      <c r="T290" s="81" t="e">
        <f t="shared" si="14"/>
        <v>#DIV/0!</v>
      </c>
      <c r="U290" s="81"/>
      <c r="V290" s="84"/>
      <c r="W290" s="84"/>
    </row>
    <row r="291" spans="1:23" x14ac:dyDescent="0.4">
      <c r="A291" s="85" t="s">
        <v>469</v>
      </c>
      <c r="B291" s="107" t="s">
        <v>174</v>
      </c>
      <c r="C291" s="131"/>
      <c r="D291" s="131"/>
      <c r="E291" s="131"/>
      <c r="F291" s="131"/>
      <c r="G291" s="131"/>
      <c r="H291" s="131"/>
      <c r="I291" s="112"/>
      <c r="J291" s="77"/>
      <c r="K291" s="84"/>
      <c r="L291" s="84"/>
      <c r="M291" s="80"/>
      <c r="N291" s="84"/>
      <c r="O291" s="97"/>
      <c r="P291" s="94"/>
      <c r="Q291" s="81" t="e">
        <f t="shared" si="12"/>
        <v>#DIV/0!</v>
      </c>
      <c r="R291" s="81" t="e">
        <f t="shared" si="13"/>
        <v>#DIV/0!</v>
      </c>
      <c r="S291" s="81">
        <v>7</v>
      </c>
      <c r="T291" s="81" t="e">
        <f t="shared" si="14"/>
        <v>#DIV/0!</v>
      </c>
      <c r="U291" s="81"/>
      <c r="V291" s="84"/>
      <c r="W291" s="84"/>
    </row>
    <row r="292" spans="1:23" x14ac:dyDescent="0.4">
      <c r="A292" s="85" t="s">
        <v>470</v>
      </c>
      <c r="B292" s="107" t="s">
        <v>174</v>
      </c>
      <c r="C292" s="131"/>
      <c r="D292" s="131"/>
      <c r="E292" s="131"/>
      <c r="F292" s="131"/>
      <c r="G292" s="131"/>
      <c r="H292" s="131"/>
      <c r="I292" s="112"/>
      <c r="J292" s="77"/>
      <c r="K292" s="84"/>
      <c r="L292" s="84"/>
      <c r="M292" s="80"/>
      <c r="N292" s="84"/>
      <c r="O292" s="97"/>
      <c r="P292" s="94"/>
      <c r="Q292" s="81" t="e">
        <f t="shared" si="12"/>
        <v>#DIV/0!</v>
      </c>
      <c r="R292" s="81" t="e">
        <f t="shared" si="13"/>
        <v>#DIV/0!</v>
      </c>
      <c r="S292" s="81">
        <v>7</v>
      </c>
      <c r="T292" s="81" t="e">
        <f t="shared" si="14"/>
        <v>#DIV/0!</v>
      </c>
      <c r="U292" s="81" t="e">
        <f>AVERAGE(T290:T292)</f>
        <v>#DIV/0!</v>
      </c>
      <c r="V292" s="81" t="e">
        <f>_xlfn.STDEV.S(T290:T292)</f>
        <v>#DIV/0!</v>
      </c>
      <c r="W292" s="81">
        <f>MAX(K290:K292)-MIN(K290:K292)</f>
        <v>0</v>
      </c>
    </row>
    <row r="293" spans="1:23" x14ac:dyDescent="0.4">
      <c r="A293" s="85" t="s">
        <v>471</v>
      </c>
      <c r="B293" s="109" t="s">
        <v>139</v>
      </c>
      <c r="C293" s="133" t="s">
        <v>183</v>
      </c>
      <c r="D293" s="133"/>
      <c r="E293" s="133"/>
      <c r="F293" s="133"/>
      <c r="G293" s="133"/>
      <c r="H293" s="133"/>
      <c r="I293" s="112"/>
      <c r="J293" s="77"/>
      <c r="K293" s="84">
        <v>12.5</v>
      </c>
      <c r="L293" s="86">
        <v>24300000</v>
      </c>
      <c r="M293" s="80">
        <v>0.4</v>
      </c>
      <c r="N293" s="87">
        <v>50</v>
      </c>
      <c r="O293" s="96">
        <v>9.770407725758286</v>
      </c>
      <c r="P293" s="94">
        <v>5.7393814980000002</v>
      </c>
      <c r="Q293" s="81">
        <f t="shared" si="12"/>
        <v>1.7023450574182908</v>
      </c>
      <c r="R293" s="81">
        <f t="shared" si="13"/>
        <v>5170873111.9080582</v>
      </c>
      <c r="S293" s="81">
        <v>7</v>
      </c>
      <c r="T293" s="81">
        <f t="shared" si="14"/>
        <v>738696158.84400833</v>
      </c>
      <c r="U293" s="81"/>
      <c r="V293" s="84"/>
      <c r="W293" s="84"/>
    </row>
    <row r="294" spans="1:23" x14ac:dyDescent="0.4">
      <c r="A294" s="85" t="s">
        <v>472</v>
      </c>
      <c r="B294" s="109" t="s">
        <v>139</v>
      </c>
      <c r="C294" s="133" t="s">
        <v>183</v>
      </c>
      <c r="D294" s="133"/>
      <c r="E294" s="133"/>
      <c r="F294" s="133"/>
      <c r="G294" s="133"/>
      <c r="H294" s="133"/>
      <c r="I294" s="112"/>
      <c r="J294" s="77"/>
      <c r="K294" s="84">
        <v>12.49</v>
      </c>
      <c r="L294" s="86">
        <v>24500000</v>
      </c>
      <c r="M294" s="80">
        <v>0.4</v>
      </c>
      <c r="N294" s="87">
        <v>50</v>
      </c>
      <c r="O294" s="96">
        <v>9.770407725758286</v>
      </c>
      <c r="P294" s="94">
        <v>5.7393814980000002</v>
      </c>
      <c r="Q294" s="81">
        <f t="shared" si="12"/>
        <v>1.7023450574182908</v>
      </c>
      <c r="R294" s="81">
        <f t="shared" si="13"/>
        <v>5213431738.3435154</v>
      </c>
      <c r="S294" s="81">
        <v>7</v>
      </c>
      <c r="T294" s="81">
        <f t="shared" si="14"/>
        <v>744775962.62050223</v>
      </c>
      <c r="U294" s="81"/>
      <c r="V294" s="84"/>
      <c r="W294" s="84"/>
    </row>
    <row r="295" spans="1:23" x14ac:dyDescent="0.4">
      <c r="A295" s="85" t="s">
        <v>473</v>
      </c>
      <c r="B295" s="109" t="s">
        <v>139</v>
      </c>
      <c r="C295" s="133" t="s">
        <v>183</v>
      </c>
      <c r="D295" s="133"/>
      <c r="E295" s="133"/>
      <c r="F295" s="133"/>
      <c r="G295" s="133"/>
      <c r="H295" s="133"/>
      <c r="I295" s="112"/>
      <c r="J295" s="77"/>
      <c r="K295" s="84">
        <v>12.54</v>
      </c>
      <c r="L295" s="86">
        <v>23800000</v>
      </c>
      <c r="M295" s="80">
        <v>0.4</v>
      </c>
      <c r="N295" s="87">
        <v>50</v>
      </c>
      <c r="O295" s="96">
        <v>9.770407725758286</v>
      </c>
      <c r="P295" s="94">
        <v>5.7393814980000002</v>
      </c>
      <c r="Q295" s="81">
        <f t="shared" si="12"/>
        <v>1.7023450574182908</v>
      </c>
      <c r="R295" s="81">
        <f t="shared" si="13"/>
        <v>5064476545.8194141</v>
      </c>
      <c r="S295" s="81">
        <v>7</v>
      </c>
      <c r="T295" s="81">
        <f t="shared" si="14"/>
        <v>723496649.4027735</v>
      </c>
      <c r="U295" s="81">
        <f>AVERAGE(T293:T295)</f>
        <v>735656256.95576131</v>
      </c>
      <c r="V295" s="81">
        <f>_xlfn.STDEV.S(T293:T295)</f>
        <v>10960522.130454225</v>
      </c>
      <c r="W295" s="81">
        <f>MAX(K293:K295)-MIN(K293:K295)</f>
        <v>4.9999999999998934E-2</v>
      </c>
    </row>
    <row r="296" spans="1:23" x14ac:dyDescent="0.4">
      <c r="A296" s="85" t="s">
        <v>474</v>
      </c>
      <c r="B296" s="109" t="s">
        <v>153</v>
      </c>
      <c r="C296" s="131" t="s">
        <v>186</v>
      </c>
      <c r="D296" s="131"/>
      <c r="E296" s="131"/>
      <c r="F296" s="131"/>
      <c r="G296" s="131"/>
      <c r="H296" s="131"/>
      <c r="I296" s="112"/>
      <c r="J296" s="77"/>
      <c r="K296" s="84">
        <v>35</v>
      </c>
      <c r="L296" s="86">
        <v>3.4</v>
      </c>
      <c r="M296" s="80"/>
      <c r="N296" s="84"/>
      <c r="O296" s="97"/>
      <c r="P296" s="94"/>
      <c r="Q296" s="81" t="e">
        <f t="shared" si="12"/>
        <v>#DIV/0!</v>
      </c>
      <c r="R296" s="81" t="e">
        <f t="shared" si="13"/>
        <v>#DIV/0!</v>
      </c>
      <c r="S296" s="81">
        <v>7</v>
      </c>
      <c r="T296" s="81" t="e">
        <f t="shared" si="14"/>
        <v>#DIV/0!</v>
      </c>
      <c r="U296" s="81"/>
      <c r="V296" s="84"/>
      <c r="W296" s="84"/>
    </row>
    <row r="297" spans="1:23" x14ac:dyDescent="0.4">
      <c r="A297" s="85" t="s">
        <v>475</v>
      </c>
      <c r="B297" s="109" t="s">
        <v>153</v>
      </c>
      <c r="C297" s="131" t="s">
        <v>186</v>
      </c>
      <c r="D297" s="131"/>
      <c r="E297" s="131"/>
      <c r="F297" s="131"/>
      <c r="G297" s="131"/>
      <c r="H297" s="131"/>
      <c r="I297" s="112"/>
      <c r="J297" s="77"/>
      <c r="K297" s="84">
        <v>34.19</v>
      </c>
      <c r="L297" s="86">
        <v>6.72</v>
      </c>
      <c r="M297" s="80"/>
      <c r="N297" s="84"/>
      <c r="O297" s="97"/>
      <c r="P297" s="94"/>
      <c r="Q297" s="81" t="e">
        <f t="shared" si="12"/>
        <v>#DIV/0!</v>
      </c>
      <c r="R297" s="81" t="e">
        <f t="shared" si="13"/>
        <v>#DIV/0!</v>
      </c>
      <c r="S297" s="81">
        <v>7</v>
      </c>
      <c r="T297" s="81" t="e">
        <f t="shared" si="14"/>
        <v>#DIV/0!</v>
      </c>
      <c r="U297" s="81"/>
      <c r="V297" s="84"/>
      <c r="W297" s="84"/>
    </row>
    <row r="298" spans="1:23" x14ac:dyDescent="0.4">
      <c r="A298" s="85" t="s">
        <v>476</v>
      </c>
      <c r="B298" s="109" t="s">
        <v>153</v>
      </c>
      <c r="C298" s="131" t="s">
        <v>186</v>
      </c>
      <c r="D298" s="131"/>
      <c r="E298" s="131"/>
      <c r="F298" s="131"/>
      <c r="G298" s="131"/>
      <c r="H298" s="131"/>
      <c r="I298" s="112"/>
      <c r="J298" s="77"/>
      <c r="K298" s="84">
        <v>32.869999999999997</v>
      </c>
      <c r="L298" s="86">
        <v>19.899999999999999</v>
      </c>
      <c r="M298" s="80"/>
      <c r="N298" s="84"/>
      <c r="O298" s="97"/>
      <c r="P298" s="94"/>
      <c r="Q298" s="81" t="e">
        <f t="shared" si="12"/>
        <v>#DIV/0!</v>
      </c>
      <c r="R298" s="81" t="e">
        <f t="shared" si="13"/>
        <v>#DIV/0!</v>
      </c>
      <c r="S298" s="81">
        <v>7</v>
      </c>
      <c r="T298" s="81" t="e">
        <f t="shared" si="14"/>
        <v>#DIV/0!</v>
      </c>
      <c r="U298" s="81" t="e">
        <f>AVERAGE(T296:T298)</f>
        <v>#DIV/0!</v>
      </c>
      <c r="V298" s="81" t="e">
        <f>_xlfn.STDEV.S(T296:T298)</f>
        <v>#DIV/0!</v>
      </c>
      <c r="W298" s="81">
        <f>MAX(K296:K298)-MIN(K296:K298)</f>
        <v>2.1300000000000026</v>
      </c>
    </row>
  </sheetData>
  <conditionalFormatting sqref="A11:H298">
    <cfRule type="expression" dxfId="34" priority="1" stopIfTrue="1">
      <formula>MOD(ROW(),2)=1</formula>
    </cfRule>
    <cfRule type="expression" dxfId="33" priority="2" stopIfTrue="1">
      <formula>MOD(ROW(),2)=0</formula>
    </cfRule>
  </conditionalFormatting>
  <conditionalFormatting sqref="I179:I184">
    <cfRule type="expression" dxfId="32" priority="9" stopIfTrue="1">
      <formula>MOD(ROW(),2)=0</formula>
    </cfRule>
  </conditionalFormatting>
  <conditionalFormatting sqref="I11:W11 I12:P70 I71:O106 I107:M298">
    <cfRule type="expression" dxfId="31" priority="43" stopIfTrue="1">
      <formula>MOD(ROW(),2)=0</formula>
    </cfRule>
  </conditionalFormatting>
  <conditionalFormatting sqref="I11:W298">
    <cfRule type="expression" dxfId="30" priority="31" stopIfTrue="1">
      <formula>MOD(ROW(),2)=1</formula>
    </cfRule>
  </conditionalFormatting>
  <conditionalFormatting sqref="J107:J184">
    <cfRule type="expression" dxfId="29" priority="14" stopIfTrue="1">
      <formula>MOD(ROW(),2)=0</formula>
    </cfRule>
  </conditionalFormatting>
  <conditionalFormatting sqref="J227:J232">
    <cfRule type="expression" dxfId="28" priority="13" stopIfTrue="1">
      <formula>MOD(ROW(),2)=0</formula>
    </cfRule>
  </conditionalFormatting>
  <conditionalFormatting sqref="J239:J244">
    <cfRule type="expression" dxfId="27" priority="12" stopIfTrue="1">
      <formula>MOD(ROW(),2)=0</formula>
    </cfRule>
  </conditionalFormatting>
  <conditionalFormatting sqref="J251:J256">
    <cfRule type="expression" dxfId="26" priority="11" stopIfTrue="1">
      <formula>MOD(ROW(),2)=0</formula>
    </cfRule>
  </conditionalFormatting>
  <conditionalFormatting sqref="J263:J268">
    <cfRule type="expression" dxfId="25" priority="10" stopIfTrue="1">
      <formula>MOD(ROW(),2)=0</formula>
    </cfRule>
  </conditionalFormatting>
  <conditionalFormatting sqref="N107:O196">
    <cfRule type="expression" dxfId="24" priority="42" stopIfTrue="1">
      <formula>MOD(ROW(),2)=0</formula>
    </cfRule>
  </conditionalFormatting>
  <conditionalFormatting sqref="O221:O262">
    <cfRule type="expression" dxfId="23" priority="35" stopIfTrue="1">
      <formula>MOD(ROW(),2)=1</formula>
    </cfRule>
    <cfRule type="expression" dxfId="22" priority="36" stopIfTrue="1">
      <formula>MOD(ROW(),2)=0</formula>
    </cfRule>
  </conditionalFormatting>
  <conditionalFormatting sqref="O269:P280">
    <cfRule type="expression" dxfId="21" priority="25" stopIfTrue="1">
      <formula>MOD(ROW(),2)=1</formula>
    </cfRule>
  </conditionalFormatting>
  <conditionalFormatting sqref="P71:P196">
    <cfRule type="expression" dxfId="20" priority="41" stopIfTrue="1">
      <formula>MOD(ROW(),2)=0</formula>
    </cfRule>
  </conditionalFormatting>
  <conditionalFormatting sqref="P215:P220">
    <cfRule type="expression" dxfId="19" priority="33" stopIfTrue="1">
      <formula>MOD(ROW(),2)=1</formula>
    </cfRule>
    <cfRule type="expression" dxfId="18" priority="34" stopIfTrue="1">
      <formula>MOD(ROW(),2)=0</formula>
    </cfRule>
  </conditionalFormatting>
  <conditionalFormatting sqref="P221:P232">
    <cfRule type="expression" dxfId="17" priority="29" stopIfTrue="1">
      <formula>MOD(ROW(),2)=1</formula>
    </cfRule>
    <cfRule type="expression" dxfId="16" priority="30" stopIfTrue="1">
      <formula>MOD(ROW(),2)=0</formula>
    </cfRule>
  </conditionalFormatting>
  <conditionalFormatting sqref="P263:P268">
    <cfRule type="expression" dxfId="15" priority="37" stopIfTrue="1">
      <formula>MOD(ROW(),2)=1</formula>
    </cfRule>
    <cfRule type="expression" dxfId="14" priority="38" stopIfTrue="1">
      <formula>MOD(ROW(),2)=0</formula>
    </cfRule>
  </conditionalFormatting>
  <conditionalFormatting sqref="P269:P274">
    <cfRule type="expression" dxfId="13" priority="27" stopIfTrue="1">
      <formula>MOD(ROW(),2)=1</formula>
    </cfRule>
    <cfRule type="expression" dxfId="12" priority="28" stopIfTrue="1">
      <formula>MOD(ROW(),2)=0</formula>
    </cfRule>
  </conditionalFormatting>
  <conditionalFormatting sqref="P269:P280">
    <cfRule type="expression" dxfId="11" priority="26" stopIfTrue="1">
      <formula>MOD(ROW(),2)=0</formula>
    </cfRule>
  </conditionalFormatting>
  <conditionalFormatting sqref="P275:P280">
    <cfRule type="expression" dxfId="10" priority="39" stopIfTrue="1">
      <formula>MOD(ROW(),2)=1</formula>
    </cfRule>
    <cfRule type="expression" dxfId="9" priority="40" stopIfTrue="1">
      <formula>MOD(ROW(),2)=0</formula>
    </cfRule>
  </conditionalFormatting>
  <conditionalFormatting sqref="P275:P286">
    <cfRule type="expression" dxfId="8" priority="21" stopIfTrue="1">
      <formula>MOD(ROW(),2)=1</formula>
    </cfRule>
    <cfRule type="expression" dxfId="7" priority="22" stopIfTrue="1">
      <formula>MOD(ROW(),2)=0</formula>
    </cfRule>
    <cfRule type="expression" dxfId="6" priority="23" stopIfTrue="1">
      <formula>MOD(ROW(),2)=1</formula>
    </cfRule>
    <cfRule type="expression" dxfId="5" priority="24" stopIfTrue="1">
      <formula>MOD(ROW(),2)=0</formula>
    </cfRule>
  </conditionalFormatting>
  <conditionalFormatting sqref="P293:P295">
    <cfRule type="expression" dxfId="4" priority="17" stopIfTrue="1">
      <formula>MOD(ROW(),2)=1</formula>
    </cfRule>
    <cfRule type="expression" dxfId="3" priority="18" stopIfTrue="1">
      <formula>MOD(ROW(),2)=0</formula>
    </cfRule>
    <cfRule type="expression" dxfId="2" priority="19" stopIfTrue="1">
      <formula>MOD(ROW(),2)=1</formula>
    </cfRule>
    <cfRule type="expression" dxfId="1" priority="20" stopIfTrue="1">
      <formula>MOD(ROW(),2)=0</formula>
    </cfRule>
  </conditionalFormatting>
  <conditionalFormatting sqref="Q12:W298 N197:P214 N215:O220 P215:P283 N221:N289 O263:O283 O284:P289 N290:P298">
    <cfRule type="expression" dxfId="0" priority="32" stopIfTrue="1">
      <formula>MOD(ROW(),2)=0</formula>
    </cfRule>
  </conditionalFormatting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5011-C9FD-426D-8FC4-E662C1745091}">
  <dimension ref="A1:N47"/>
  <sheetViews>
    <sheetView zoomScale="109" workbookViewId="0"/>
  </sheetViews>
  <sheetFormatPr defaultRowHeight="14.5" x14ac:dyDescent="0.35"/>
  <cols>
    <col min="1" max="1" width="29.6328125" bestFit="1" customWidth="1"/>
    <col min="2" max="2" width="31.08984375" bestFit="1" customWidth="1"/>
    <col min="3" max="3" width="20.90625" bestFit="1" customWidth="1"/>
    <col min="4" max="4" width="14.26953125" bestFit="1" customWidth="1"/>
  </cols>
  <sheetData>
    <row r="1" spans="1:14" x14ac:dyDescent="0.35">
      <c r="A1" s="1" t="s">
        <v>663</v>
      </c>
    </row>
    <row r="3" spans="1:14" ht="16" x14ac:dyDescent="0.4">
      <c r="A3" s="151" t="s">
        <v>487</v>
      </c>
      <c r="B3" s="151" t="s">
        <v>486</v>
      </c>
      <c r="C3" s="151" t="s">
        <v>623</v>
      </c>
      <c r="D3" s="151" t="s">
        <v>610</v>
      </c>
      <c r="F3" t="s">
        <v>499</v>
      </c>
    </row>
    <row r="4" spans="1:14" ht="17.5" x14ac:dyDescent="0.4">
      <c r="A4" s="139" t="s">
        <v>489</v>
      </c>
      <c r="B4" s="141" t="s">
        <v>0</v>
      </c>
      <c r="C4" s="154" t="s">
        <v>612</v>
      </c>
      <c r="D4" s="153" t="s">
        <v>500</v>
      </c>
    </row>
    <row r="5" spans="1:14" ht="17.5" x14ac:dyDescent="0.4">
      <c r="A5" s="139" t="s">
        <v>489</v>
      </c>
      <c r="B5" s="141" t="s">
        <v>1</v>
      </c>
      <c r="C5" s="154" t="s">
        <v>613</v>
      </c>
      <c r="D5" s="153" t="s">
        <v>501</v>
      </c>
      <c r="K5" s="155"/>
      <c r="L5" s="136"/>
      <c r="M5" s="136"/>
      <c r="N5" s="137"/>
    </row>
    <row r="6" spans="1:14" ht="17.5" x14ac:dyDescent="0.4">
      <c r="A6" s="139" t="s">
        <v>489</v>
      </c>
      <c r="B6" s="141" t="s">
        <v>2</v>
      </c>
      <c r="C6" s="154" t="s">
        <v>614</v>
      </c>
      <c r="D6" s="153" t="s">
        <v>502</v>
      </c>
      <c r="K6" s="155"/>
      <c r="L6" s="136"/>
      <c r="M6" s="136"/>
      <c r="N6" s="137"/>
    </row>
    <row r="7" spans="1:14" ht="17.5" x14ac:dyDescent="0.4">
      <c r="A7" s="139" t="s">
        <v>489</v>
      </c>
      <c r="B7" s="141" t="s">
        <v>3</v>
      </c>
      <c r="C7" s="154" t="s">
        <v>615</v>
      </c>
      <c r="D7" s="153" t="s">
        <v>503</v>
      </c>
      <c r="G7" s="136"/>
      <c r="H7" s="136"/>
      <c r="K7" s="155"/>
      <c r="L7" s="136"/>
      <c r="M7" s="136"/>
      <c r="N7" s="137"/>
    </row>
    <row r="8" spans="1:14" ht="17.5" x14ac:dyDescent="0.4">
      <c r="A8" s="139" t="s">
        <v>489</v>
      </c>
      <c r="B8" s="141" t="s">
        <v>4</v>
      </c>
      <c r="C8" s="154" t="s">
        <v>617</v>
      </c>
      <c r="D8" s="153" t="s">
        <v>503</v>
      </c>
      <c r="G8" s="155"/>
      <c r="H8" s="136"/>
      <c r="I8" s="136"/>
      <c r="K8" s="155"/>
      <c r="L8" s="136"/>
      <c r="M8" s="136"/>
      <c r="N8" s="137"/>
    </row>
    <row r="9" spans="1:14" ht="17.5" x14ac:dyDescent="0.4">
      <c r="A9" s="139" t="s">
        <v>489</v>
      </c>
      <c r="B9" s="141" t="s">
        <v>5</v>
      </c>
      <c r="C9" s="154" t="s">
        <v>618</v>
      </c>
      <c r="D9" s="153" t="s">
        <v>504</v>
      </c>
      <c r="G9" s="155"/>
      <c r="H9" s="136"/>
      <c r="I9" s="136"/>
      <c r="K9" s="155"/>
      <c r="L9" s="136"/>
      <c r="M9" s="136"/>
      <c r="N9" s="137"/>
    </row>
    <row r="10" spans="1:14" ht="17.5" x14ac:dyDescent="0.4">
      <c r="A10" s="139" t="s">
        <v>489</v>
      </c>
      <c r="B10" s="141" t="s">
        <v>6</v>
      </c>
      <c r="C10" s="154" t="s">
        <v>619</v>
      </c>
      <c r="D10" s="153" t="s">
        <v>505</v>
      </c>
      <c r="G10" s="155"/>
      <c r="H10" s="136"/>
      <c r="I10" s="136"/>
      <c r="K10" s="155"/>
      <c r="L10" s="136"/>
      <c r="M10" s="136"/>
      <c r="N10" s="137"/>
    </row>
    <row r="11" spans="1:14" ht="17.5" x14ac:dyDescent="0.4">
      <c r="A11" s="139" t="s">
        <v>489</v>
      </c>
      <c r="B11" s="141" t="s">
        <v>7</v>
      </c>
      <c r="C11" s="154" t="s">
        <v>620</v>
      </c>
      <c r="D11" s="153" t="s">
        <v>506</v>
      </c>
      <c r="G11" s="155"/>
      <c r="H11" s="136"/>
      <c r="I11" s="136"/>
      <c r="K11" s="155"/>
      <c r="L11" s="136"/>
      <c r="M11" s="136"/>
      <c r="N11" s="137"/>
    </row>
    <row r="12" spans="1:14" ht="17.5" x14ac:dyDescent="0.4">
      <c r="A12" s="139" t="s">
        <v>489</v>
      </c>
      <c r="B12" s="141" t="s">
        <v>8</v>
      </c>
      <c r="C12" s="154" t="s">
        <v>621</v>
      </c>
      <c r="D12" s="153" t="s">
        <v>507</v>
      </c>
      <c r="G12" s="155"/>
      <c r="H12" s="136"/>
      <c r="I12" s="136"/>
      <c r="K12" s="155"/>
      <c r="L12" s="136"/>
      <c r="M12" s="136"/>
      <c r="N12" s="137"/>
    </row>
    <row r="13" spans="1:14" ht="17.5" x14ac:dyDescent="0.4">
      <c r="A13" s="139" t="s">
        <v>489</v>
      </c>
      <c r="B13" s="141" t="s">
        <v>9</v>
      </c>
      <c r="C13" s="154" t="s">
        <v>622</v>
      </c>
      <c r="D13" s="153" t="s">
        <v>508</v>
      </c>
      <c r="G13" s="155"/>
      <c r="H13" s="136"/>
      <c r="I13" s="136"/>
      <c r="K13" s="155"/>
      <c r="L13" s="136"/>
      <c r="M13" s="136"/>
      <c r="N13" s="137"/>
    </row>
    <row r="14" spans="1:14" ht="17.5" x14ac:dyDescent="0.4">
      <c r="A14" s="139" t="s">
        <v>489</v>
      </c>
      <c r="B14" s="141" t="s">
        <v>488</v>
      </c>
      <c r="C14" s="154" t="s">
        <v>616</v>
      </c>
      <c r="D14" s="153" t="s">
        <v>498</v>
      </c>
      <c r="G14" s="155"/>
      <c r="H14" s="136"/>
      <c r="I14" s="136"/>
    </row>
    <row r="15" spans="1:14" ht="17.5" x14ac:dyDescent="0.4">
      <c r="A15" s="138" t="s">
        <v>510</v>
      </c>
      <c r="B15" s="141" t="s">
        <v>0</v>
      </c>
      <c r="C15" s="154" t="s">
        <v>624</v>
      </c>
      <c r="D15" s="153" t="s">
        <v>511</v>
      </c>
      <c r="G15" s="155"/>
      <c r="H15" s="136"/>
      <c r="I15" s="136"/>
    </row>
    <row r="16" spans="1:14" ht="17.5" x14ac:dyDescent="0.4">
      <c r="A16" s="138" t="s">
        <v>510</v>
      </c>
      <c r="B16" s="141" t="s">
        <v>1</v>
      </c>
      <c r="C16" s="154" t="s">
        <v>625</v>
      </c>
      <c r="D16" s="153" t="s">
        <v>512</v>
      </c>
      <c r="G16" s="155"/>
      <c r="H16" s="136"/>
      <c r="I16" s="136"/>
    </row>
    <row r="17" spans="1:9" ht="17.5" x14ac:dyDescent="0.4">
      <c r="A17" s="138" t="s">
        <v>510</v>
      </c>
      <c r="B17" s="141" t="s">
        <v>2</v>
      </c>
      <c r="C17" s="154" t="s">
        <v>624</v>
      </c>
      <c r="D17" s="153" t="s">
        <v>513</v>
      </c>
      <c r="G17" s="155"/>
      <c r="H17" s="136"/>
      <c r="I17" s="136"/>
    </row>
    <row r="18" spans="1:9" ht="17.5" x14ac:dyDescent="0.4">
      <c r="A18" s="138" t="s">
        <v>510</v>
      </c>
      <c r="B18" s="141" t="s">
        <v>3</v>
      </c>
      <c r="C18" s="154" t="s">
        <v>626</v>
      </c>
      <c r="D18" s="153" t="s">
        <v>506</v>
      </c>
      <c r="G18" s="155"/>
      <c r="H18" s="136"/>
      <c r="I18" s="136"/>
    </row>
    <row r="19" spans="1:9" ht="17.5" x14ac:dyDescent="0.4">
      <c r="A19" s="138" t="s">
        <v>510</v>
      </c>
      <c r="B19" s="141" t="s">
        <v>4</v>
      </c>
      <c r="C19" s="154" t="s">
        <v>628</v>
      </c>
      <c r="D19" s="153" t="s">
        <v>514</v>
      </c>
      <c r="G19" s="155"/>
      <c r="H19" s="136"/>
      <c r="I19" s="136"/>
    </row>
    <row r="20" spans="1:9" ht="17.5" x14ac:dyDescent="0.4">
      <c r="A20" s="138" t="s">
        <v>510</v>
      </c>
      <c r="B20" s="141" t="s">
        <v>5</v>
      </c>
      <c r="C20" s="154" t="s">
        <v>629</v>
      </c>
      <c r="D20" s="153" t="s">
        <v>515</v>
      </c>
      <c r="G20" s="155"/>
      <c r="H20" s="136"/>
      <c r="I20" s="136"/>
    </row>
    <row r="21" spans="1:9" ht="17.5" x14ac:dyDescent="0.4">
      <c r="A21" s="138" t="s">
        <v>510</v>
      </c>
      <c r="B21" s="141" t="s">
        <v>6</v>
      </c>
      <c r="C21" s="154" t="s">
        <v>509</v>
      </c>
      <c r="D21" s="153" t="s">
        <v>516</v>
      </c>
    </row>
    <row r="22" spans="1:9" ht="17.5" x14ac:dyDescent="0.4">
      <c r="A22" s="138" t="s">
        <v>510</v>
      </c>
      <c r="B22" s="141" t="s">
        <v>7</v>
      </c>
      <c r="C22" s="154" t="s">
        <v>630</v>
      </c>
      <c r="D22" s="153" t="s">
        <v>517</v>
      </c>
    </row>
    <row r="23" spans="1:9" ht="17.5" x14ac:dyDescent="0.4">
      <c r="A23" s="138" t="s">
        <v>510</v>
      </c>
      <c r="B23" s="141" t="s">
        <v>8</v>
      </c>
      <c r="C23" s="154" t="s">
        <v>631</v>
      </c>
      <c r="D23" s="153" t="s">
        <v>518</v>
      </c>
    </row>
    <row r="24" spans="1:9" ht="17.5" x14ac:dyDescent="0.4">
      <c r="A24" s="138" t="s">
        <v>510</v>
      </c>
      <c r="B24" s="141" t="s">
        <v>9</v>
      </c>
      <c r="C24" s="154" t="s">
        <v>632</v>
      </c>
      <c r="D24" s="153" t="s">
        <v>519</v>
      </c>
    </row>
    <row r="25" spans="1:9" ht="17.5" x14ac:dyDescent="0.4">
      <c r="A25" s="138" t="s">
        <v>510</v>
      </c>
      <c r="B25" s="141" t="s">
        <v>488</v>
      </c>
      <c r="C25" s="154" t="s">
        <v>627</v>
      </c>
      <c r="D25" s="153" t="s">
        <v>498</v>
      </c>
    </row>
    <row r="26" spans="1:9" ht="17.5" x14ac:dyDescent="0.4">
      <c r="A26" s="140" t="s">
        <v>490</v>
      </c>
      <c r="B26" s="141" t="s">
        <v>0</v>
      </c>
      <c r="C26" s="154" t="s">
        <v>633</v>
      </c>
      <c r="D26" s="153" t="s">
        <v>491</v>
      </c>
    </row>
    <row r="27" spans="1:9" ht="17.5" x14ac:dyDescent="0.4">
      <c r="A27" s="140" t="s">
        <v>490</v>
      </c>
      <c r="B27" s="141" t="s">
        <v>1</v>
      </c>
      <c r="C27" s="154" t="s">
        <v>634</v>
      </c>
      <c r="D27" s="153" t="s">
        <v>492</v>
      </c>
    </row>
    <row r="28" spans="1:9" ht="17.5" x14ac:dyDescent="0.4">
      <c r="A28" s="140" t="s">
        <v>490</v>
      </c>
      <c r="B28" s="141" t="s">
        <v>2</v>
      </c>
      <c r="C28" s="154" t="s">
        <v>635</v>
      </c>
      <c r="D28" s="153" t="s">
        <v>493</v>
      </c>
    </row>
    <row r="29" spans="1:9" ht="17.5" x14ac:dyDescent="0.4">
      <c r="A29" s="140" t="s">
        <v>490</v>
      </c>
      <c r="B29" s="141" t="s">
        <v>3</v>
      </c>
      <c r="C29" s="154" t="s">
        <v>636</v>
      </c>
      <c r="D29" s="153" t="s">
        <v>493</v>
      </c>
    </row>
    <row r="30" spans="1:9" ht="17.5" x14ac:dyDescent="0.4">
      <c r="A30" s="140" t="s">
        <v>490</v>
      </c>
      <c r="B30" s="141" t="s">
        <v>4</v>
      </c>
      <c r="C30" s="154" t="s">
        <v>638</v>
      </c>
      <c r="D30" s="153" t="s">
        <v>494</v>
      </c>
    </row>
    <row r="31" spans="1:9" ht="17.5" x14ac:dyDescent="0.4">
      <c r="A31" s="140" t="s">
        <v>490</v>
      </c>
      <c r="B31" s="141" t="s">
        <v>5</v>
      </c>
      <c r="C31" s="154" t="s">
        <v>639</v>
      </c>
      <c r="D31" s="153" t="s">
        <v>495</v>
      </c>
    </row>
    <row r="32" spans="1:9" ht="17.5" x14ac:dyDescent="0.4">
      <c r="A32" s="140" t="s">
        <v>490</v>
      </c>
      <c r="B32" s="141" t="s">
        <v>6</v>
      </c>
      <c r="C32" s="154" t="s">
        <v>640</v>
      </c>
      <c r="D32" s="153" t="s">
        <v>496</v>
      </c>
    </row>
    <row r="33" spans="1:4" ht="17.5" x14ac:dyDescent="0.4">
      <c r="A33" s="140" t="s">
        <v>490</v>
      </c>
      <c r="B33" s="141" t="s">
        <v>7</v>
      </c>
      <c r="C33" s="154" t="s">
        <v>641</v>
      </c>
      <c r="D33" s="153" t="s">
        <v>493</v>
      </c>
    </row>
    <row r="34" spans="1:4" ht="17.5" x14ac:dyDescent="0.4">
      <c r="A34" s="140" t="s">
        <v>490</v>
      </c>
      <c r="B34" s="141" t="s">
        <v>8</v>
      </c>
      <c r="C34" s="154" t="s">
        <v>642</v>
      </c>
      <c r="D34" s="153" t="s">
        <v>497</v>
      </c>
    </row>
    <row r="35" spans="1:4" ht="17.5" x14ac:dyDescent="0.4">
      <c r="A35" s="140" t="s">
        <v>490</v>
      </c>
      <c r="B35" s="141" t="s">
        <v>9</v>
      </c>
      <c r="C35" s="154" t="s">
        <v>643</v>
      </c>
      <c r="D35" s="153" t="s">
        <v>493</v>
      </c>
    </row>
    <row r="36" spans="1:4" ht="17.5" x14ac:dyDescent="0.4">
      <c r="A36" s="140" t="s">
        <v>490</v>
      </c>
      <c r="B36" s="141" t="s">
        <v>488</v>
      </c>
      <c r="C36" s="154" t="s">
        <v>637</v>
      </c>
      <c r="D36" s="153" t="s">
        <v>498</v>
      </c>
    </row>
    <row r="37" spans="1:4" ht="17.5" x14ac:dyDescent="0.4">
      <c r="A37" s="152" t="s">
        <v>520</v>
      </c>
      <c r="B37" s="141" t="s">
        <v>0</v>
      </c>
      <c r="C37" s="154" t="s">
        <v>644</v>
      </c>
      <c r="D37" s="153" t="s">
        <v>497</v>
      </c>
    </row>
    <row r="38" spans="1:4" ht="17.5" x14ac:dyDescent="0.4">
      <c r="A38" s="152" t="s">
        <v>520</v>
      </c>
      <c r="B38" s="141" t="s">
        <v>1</v>
      </c>
      <c r="C38" s="154" t="s">
        <v>645</v>
      </c>
      <c r="D38" s="153" t="s">
        <v>521</v>
      </c>
    </row>
    <row r="39" spans="1:4" ht="17.5" x14ac:dyDescent="0.4">
      <c r="A39" s="152" t="s">
        <v>520</v>
      </c>
      <c r="B39" s="141" t="s">
        <v>2</v>
      </c>
      <c r="C39" s="154" t="s">
        <v>646</v>
      </c>
      <c r="D39" s="153" t="s">
        <v>497</v>
      </c>
    </row>
    <row r="40" spans="1:4" ht="17.5" x14ac:dyDescent="0.4">
      <c r="A40" s="152" t="s">
        <v>520</v>
      </c>
      <c r="B40" s="141" t="s">
        <v>3</v>
      </c>
      <c r="C40" s="154" t="s">
        <v>647</v>
      </c>
      <c r="D40" s="153" t="s">
        <v>497</v>
      </c>
    </row>
    <row r="41" spans="1:4" ht="17.5" x14ac:dyDescent="0.4">
      <c r="A41" s="152" t="s">
        <v>520</v>
      </c>
      <c r="B41" s="141" t="s">
        <v>4</v>
      </c>
      <c r="C41" s="154" t="s">
        <v>649</v>
      </c>
      <c r="D41" s="153" t="s">
        <v>494</v>
      </c>
    </row>
    <row r="42" spans="1:4" ht="17.5" x14ac:dyDescent="0.4">
      <c r="A42" s="152" t="s">
        <v>520</v>
      </c>
      <c r="B42" s="141" t="s">
        <v>5</v>
      </c>
      <c r="C42" s="154" t="s">
        <v>650</v>
      </c>
      <c r="D42" s="153" t="s">
        <v>522</v>
      </c>
    </row>
    <row r="43" spans="1:4" ht="17.5" x14ac:dyDescent="0.4">
      <c r="A43" s="152" t="s">
        <v>520</v>
      </c>
      <c r="B43" s="141" t="s">
        <v>6</v>
      </c>
      <c r="C43" s="154" t="s">
        <v>651</v>
      </c>
      <c r="D43" s="153" t="s">
        <v>522</v>
      </c>
    </row>
    <row r="44" spans="1:4" ht="17.5" x14ac:dyDescent="0.4">
      <c r="A44" s="152" t="s">
        <v>520</v>
      </c>
      <c r="B44" s="141" t="s">
        <v>7</v>
      </c>
      <c r="C44" s="154" t="s">
        <v>652</v>
      </c>
      <c r="D44" s="153" t="s">
        <v>522</v>
      </c>
    </row>
    <row r="45" spans="1:4" ht="17.5" x14ac:dyDescent="0.4">
      <c r="A45" s="152" t="s">
        <v>520</v>
      </c>
      <c r="B45" s="141" t="s">
        <v>8</v>
      </c>
      <c r="C45" s="154" t="s">
        <v>653</v>
      </c>
      <c r="D45" s="153" t="s">
        <v>523</v>
      </c>
    </row>
    <row r="46" spans="1:4" ht="17.5" x14ac:dyDescent="0.4">
      <c r="A46" s="152" t="s">
        <v>520</v>
      </c>
      <c r="B46" s="141" t="s">
        <v>9</v>
      </c>
      <c r="C46" s="154" t="s">
        <v>654</v>
      </c>
      <c r="D46" s="153" t="s">
        <v>522</v>
      </c>
    </row>
    <row r="47" spans="1:4" ht="17.5" x14ac:dyDescent="0.4">
      <c r="A47" s="152" t="s">
        <v>520</v>
      </c>
      <c r="B47" s="141" t="s">
        <v>488</v>
      </c>
      <c r="C47" s="154" t="s">
        <v>648</v>
      </c>
      <c r="D47" s="153" t="s">
        <v>498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13C8-E8B2-4E55-A159-41542A840A55}">
  <dimension ref="A1:G31"/>
  <sheetViews>
    <sheetView workbookViewId="0">
      <selection activeCell="J18" sqref="J18"/>
    </sheetView>
  </sheetViews>
  <sheetFormatPr defaultRowHeight="14.5" x14ac:dyDescent="0.35"/>
  <cols>
    <col min="1" max="1" width="17.36328125" bestFit="1" customWidth="1"/>
    <col min="2" max="2" width="14.1796875" bestFit="1" customWidth="1"/>
    <col min="3" max="3" width="15.6328125" bestFit="1" customWidth="1"/>
    <col min="4" max="4" width="12" bestFit="1" customWidth="1"/>
    <col min="5" max="5" width="11.26953125" bestFit="1" customWidth="1"/>
  </cols>
  <sheetData>
    <row r="1" spans="1:7" x14ac:dyDescent="0.35">
      <c r="A1" s="1" t="s">
        <v>665</v>
      </c>
    </row>
    <row r="3" spans="1:7" x14ac:dyDescent="0.35">
      <c r="A3" s="149" t="s">
        <v>545</v>
      </c>
      <c r="B3" s="149" t="s">
        <v>546</v>
      </c>
      <c r="C3" s="149" t="s">
        <v>611</v>
      </c>
      <c r="D3" s="150" t="s">
        <v>609</v>
      </c>
      <c r="E3" s="149" t="s">
        <v>547</v>
      </c>
      <c r="G3" t="s">
        <v>548</v>
      </c>
    </row>
    <row r="4" spans="1:7" x14ac:dyDescent="0.35">
      <c r="A4" s="124" t="s">
        <v>550</v>
      </c>
      <c r="B4" s="124" t="s">
        <v>524</v>
      </c>
      <c r="C4" s="124" t="s">
        <v>551</v>
      </c>
      <c r="D4" s="124" t="s">
        <v>552</v>
      </c>
      <c r="E4" s="124" t="s">
        <v>527</v>
      </c>
    </row>
    <row r="5" spans="1:7" x14ac:dyDescent="0.35">
      <c r="A5" s="124" t="s">
        <v>550</v>
      </c>
      <c r="B5" s="124" t="s">
        <v>528</v>
      </c>
      <c r="C5" s="124" t="s">
        <v>553</v>
      </c>
      <c r="D5" s="124" t="s">
        <v>554</v>
      </c>
      <c r="E5" s="124" t="s">
        <v>531</v>
      </c>
    </row>
    <row r="6" spans="1:7" x14ac:dyDescent="0.35">
      <c r="A6" s="124" t="s">
        <v>550</v>
      </c>
      <c r="B6" s="124" t="s">
        <v>532</v>
      </c>
      <c r="C6" s="124" t="s">
        <v>555</v>
      </c>
      <c r="D6" s="124" t="s">
        <v>556</v>
      </c>
      <c r="E6" s="124" t="s">
        <v>531</v>
      </c>
    </row>
    <row r="7" spans="1:7" x14ac:dyDescent="0.35">
      <c r="A7" s="124" t="s">
        <v>550</v>
      </c>
      <c r="B7" s="124" t="s">
        <v>537</v>
      </c>
      <c r="C7" s="124" t="s">
        <v>557</v>
      </c>
      <c r="D7" s="124" t="s">
        <v>558</v>
      </c>
      <c r="E7" s="124" t="s">
        <v>527</v>
      </c>
    </row>
    <row r="8" spans="1:7" x14ac:dyDescent="0.35">
      <c r="A8" s="124" t="s">
        <v>559</v>
      </c>
      <c r="B8" s="124" t="s">
        <v>524</v>
      </c>
      <c r="C8" s="124" t="s">
        <v>560</v>
      </c>
      <c r="D8" s="124" t="s">
        <v>561</v>
      </c>
      <c r="E8" s="124"/>
    </row>
    <row r="9" spans="1:7" x14ac:dyDescent="0.35">
      <c r="A9" s="124" t="s">
        <v>559</v>
      </c>
      <c r="B9" s="124" t="s">
        <v>528</v>
      </c>
      <c r="C9" s="124" t="s">
        <v>562</v>
      </c>
      <c r="D9" s="124" t="s">
        <v>563</v>
      </c>
      <c r="E9" s="124"/>
    </row>
    <row r="10" spans="1:7" x14ac:dyDescent="0.35">
      <c r="A10" s="124" t="s">
        <v>559</v>
      </c>
      <c r="B10" s="124" t="s">
        <v>532</v>
      </c>
      <c r="C10" s="124" t="s">
        <v>564</v>
      </c>
      <c r="D10" s="124" t="s">
        <v>565</v>
      </c>
      <c r="E10" s="124"/>
    </row>
    <row r="11" spans="1:7" x14ac:dyDescent="0.35">
      <c r="A11" s="124" t="s">
        <v>559</v>
      </c>
      <c r="B11" s="124" t="s">
        <v>537</v>
      </c>
      <c r="C11" s="124" t="s">
        <v>566</v>
      </c>
      <c r="D11" s="124" t="s">
        <v>567</v>
      </c>
      <c r="E11" s="124"/>
    </row>
    <row r="12" spans="1:7" x14ac:dyDescent="0.35">
      <c r="A12" s="124" t="s">
        <v>2</v>
      </c>
      <c r="B12" s="124" t="s">
        <v>524</v>
      </c>
      <c r="C12" s="124" t="s">
        <v>568</v>
      </c>
      <c r="D12" s="124" t="s">
        <v>569</v>
      </c>
      <c r="E12" s="124"/>
    </row>
    <row r="13" spans="1:7" x14ac:dyDescent="0.35">
      <c r="A13" s="124" t="s">
        <v>2</v>
      </c>
      <c r="B13" s="124" t="s">
        <v>528</v>
      </c>
      <c r="C13" s="124" t="s">
        <v>570</v>
      </c>
      <c r="D13" s="124" t="s">
        <v>571</v>
      </c>
      <c r="E13" s="124" t="s">
        <v>531</v>
      </c>
    </row>
    <row r="14" spans="1:7" x14ac:dyDescent="0.35">
      <c r="A14" s="124" t="s">
        <v>2</v>
      </c>
      <c r="B14" s="124" t="s">
        <v>532</v>
      </c>
      <c r="C14" s="124" t="s">
        <v>572</v>
      </c>
      <c r="D14" s="124" t="s">
        <v>573</v>
      </c>
      <c r="E14" s="124"/>
    </row>
    <row r="15" spans="1:7" x14ac:dyDescent="0.35">
      <c r="A15" s="124" t="s">
        <v>2</v>
      </c>
      <c r="B15" s="124" t="s">
        <v>537</v>
      </c>
      <c r="C15" s="124" t="s">
        <v>574</v>
      </c>
      <c r="D15" s="124" t="s">
        <v>575</v>
      </c>
      <c r="E15" s="124" t="s">
        <v>68</v>
      </c>
    </row>
    <row r="16" spans="1:7" x14ac:dyDescent="0.35">
      <c r="A16" s="124" t="s">
        <v>1</v>
      </c>
      <c r="B16" s="124" t="s">
        <v>524</v>
      </c>
      <c r="C16" s="124" t="s">
        <v>576</v>
      </c>
      <c r="D16" s="124" t="s">
        <v>577</v>
      </c>
      <c r="E16" s="124"/>
    </row>
    <row r="17" spans="1:5" x14ac:dyDescent="0.35">
      <c r="A17" s="124" t="s">
        <v>1</v>
      </c>
      <c r="B17" s="124" t="s">
        <v>528</v>
      </c>
      <c r="C17" s="124" t="s">
        <v>578</v>
      </c>
      <c r="D17" s="124" t="s">
        <v>579</v>
      </c>
      <c r="E17" s="124"/>
    </row>
    <row r="18" spans="1:5" x14ac:dyDescent="0.35">
      <c r="A18" s="124" t="s">
        <v>1</v>
      </c>
      <c r="B18" s="124" t="s">
        <v>532</v>
      </c>
      <c r="C18" s="124" t="s">
        <v>580</v>
      </c>
      <c r="D18" s="124" t="s">
        <v>579</v>
      </c>
      <c r="E18" s="124"/>
    </row>
    <row r="19" spans="1:5" x14ac:dyDescent="0.35">
      <c r="A19" s="124" t="s">
        <v>1</v>
      </c>
      <c r="B19" s="124" t="s">
        <v>537</v>
      </c>
      <c r="C19" s="124" t="s">
        <v>581</v>
      </c>
      <c r="D19" s="124" t="s">
        <v>582</v>
      </c>
      <c r="E19" s="124"/>
    </row>
    <row r="20" spans="1:5" x14ac:dyDescent="0.35">
      <c r="A20" s="124" t="s">
        <v>583</v>
      </c>
      <c r="B20" s="124" t="s">
        <v>524</v>
      </c>
      <c r="C20" s="124" t="s">
        <v>584</v>
      </c>
      <c r="D20" s="124" t="s">
        <v>585</v>
      </c>
      <c r="E20" s="124"/>
    </row>
    <row r="21" spans="1:5" x14ac:dyDescent="0.35">
      <c r="A21" s="124" t="s">
        <v>583</v>
      </c>
      <c r="B21" s="124" t="s">
        <v>528</v>
      </c>
      <c r="C21" s="124" t="s">
        <v>586</v>
      </c>
      <c r="D21" s="124" t="s">
        <v>587</v>
      </c>
      <c r="E21" s="124" t="s">
        <v>527</v>
      </c>
    </row>
    <row r="22" spans="1:5" x14ac:dyDescent="0.35">
      <c r="A22" s="124" t="s">
        <v>583</v>
      </c>
      <c r="B22" s="124" t="s">
        <v>532</v>
      </c>
      <c r="C22" s="124" t="s">
        <v>588</v>
      </c>
      <c r="D22" s="124" t="s">
        <v>589</v>
      </c>
      <c r="E22" s="124"/>
    </row>
    <row r="23" spans="1:5" x14ac:dyDescent="0.35">
      <c r="A23" s="124" t="s">
        <v>583</v>
      </c>
      <c r="B23" s="124" t="s">
        <v>537</v>
      </c>
      <c r="C23" s="124" t="s">
        <v>590</v>
      </c>
      <c r="D23" s="124" t="s">
        <v>591</v>
      </c>
      <c r="E23" s="124"/>
    </row>
    <row r="24" spans="1:5" x14ac:dyDescent="0.35">
      <c r="A24" s="124" t="s">
        <v>481</v>
      </c>
      <c r="B24" s="124" t="s">
        <v>524</v>
      </c>
      <c r="C24" s="124" t="s">
        <v>592</v>
      </c>
      <c r="D24" s="124" t="s">
        <v>593</v>
      </c>
      <c r="E24" s="124"/>
    </row>
    <row r="25" spans="1:5" x14ac:dyDescent="0.35">
      <c r="A25" s="124" t="s">
        <v>481</v>
      </c>
      <c r="B25" s="124" t="s">
        <v>528</v>
      </c>
      <c r="C25" s="124" t="s">
        <v>594</v>
      </c>
      <c r="D25" s="124" t="s">
        <v>595</v>
      </c>
      <c r="E25" s="124"/>
    </row>
    <row r="26" spans="1:5" x14ac:dyDescent="0.35">
      <c r="A26" s="124" t="s">
        <v>481</v>
      </c>
      <c r="B26" s="124" t="s">
        <v>532</v>
      </c>
      <c r="C26" s="124" t="s">
        <v>596</v>
      </c>
      <c r="D26" s="124" t="s">
        <v>597</v>
      </c>
      <c r="E26" s="124"/>
    </row>
    <row r="27" spans="1:5" x14ac:dyDescent="0.35">
      <c r="A27" s="124" t="s">
        <v>481</v>
      </c>
      <c r="B27" s="124" t="s">
        <v>537</v>
      </c>
      <c r="C27" s="124" t="s">
        <v>598</v>
      </c>
      <c r="D27" s="124" t="s">
        <v>599</v>
      </c>
      <c r="E27" s="124"/>
    </row>
    <row r="28" spans="1:5" x14ac:dyDescent="0.35">
      <c r="A28" s="124" t="s">
        <v>600</v>
      </c>
      <c r="B28" s="124" t="s">
        <v>524</v>
      </c>
      <c r="C28" s="124" t="s">
        <v>601</v>
      </c>
      <c r="D28" s="124" t="s">
        <v>602</v>
      </c>
      <c r="E28" s="124"/>
    </row>
    <row r="29" spans="1:5" x14ac:dyDescent="0.35">
      <c r="A29" s="124" t="s">
        <v>600</v>
      </c>
      <c r="B29" s="124" t="s">
        <v>528</v>
      </c>
      <c r="C29" s="124" t="s">
        <v>603</v>
      </c>
      <c r="D29" s="124" t="s">
        <v>604</v>
      </c>
      <c r="E29" s="124"/>
    </row>
    <row r="30" spans="1:5" x14ac:dyDescent="0.35">
      <c r="A30" s="124" t="s">
        <v>600</v>
      </c>
      <c r="B30" s="124" t="s">
        <v>532</v>
      </c>
      <c r="C30" s="124" t="s">
        <v>605</v>
      </c>
      <c r="D30" s="124" t="s">
        <v>606</v>
      </c>
      <c r="E30" s="124"/>
    </row>
    <row r="31" spans="1:5" x14ac:dyDescent="0.35">
      <c r="A31" s="148" t="s">
        <v>600</v>
      </c>
      <c r="B31" s="148" t="s">
        <v>537</v>
      </c>
      <c r="C31" s="148" t="s">
        <v>607</v>
      </c>
      <c r="D31" s="148" t="s">
        <v>608</v>
      </c>
      <c r="E31" s="148" t="s">
        <v>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BCB1-9D93-41D7-BC58-2AF19BF9DFAE}">
  <dimension ref="A1:G13"/>
  <sheetViews>
    <sheetView tabSelected="1" workbookViewId="0">
      <selection activeCell="G26" sqref="G26"/>
    </sheetView>
  </sheetViews>
  <sheetFormatPr defaultRowHeight="14.5" x14ac:dyDescent="0.35"/>
  <cols>
    <col min="1" max="2" width="15.1796875" bestFit="1" customWidth="1"/>
    <col min="3" max="3" width="15.6328125" bestFit="1" customWidth="1"/>
    <col min="4" max="4" width="13.08984375" bestFit="1" customWidth="1"/>
    <col min="5" max="5" width="11.26953125" bestFit="1" customWidth="1"/>
  </cols>
  <sheetData>
    <row r="1" spans="1:7" x14ac:dyDescent="0.35">
      <c r="A1" s="1" t="s">
        <v>664</v>
      </c>
    </row>
    <row r="3" spans="1:7" x14ac:dyDescent="0.35">
      <c r="A3" s="149" t="s">
        <v>545</v>
      </c>
      <c r="B3" s="149" t="s">
        <v>546</v>
      </c>
      <c r="C3" s="149" t="s">
        <v>611</v>
      </c>
      <c r="D3" s="149" t="s">
        <v>549</v>
      </c>
      <c r="E3" s="149" t="s">
        <v>547</v>
      </c>
      <c r="G3" t="s">
        <v>548</v>
      </c>
    </row>
    <row r="4" spans="1:7" ht="16.5" x14ac:dyDescent="0.35">
      <c r="A4" s="142" t="s">
        <v>524</v>
      </c>
      <c r="B4" s="142" t="s">
        <v>524</v>
      </c>
      <c r="C4" s="143" t="s">
        <v>525</v>
      </c>
      <c r="D4" s="143" t="s">
        <v>526</v>
      </c>
      <c r="E4" s="142" t="s">
        <v>527</v>
      </c>
    </row>
    <row r="5" spans="1:7" ht="16.5" x14ac:dyDescent="0.35">
      <c r="A5" s="144" t="s">
        <v>524</v>
      </c>
      <c r="B5" s="144" t="s">
        <v>528</v>
      </c>
      <c r="C5" s="145" t="s">
        <v>529</v>
      </c>
      <c r="D5" s="145" t="s">
        <v>530</v>
      </c>
      <c r="E5" s="144" t="s">
        <v>531</v>
      </c>
    </row>
    <row r="6" spans="1:7" ht="16.5" x14ac:dyDescent="0.35">
      <c r="A6" s="144" t="s">
        <v>524</v>
      </c>
      <c r="B6" s="144" t="s">
        <v>532</v>
      </c>
      <c r="C6" s="145" t="s">
        <v>533</v>
      </c>
      <c r="D6" s="145" t="s">
        <v>534</v>
      </c>
      <c r="E6" s="144" t="s">
        <v>68</v>
      </c>
    </row>
    <row r="7" spans="1:7" ht="16.5" x14ac:dyDescent="0.35">
      <c r="A7" s="144" t="s">
        <v>528</v>
      </c>
      <c r="B7" s="144" t="s">
        <v>528</v>
      </c>
      <c r="C7" s="145" t="s">
        <v>525</v>
      </c>
      <c r="D7" s="145" t="s">
        <v>526</v>
      </c>
      <c r="E7" s="144" t="s">
        <v>527</v>
      </c>
    </row>
    <row r="8" spans="1:7" ht="16.5" x14ac:dyDescent="0.35">
      <c r="A8" s="144" t="s">
        <v>528</v>
      </c>
      <c r="B8" s="144" t="s">
        <v>532</v>
      </c>
      <c r="C8" s="145" t="s">
        <v>535</v>
      </c>
      <c r="D8" s="145" t="s">
        <v>536</v>
      </c>
      <c r="E8" s="144"/>
    </row>
    <row r="9" spans="1:7" ht="16.5" x14ac:dyDescent="0.35">
      <c r="A9" s="144" t="s">
        <v>532</v>
      </c>
      <c r="B9" s="144" t="s">
        <v>532</v>
      </c>
      <c r="C9" s="145" t="s">
        <v>525</v>
      </c>
      <c r="D9" s="145" t="s">
        <v>526</v>
      </c>
      <c r="E9" s="144" t="s">
        <v>527</v>
      </c>
    </row>
    <row r="10" spans="1:7" ht="16.5" x14ac:dyDescent="0.35">
      <c r="A10" s="144" t="s">
        <v>537</v>
      </c>
      <c r="B10" s="144" t="s">
        <v>524</v>
      </c>
      <c r="C10" s="145" t="s">
        <v>538</v>
      </c>
      <c r="D10" s="145" t="s">
        <v>539</v>
      </c>
      <c r="E10" s="144" t="s">
        <v>527</v>
      </c>
    </row>
    <row r="11" spans="1:7" ht="16.5" x14ac:dyDescent="0.35">
      <c r="A11" s="144" t="s">
        <v>537</v>
      </c>
      <c r="B11" s="144" t="s">
        <v>528</v>
      </c>
      <c r="C11" s="145" t="s">
        <v>540</v>
      </c>
      <c r="D11" s="145" t="s">
        <v>541</v>
      </c>
      <c r="E11" s="144" t="s">
        <v>542</v>
      </c>
    </row>
    <row r="12" spans="1:7" ht="16.5" x14ac:dyDescent="0.35">
      <c r="A12" s="144" t="s">
        <v>537</v>
      </c>
      <c r="B12" s="144" t="s">
        <v>532</v>
      </c>
      <c r="C12" s="145" t="s">
        <v>543</v>
      </c>
      <c r="D12" s="145" t="s">
        <v>544</v>
      </c>
      <c r="E12" s="144"/>
    </row>
    <row r="13" spans="1:7" ht="16.5" x14ac:dyDescent="0.35">
      <c r="A13" s="146" t="s">
        <v>537</v>
      </c>
      <c r="B13" s="146" t="s">
        <v>537</v>
      </c>
      <c r="C13" s="147" t="s">
        <v>525</v>
      </c>
      <c r="D13" s="147" t="s">
        <v>526</v>
      </c>
      <c r="E13" s="14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Van Der Meer</dc:creator>
  <cp:lastModifiedBy>Mila Van Der Meer</cp:lastModifiedBy>
  <cp:lastPrinted>2025-11-06T12:34:06Z</cp:lastPrinted>
  <dcterms:created xsi:type="dcterms:W3CDTF">2025-10-08T12:19:23Z</dcterms:created>
  <dcterms:modified xsi:type="dcterms:W3CDTF">2025-12-10T15:37:25Z</dcterms:modified>
</cp:coreProperties>
</file>