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4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vdmmi\Documents\ETHZ\Autumn 2025\Research project\"/>
    </mc:Choice>
  </mc:AlternateContent>
  <xr:revisionPtr revIDLastSave="0" documentId="13_ncr:9_{FE4DD028-237B-49C0-842D-E4585BBD7772}" xr6:coauthVersionLast="47" xr6:coauthVersionMax="47" xr10:uidLastSave="{00000000-0000-0000-0000-000000000000}"/>
  <bookViews>
    <workbookView xWindow="-110" yWindow="-110" windowWidth="22620" windowHeight="13500" xr2:uid="{00D3AEF6-8748-441D-8C58-7FD934202D95}"/>
  </bookViews>
  <sheets>
    <sheet name="1" sheetId="2" r:id="rId1"/>
    <sheet name="2" sheetId="4" r:id="rId2"/>
    <sheet name="3" sheetId="5" r:id="rId3"/>
    <sheet name="4" sheetId="9" r:id="rId4"/>
  </sheets>
  <definedNames>
    <definedName name="_xlnm.Print_Area" localSheetId="2">'3'!$A$1:$AB$79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B17" i="9" l="1"/>
  <c r="C17" i="9"/>
  <c r="D17" i="9"/>
  <c r="E17" i="9"/>
  <c r="F17" i="9"/>
  <c r="G17" i="9"/>
  <c r="H17" i="9"/>
  <c r="I17" i="9"/>
  <c r="J17" i="9"/>
  <c r="K17" i="9"/>
  <c r="B18" i="9"/>
  <c r="C18" i="9"/>
  <c r="D18" i="9"/>
  <c r="E18" i="9"/>
  <c r="F18" i="9"/>
  <c r="G18" i="9"/>
  <c r="H18" i="9"/>
  <c r="I18" i="9"/>
  <c r="J18" i="9"/>
  <c r="K18" i="9"/>
  <c r="B19" i="9"/>
  <c r="C19" i="9"/>
  <c r="D19" i="9"/>
  <c r="E19" i="9"/>
  <c r="F19" i="9"/>
  <c r="G19" i="9"/>
  <c r="H19" i="9"/>
  <c r="I19" i="9"/>
  <c r="J19" i="9"/>
  <c r="K19" i="9"/>
  <c r="B20" i="9"/>
  <c r="C20" i="9"/>
  <c r="D20" i="9"/>
  <c r="E20" i="9"/>
  <c r="F20" i="9"/>
  <c r="G20" i="9"/>
  <c r="H20" i="9"/>
  <c r="I20" i="9"/>
  <c r="J20" i="9"/>
  <c r="K20" i="9"/>
  <c r="B21" i="9"/>
  <c r="C21" i="9"/>
  <c r="D21" i="9"/>
  <c r="E21" i="9"/>
  <c r="F21" i="9"/>
  <c r="G21" i="9"/>
  <c r="H21" i="9"/>
  <c r="I21" i="9"/>
  <c r="J21" i="9"/>
  <c r="K21" i="9"/>
  <c r="B22" i="9"/>
  <c r="C22" i="9"/>
  <c r="D22" i="9"/>
  <c r="E22" i="9"/>
  <c r="F22" i="9"/>
  <c r="G22" i="9"/>
  <c r="H22" i="9"/>
  <c r="I22" i="9"/>
  <c r="J22" i="9"/>
  <c r="K22" i="9"/>
  <c r="B23" i="9"/>
  <c r="C23" i="9"/>
  <c r="D23" i="9"/>
  <c r="E23" i="9"/>
  <c r="F23" i="9"/>
  <c r="G23" i="9"/>
  <c r="H23" i="9"/>
  <c r="I23" i="9"/>
  <c r="J23" i="9"/>
  <c r="K23" i="9"/>
  <c r="L23" i="9"/>
  <c r="M23" i="9"/>
  <c r="R29" i="5"/>
  <c r="R32" i="5"/>
  <c r="S36" i="5"/>
  <c r="T36" i="5"/>
  <c r="U36" i="5"/>
  <c r="V36" i="5"/>
  <c r="W36" i="5"/>
  <c r="X36" i="5"/>
  <c r="R40" i="5"/>
  <c r="W40" i="5"/>
  <c r="R43" i="5"/>
  <c r="W43" i="5"/>
</calcChain>
</file>

<file path=xl/sharedStrings.xml><?xml version="1.0" encoding="utf-8"?>
<sst xmlns="http://purl.oclc.org/ooxml/spreadsheetml/main" count="298" uniqueCount="120">
  <si>
    <t>Yellow-orange, liquid. Like pumpkin soup</t>
  </si>
  <si>
    <t>Dafalgan after the 2- and 4-month vaccines</t>
  </si>
  <si>
    <t>Breast milk</t>
  </si>
  <si>
    <t>Not weaned yet</t>
  </si>
  <si>
    <t>Vaginal</t>
  </si>
  <si>
    <t>Female</t>
  </si>
  <si>
    <t>D8</t>
  </si>
  <si>
    <t>Green-ish, liquid with fibrous content</t>
  </si>
  <si>
    <t>Ventolin inhaler due to bronchitis</t>
  </si>
  <si>
    <t>D7</t>
  </si>
  <si>
    <t>None</t>
  </si>
  <si>
    <t>Formula and breast milk</t>
  </si>
  <si>
    <t>C-section</t>
  </si>
  <si>
    <t>NA</t>
  </si>
  <si>
    <t>Male</t>
  </si>
  <si>
    <t>D6</t>
  </si>
  <si>
    <t>Phenotype fecal sample</t>
  </si>
  <si>
    <t>Medication in the past 3 months</t>
  </si>
  <si>
    <t>Feeding mode</t>
  </si>
  <si>
    <t>Weaning age (months)</t>
  </si>
  <si>
    <t>Mode of delivery</t>
  </si>
  <si>
    <t>Weight (kg)</t>
  </si>
  <si>
    <t>Sex</t>
  </si>
  <si>
    <t>Age (months)</t>
  </si>
  <si>
    <t>Time at sample collection</t>
  </si>
  <si>
    <t>Date at sample collection</t>
  </si>
  <si>
    <t>Donor</t>
  </si>
  <si>
    <t>Donor metadata</t>
  </si>
  <si>
    <t>muc+6c</t>
  </si>
  <si>
    <t>#9</t>
  </si>
  <si>
    <t>#8</t>
  </si>
  <si>
    <t>#7</t>
  </si>
  <si>
    <t>#6</t>
  </si>
  <si>
    <t>#5</t>
  </si>
  <si>
    <t>#4</t>
  </si>
  <si>
    <t>GOS</t>
  </si>
  <si>
    <t>#3</t>
  </si>
  <si>
    <t>HMOs</t>
  </si>
  <si>
    <t>#2</t>
  </si>
  <si>
    <t>H2O</t>
  </si>
  <si>
    <t>#1</t>
  </si>
  <si>
    <t>0.048g fuc + 24g lac + 8g of GOS in 100mL of H2O (16x concentrated for fuc and lac, 8x concentrated for GOS)</t>
  </si>
  <si>
    <t>fuc+lac+GOS (sol.7)</t>
  </si>
  <si>
    <t>Previously prepared according to the (Zünd et al., 2024) protocol (8x concentrated)</t>
  </si>
  <si>
    <t>muc+6c (sol.6)</t>
  </si>
  <si>
    <t>0.024g fuc + 12g lac + 240mg of mucin in 100mL of H2O (8x concentrated)</t>
  </si>
  <si>
    <t>fuc+lac+muc (sol.5)</t>
  </si>
  <si>
    <t>50mL GOS+muc sol + 0.012g fuc + 6g lac (8x concentration for the mucin, fuc and lac, 4x concentration for GOS)</t>
  </si>
  <si>
    <t>fuc+lac+muc+GOS (sol.4)</t>
  </si>
  <si>
    <t>Separate the GOS+muc solution in 2x50mL. One half remains the GOS+muc sol, the other is used to make the fuc+lac+muc+GOS sol</t>
  </si>
  <si>
    <t>50mL of GOS sol + 50mL of H2O + 240mg of mucin (8x concentration for the mucin, 4x concentration for GOS)</t>
  </si>
  <si>
    <t>GOS + muc (sol.3)</t>
  </si>
  <si>
    <t>Separate the GOS solution in 2x 50mL. One half remains the GOS sol, the other is used to make the GOS+muc sol</t>
  </si>
  <si>
    <t>8g GOS + 100mL H2O (8x concentrated)</t>
  </si>
  <si>
    <t>GOS (sol.2)</t>
  </si>
  <si>
    <t>8g HMOs + 100mL H2O (8x concentrated)</t>
  </si>
  <si>
    <t>HMOs (sol.1)</t>
  </si>
  <si>
    <t>Preparation of the different solutions:</t>
  </si>
  <si>
    <t>fuc+lac+GOS</t>
  </si>
  <si>
    <t>fuc+lac+muc</t>
  </si>
  <si>
    <t>fuc+lac+muc+GOS</t>
  </si>
  <si>
    <t>GOS + muc</t>
  </si>
  <si>
    <t>Supplements dosages and solution formulations</t>
  </si>
  <si>
    <t>H</t>
  </si>
  <si>
    <t>G</t>
  </si>
  <si>
    <t>F</t>
  </si>
  <si>
    <t>E</t>
  </si>
  <si>
    <t>D</t>
  </si>
  <si>
    <t>C</t>
  </si>
  <si>
    <t>B</t>
  </si>
  <si>
    <t>A</t>
  </si>
  <si>
    <t>11 (#10)</t>
  </si>
  <si>
    <t>10 (#9)</t>
  </si>
  <si>
    <t>9 (#8)</t>
  </si>
  <si>
    <t>8 (#7)</t>
  </si>
  <si>
    <t>7 (#6)</t>
  </si>
  <si>
    <t>6 (#5)</t>
  </si>
  <si>
    <t>5 (#4)</t>
  </si>
  <si>
    <t>4 (#3)</t>
  </si>
  <si>
    <t>3 (#2)</t>
  </si>
  <si>
    <t>2 (#1)</t>
  </si>
  <si>
    <t>Step 12: fill of 10x diluted fecal sample solution (uL)</t>
  </si>
  <si>
    <t>Step 11: Make the 10^4 dilution of the fecal samples in the phosphate buffer. The last dilution is put in a unique reservoir</t>
  </si>
  <si>
    <t>Step 10: fill muc+6c (sol. 6) (uL)</t>
  </si>
  <si>
    <t>mL</t>
  </si>
  <si>
    <t>Unique reservoir with</t>
  </si>
  <si>
    <t>Step 9: fill fuc+lac+GOS (sol. 7) (uL)</t>
  </si>
  <si>
    <t>bYCFA 5.8 reservoir:</t>
  </si>
  <si>
    <t>10x diluted fecal samples reservoir:</t>
  </si>
  <si>
    <t>Step 8: fill fuc+lac+muc+GOS solution (sol. 4) (uL)</t>
  </si>
  <si>
    <t>Step 7: fill fuc+lac+muc solution (sol. 5) (uL)</t>
  </si>
  <si>
    <t xml:space="preserve">Unique reservoir with </t>
  </si>
  <si>
    <t>Step 6: fill GOS+muc solution (sol. 3) (uL)</t>
  </si>
  <si>
    <t>bYCFA 4.8 reservoir:</t>
  </si>
  <si>
    <t>Sol. 6 reservoir:</t>
  </si>
  <si>
    <t>Step 5: fill GOS solution (sol. 2) (uL)</t>
  </si>
  <si>
    <t>9 - sol. 7</t>
  </si>
  <si>
    <t>8 - sol. 4</t>
  </si>
  <si>
    <t>7 - sol.5</t>
  </si>
  <si>
    <t>6 - sol. 3</t>
  </si>
  <si>
    <t>5 - sol. 2</t>
  </si>
  <si>
    <t>4 - sol. 2</t>
  </si>
  <si>
    <t>Sol. 2,3,4,5,7 reservoir (mL):</t>
  </si>
  <si>
    <t>HMOs reservoir:</t>
  </si>
  <si>
    <t>H2O reservoir:</t>
  </si>
  <si>
    <t>Step 4: fill HMOs solution (sol. 1) (uL)</t>
  </si>
  <si>
    <t>Step 3: Fill sterile dH2O (uL)</t>
  </si>
  <si>
    <t>2*750</t>
  </si>
  <si>
    <t>Step 2.2: fill 1.5mL of bYCFA 5.8 (mL)</t>
  </si>
  <si>
    <t>Step 2.1: fill 1.5mL of bYCFA 4.8 (mL)</t>
  </si>
  <si>
    <t>Step 1: Make separate bYCFA solutions (234mL), set on at pH 4.8 and the other at pH 5.8. Put each of them in a unique reservoir</t>
  </si>
  <si>
    <t>Workflow for the media preparation (bYCFA and supplements) in the 96-well plates and inoculation</t>
  </si>
  <si>
    <t>To find the volume to extract V1 (uL) : (C2*V2)/C1</t>
  </si>
  <si>
    <t>Final concentration C2 (ng/uL)</t>
  </si>
  <si>
    <t>Final volume V2 (uL)</t>
  </si>
  <si>
    <t>The whole DNA sample is transferred</t>
  </si>
  <si>
    <t>Volume taken out of Elution plate 1:</t>
  </si>
  <si>
    <t>The values were taken from the second BR Qubit (after the removing of the beads) and the third HS Qubit</t>
  </si>
  <si>
    <t>Elution plate 1 - QUBIT measurements (mix of the second BR QUBIT and HS QUBIT):</t>
  </si>
  <si>
    <t>DNA normalization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</si>
</sst>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rgb="FFF2CEEF"/>
      </patternFill>
    </fill>
    <fill>
      <patternFill patternType="solid">
        <fgColor rgb="FFCCCCFF"/>
        <bgColor rgb="FFCCCCFF"/>
      </patternFill>
    </fill>
    <fill>
      <patternFill patternType="solid">
        <fgColor rgb="FFFF9799"/>
        <bgColor rgb="FFFF9799"/>
      </patternFill>
    </fill>
    <fill>
      <patternFill patternType="solid">
        <fgColor rgb="FFACE27A"/>
        <bgColor rgb="FFACE27A"/>
      </patternFill>
    </fill>
    <fill>
      <patternFill patternType="solid">
        <fgColor rgb="FFE4E172"/>
        <bgColor rgb="FFE4E172"/>
      </patternFill>
    </fill>
    <fill>
      <patternFill patternType="solid">
        <fgColor rgb="FFF8E2AC"/>
        <bgColor rgb="FFF8E2AC"/>
      </patternFill>
    </fill>
    <fill>
      <patternFill patternType="solid">
        <fgColor rgb="FFA6C9EC"/>
        <bgColor rgb="FFA6C9EC"/>
      </patternFill>
    </fill>
    <fill>
      <patternFill patternType="solid">
        <fgColor rgb="FFDAE9F8"/>
        <bgColor rgb="FFDAE9F8"/>
      </patternFill>
    </fill>
    <fill>
      <patternFill patternType="solid">
        <fgColor rgb="FFB4929C"/>
        <bgColor rgb="FFB4929C"/>
      </patternFill>
    </fill>
    <fill>
      <patternFill patternType="solid">
        <fgColor rgb="FFF2CEEF"/>
        <bgColor rgb="FFF2CEEF"/>
      </patternFill>
    </fill>
    <fill>
      <patternFill patternType="solid">
        <fgColor rgb="FFF1A983"/>
        <bgColor rgb="FFF1A983"/>
      </patternFill>
    </fill>
    <fill>
      <patternFill patternType="solid">
        <fgColor rgb="FFF7C7AC"/>
        <bgColor rgb="FFF7C7AC"/>
      </patternFill>
    </fill>
    <fill>
      <patternFill patternType="solid">
        <fgColor rgb="FFFBE2D5"/>
        <bgColor rgb="FFFBE2D5"/>
      </patternFill>
    </fill>
    <fill>
      <patternFill patternType="solid">
        <fgColor rgb="FF94DCF8"/>
        <bgColor rgb="FF94DCF8"/>
      </patternFill>
    </fill>
    <fill>
      <patternFill patternType="solid">
        <fgColor rgb="FFCAEDFB"/>
        <bgColor rgb="FFCAEDFB"/>
      </patternFill>
    </fill>
    <fill>
      <patternFill patternType="solid">
        <fgColor rgb="FFB5E6A2"/>
        <bgColor rgb="FFB5E6A2"/>
      </patternFill>
    </fill>
    <fill>
      <patternFill patternType="solid">
        <fgColor rgb="FF61CBF3"/>
        <bgColor rgb="FF61CBF3"/>
      </patternFill>
    </fill>
    <fill>
      <patternFill patternType="solid">
        <fgColor rgb="FFD0D0D0"/>
        <bgColor rgb="FFD0D0D0"/>
      </patternFill>
    </fill>
    <fill>
      <patternFill patternType="solid">
        <fgColor rgb="FF8ED973"/>
        <bgColor rgb="FF8ED973"/>
      </patternFill>
    </fill>
    <fill>
      <patternFill patternType="solid">
        <fgColor rgb="FFFFFFFF"/>
        <bgColor rgb="FFFFFFFF"/>
      </patternFill>
    </fill>
    <fill>
      <patternFill patternType="solid">
        <fgColor rgb="FFAEAAAA"/>
        <bgColor rgb="FFAEAAAA"/>
      </patternFill>
    </fill>
    <fill>
      <patternFill patternType="solid">
        <fgColor rgb="FFE2EFDA"/>
        <bgColor rgb="FFE2EFDA"/>
      </patternFill>
    </fill>
  </fills>
  <borders count="13">
    <border>
      <start/>
      <end/>
      <top/>
      <bottom/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thin">
        <color rgb="FF000000"/>
      </start>
      <end/>
      <top style="thin">
        <color rgb="FF000000"/>
      </top>
      <bottom style="thin">
        <color rgb="FF000000"/>
      </bottom>
      <diagonal/>
    </border>
    <border>
      <start style="thin">
        <color rgb="FF000000"/>
      </start>
      <end style="thin">
        <color rgb="FF000000"/>
      </end>
      <top/>
      <bottom style="thin">
        <color rgb="FF000000"/>
      </bottom>
      <diagonal/>
    </border>
    <border>
      <start/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/>
      <diagonal/>
    </border>
    <border>
      <start/>
      <end/>
      <top/>
      <bottom style="thin">
        <color rgb="FF000000"/>
      </bottom>
      <diagonal/>
    </border>
    <border>
      <start/>
      <end/>
      <top style="thin">
        <color rgb="FF000000"/>
      </top>
      <bottom style="thin">
        <color rgb="FF000000"/>
      </bottom>
      <diagonal/>
    </border>
    <border>
      <start style="thin">
        <color rgb="FF000000"/>
      </start>
      <end style="thin">
        <color rgb="FF000000"/>
      </end>
      <top/>
      <bottom/>
      <diagonal/>
    </border>
  </borders>
  <cellStyleXfs count="3">
    <xf numFmtId="0" fontId="0" fillId="0" borderId="0"/>
    <xf numFmtId="0" fontId="1" fillId="0" borderId="0"/>
    <xf numFmtId="0" fontId="4" fillId="0" borderId="0" applyNumberFormat="0" applyBorder="0" applyProtection="0"/>
  </cellStyleXfs>
  <cellXfs count="108">
    <xf numFmtId="0" fontId="0" fillId="0" borderId="0" xfId="0"/>
    <xf numFmtId="0" fontId="1" fillId="0" borderId="0" xfId="1"/>
    <xf numFmtId="164" fontId="1" fillId="0" borderId="0" xfId="1" applyNumberFormat="1"/>
    <xf numFmtId="0" fontId="1" fillId="0" borderId="1" xfId="1" applyBorder="1"/>
    <xf numFmtId="164" fontId="1" fillId="0" borderId="1" xfId="1" applyNumberFormat="1" applyBorder="1"/>
    <xf numFmtId="20" fontId="1" fillId="0" borderId="1" xfId="1" applyNumberFormat="1" applyBorder="1"/>
    <xf numFmtId="14" fontId="1" fillId="0" borderId="1" xfId="1" applyNumberFormat="1" applyBorder="1"/>
    <xf numFmtId="0" fontId="2" fillId="2" borderId="1" xfId="1" applyFont="1" applyFill="1" applyBorder="1" applyAlignment="1">
      <alignment horizontal="center"/>
    </xf>
    <xf numFmtId="164" fontId="2" fillId="2" borderId="1" xfId="1" applyNumberFormat="1" applyFont="1" applyFill="1" applyBorder="1" applyAlignment="1">
      <alignment horizontal="center"/>
    </xf>
    <xf numFmtId="0" fontId="2" fillId="0" borderId="0" xfId="1" applyFont="1"/>
    <xf numFmtId="0" fontId="1" fillId="0" borderId="0" xfId="1" applyAlignment="1">
      <alignment horizontal="center"/>
    </xf>
    <xf numFmtId="0" fontId="1" fillId="0" borderId="2" xfId="1" applyBorder="1"/>
    <xf numFmtId="0" fontId="1" fillId="0" borderId="3" xfId="1" applyBorder="1"/>
    <xf numFmtId="0" fontId="2" fillId="3" borderId="1" xfId="1" applyFont="1" applyFill="1" applyBorder="1" applyAlignment="1">
      <alignment horizontal="center" vertical="center"/>
    </xf>
    <xf numFmtId="0" fontId="2" fillId="4" borderId="1" xfId="1" applyFont="1" applyFill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1" xfId="1" applyBorder="1" applyAlignment="1">
      <alignment horizontal="left" vertical="center" indent="1"/>
    </xf>
    <xf numFmtId="0" fontId="2" fillId="7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/>
    </xf>
    <xf numFmtId="0" fontId="2" fillId="9" borderId="1" xfId="1" applyFont="1" applyFill="1" applyBorder="1" applyAlignment="1">
      <alignment horizontal="center" vertical="center"/>
    </xf>
    <xf numFmtId="0" fontId="1" fillId="0" borderId="5" xfId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/>
    </xf>
    <xf numFmtId="0" fontId="2" fillId="4" borderId="5" xfId="1" applyFont="1" applyFill="1" applyBorder="1" applyAlignment="1">
      <alignment horizontal="center" vertical="center"/>
    </xf>
    <xf numFmtId="0" fontId="2" fillId="5" borderId="5" xfId="1" applyFont="1" applyFill="1" applyBorder="1" applyAlignment="1">
      <alignment horizontal="center" vertical="center"/>
    </xf>
    <xf numFmtId="0" fontId="2" fillId="6" borderId="6" xfId="1" applyFont="1" applyFill="1" applyBorder="1" applyAlignment="1">
      <alignment horizontal="center" vertical="center"/>
    </xf>
    <xf numFmtId="0" fontId="2" fillId="7" borderId="5" xfId="1" applyFont="1" applyFill="1" applyBorder="1" applyAlignment="1">
      <alignment horizontal="center" vertical="center"/>
    </xf>
    <xf numFmtId="0" fontId="2" fillId="8" borderId="5" xfId="1" applyFont="1" applyFill="1" applyBorder="1" applyAlignment="1">
      <alignment horizontal="center" vertical="center"/>
    </xf>
    <xf numFmtId="0" fontId="2" fillId="9" borderId="5" xfId="1" applyFont="1" applyFill="1" applyBorder="1" applyAlignment="1">
      <alignment horizontal="center" vertical="center"/>
    </xf>
    <xf numFmtId="0" fontId="2" fillId="10" borderId="5" xfId="1" applyFont="1" applyFill="1" applyBorder="1" applyAlignment="1">
      <alignment horizontal="center" vertical="center"/>
    </xf>
    <xf numFmtId="0" fontId="2" fillId="2" borderId="5" xfId="1" applyFont="1" applyFill="1" applyBorder="1" applyAlignment="1">
      <alignment horizontal="center" vertical="center" wrapText="1"/>
    </xf>
    <xf numFmtId="0" fontId="1" fillId="0" borderId="5" xfId="1" applyBorder="1" applyAlignment="1">
      <alignment vertical="center" wrapText="1"/>
    </xf>
    <xf numFmtId="0" fontId="1" fillId="10" borderId="5" xfId="1" applyFill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11" borderId="5" xfId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11" borderId="0" xfId="1" applyFill="1" applyAlignment="1">
      <alignment horizontal="center" vertical="center"/>
    </xf>
    <xf numFmtId="0" fontId="1" fillId="11" borderId="0" xfId="1" applyFill="1" applyAlignment="1">
      <alignment horizontal="left" vertical="center"/>
    </xf>
    <xf numFmtId="0" fontId="1" fillId="11" borderId="0" xfId="1" applyFill="1" applyAlignment="1">
      <alignment vertical="center"/>
    </xf>
    <xf numFmtId="0" fontId="1" fillId="10" borderId="7" xfId="1" applyFill="1" applyBorder="1" applyAlignment="1">
      <alignment horizontal="center" vertical="center"/>
    </xf>
    <xf numFmtId="0" fontId="1" fillId="4" borderId="5" xfId="1" applyFill="1" applyBorder="1" applyAlignment="1">
      <alignment horizontal="center" vertical="center"/>
    </xf>
    <xf numFmtId="0" fontId="1" fillId="4" borderId="8" xfId="1" applyFill="1" applyBorder="1" applyAlignment="1">
      <alignment horizontal="center" vertical="center"/>
    </xf>
    <xf numFmtId="0" fontId="1" fillId="0" borderId="5" xfId="1" applyBorder="1"/>
    <xf numFmtId="0" fontId="1" fillId="0" borderId="6" xfId="1" applyBorder="1" applyAlignment="1">
      <alignment horizontal="center" vertical="center"/>
    </xf>
    <xf numFmtId="0" fontId="1" fillId="10" borderId="9" xfId="1" applyFill="1" applyBorder="1" applyAlignment="1">
      <alignment horizontal="center" vertical="center"/>
    </xf>
    <xf numFmtId="0" fontId="1" fillId="10" borderId="8" xfId="1" applyFill="1" applyBorder="1" applyAlignment="1">
      <alignment horizontal="center" vertical="center"/>
    </xf>
    <xf numFmtId="0" fontId="1" fillId="12" borderId="5" xfId="1" applyFill="1" applyBorder="1" applyAlignment="1">
      <alignment horizontal="center" vertical="center"/>
    </xf>
    <xf numFmtId="0" fontId="1" fillId="6" borderId="6" xfId="1" applyFill="1" applyBorder="1" applyAlignment="1">
      <alignment horizontal="center" vertical="center"/>
    </xf>
    <xf numFmtId="0" fontId="1" fillId="5" borderId="5" xfId="1" applyFill="1" applyBorder="1" applyAlignment="1">
      <alignment horizontal="center" vertical="center"/>
    </xf>
    <xf numFmtId="0" fontId="1" fillId="7" borderId="5" xfId="1" applyFill="1" applyBorder="1" applyAlignment="1">
      <alignment horizontal="center" vertical="center"/>
    </xf>
    <xf numFmtId="0" fontId="1" fillId="8" borderId="5" xfId="1" applyFill="1" applyBorder="1" applyAlignment="1">
      <alignment horizontal="center" vertical="center"/>
    </xf>
    <xf numFmtId="0" fontId="1" fillId="13" borderId="0" xfId="1" applyFill="1"/>
    <xf numFmtId="0" fontId="1" fillId="11" borderId="0" xfId="1" applyFill="1"/>
    <xf numFmtId="0" fontId="1" fillId="14" borderId="0" xfId="1" applyFill="1"/>
    <xf numFmtId="0" fontId="1" fillId="4" borderId="0" xfId="1" applyFill="1"/>
    <xf numFmtId="0" fontId="1" fillId="6" borderId="5" xfId="1" applyFill="1" applyBorder="1" applyAlignment="1">
      <alignment horizontal="center" vertical="center"/>
    </xf>
    <xf numFmtId="0" fontId="1" fillId="9" borderId="5" xfId="1" applyFill="1" applyBorder="1" applyAlignment="1">
      <alignment horizontal="center" vertical="center"/>
    </xf>
    <xf numFmtId="0" fontId="1" fillId="0" borderId="9" xfId="1" applyBorder="1" applyAlignment="1">
      <alignment horizontal="center" vertical="center"/>
    </xf>
    <xf numFmtId="0" fontId="1" fillId="9" borderId="0" xfId="1" applyFill="1"/>
    <xf numFmtId="0" fontId="1" fillId="0" borderId="0" xfId="1" applyAlignment="1">
      <alignment vertical="center"/>
    </xf>
    <xf numFmtId="0" fontId="2" fillId="0" borderId="0" xfId="1" applyFont="1" applyAlignment="1">
      <alignment vertical="center"/>
    </xf>
    <xf numFmtId="0" fontId="1" fillId="10" borderId="0" xfId="1" applyFill="1"/>
    <xf numFmtId="0" fontId="1" fillId="13" borderId="5" xfId="1" applyFill="1" applyBorder="1" applyAlignment="1">
      <alignment horizontal="center" vertical="center"/>
    </xf>
    <xf numFmtId="0" fontId="1" fillId="14" borderId="5" xfId="1" applyFill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1" fillId="0" borderId="0" xfId="1" applyAlignment="1">
      <alignment horizontal="left"/>
    </xf>
    <xf numFmtId="0" fontId="1" fillId="0" borderId="0" xfId="1" applyAlignment="1">
      <alignment horizontal="left" vertical="center"/>
    </xf>
    <xf numFmtId="2" fontId="3" fillId="0" borderId="5" xfId="1" applyNumberFormat="1" applyFont="1" applyBorder="1" applyAlignment="1">
      <alignment horizontal="center" vertical="center"/>
    </xf>
    <xf numFmtId="2" fontId="3" fillId="22" borderId="5" xfId="1" applyNumberFormat="1" applyFont="1" applyFill="1" applyBorder="1" applyAlignment="1">
      <alignment horizontal="center" vertical="center"/>
    </xf>
    <xf numFmtId="2" fontId="3" fillId="12" borderId="5" xfId="1" applyNumberFormat="1" applyFont="1" applyFill="1" applyBorder="1" applyAlignment="1">
      <alignment horizontal="center" vertical="center"/>
    </xf>
    <xf numFmtId="2" fontId="3" fillId="0" borderId="5" xfId="1" applyNumberFormat="1" applyFont="1" applyBorder="1" applyAlignment="1">
      <alignment horizontal="center"/>
    </xf>
    <xf numFmtId="0" fontId="2" fillId="0" borderId="0" xfId="1" applyFont="1" applyAlignment="1">
      <alignment horizontal="left" vertical="center"/>
    </xf>
    <xf numFmtId="0" fontId="1" fillId="0" borderId="12" xfId="1" applyBorder="1" applyAlignment="1">
      <alignment horizontal="left" vertical="center"/>
    </xf>
    <xf numFmtId="2" fontId="3" fillId="0" borderId="7" xfId="1" applyNumberFormat="1" applyFont="1" applyBorder="1" applyAlignment="1">
      <alignment horizontal="center" vertical="center"/>
    </xf>
    <xf numFmtId="2" fontId="3" fillId="23" borderId="5" xfId="1" applyNumberFormat="1" applyFont="1" applyFill="1" applyBorder="1" applyAlignment="1">
      <alignment horizontal="center" vertical="center"/>
    </xf>
    <xf numFmtId="2" fontId="3" fillId="20" borderId="5" xfId="1" applyNumberFormat="1" applyFont="1" applyFill="1" applyBorder="1" applyAlignment="1">
      <alignment horizontal="center" vertical="center"/>
    </xf>
    <xf numFmtId="2" fontId="3" fillId="19" borderId="5" xfId="1" applyNumberFormat="1" applyFont="1" applyFill="1" applyBorder="1" applyAlignment="1">
      <alignment horizontal="center" vertical="center"/>
    </xf>
    <xf numFmtId="2" fontId="3" fillId="21" borderId="5" xfId="1" applyNumberFormat="1" applyFont="1" applyFill="1" applyBorder="1" applyAlignment="1">
      <alignment horizontal="center" vertical="center"/>
    </xf>
    <xf numFmtId="2" fontId="3" fillId="13" borderId="5" xfId="1" applyNumberFormat="1" applyFont="1" applyFill="1" applyBorder="1" applyAlignment="1">
      <alignment horizontal="center" vertical="center"/>
    </xf>
    <xf numFmtId="2" fontId="3" fillId="16" borderId="6" xfId="1" applyNumberFormat="1" applyFont="1" applyFill="1" applyBorder="1" applyAlignment="1">
      <alignment horizontal="center" vertical="center"/>
    </xf>
    <xf numFmtId="2" fontId="3" fillId="16" borderId="5" xfId="1" applyNumberFormat="1" applyFont="1" applyFill="1" applyBorder="1" applyAlignment="1">
      <alignment horizontal="center" vertical="center"/>
    </xf>
    <xf numFmtId="2" fontId="3" fillId="17" borderId="6" xfId="1" applyNumberFormat="1" applyFont="1" applyFill="1" applyBorder="1" applyAlignment="1">
      <alignment horizontal="center" vertical="center"/>
    </xf>
    <xf numFmtId="2" fontId="3" fillId="17" borderId="5" xfId="1" applyNumberFormat="1" applyFont="1" applyFill="1" applyBorder="1" applyAlignment="1">
      <alignment horizontal="center" vertical="center"/>
    </xf>
    <xf numFmtId="2" fontId="3" fillId="18" borderId="6" xfId="1" applyNumberFormat="1" applyFont="1" applyFill="1" applyBorder="1" applyAlignment="1">
      <alignment horizontal="center" vertical="center"/>
    </xf>
    <xf numFmtId="2" fontId="3" fillId="18" borderId="5" xfId="1" applyNumberFormat="1" applyFont="1" applyFill="1" applyBorder="1" applyAlignment="1">
      <alignment horizontal="center" vertical="center"/>
    </xf>
    <xf numFmtId="2" fontId="3" fillId="18" borderId="5" xfId="2" applyNumberFormat="1" applyFont="1" applyFill="1" applyBorder="1" applyAlignment="1">
      <alignment horizontal="center"/>
    </xf>
    <xf numFmtId="2" fontId="3" fillId="24" borderId="5" xfId="2" applyNumberFormat="1" applyFont="1" applyFill="1" applyBorder="1" applyAlignment="1">
      <alignment horizontal="center"/>
    </xf>
    <xf numFmtId="2" fontId="3" fillId="14" borderId="6" xfId="1" applyNumberFormat="1" applyFont="1" applyFill="1" applyBorder="1" applyAlignment="1">
      <alignment horizontal="center" vertical="center"/>
    </xf>
    <xf numFmtId="2" fontId="3" fillId="14" borderId="5" xfId="1" applyNumberFormat="1" applyFont="1" applyFill="1" applyBorder="1" applyAlignment="1">
      <alignment horizontal="center" vertical="center"/>
    </xf>
    <xf numFmtId="2" fontId="3" fillId="15" borderId="6" xfId="1" applyNumberFormat="1" applyFont="1" applyFill="1" applyBorder="1" applyAlignment="1">
      <alignment horizontal="center" vertical="center"/>
    </xf>
    <xf numFmtId="2" fontId="3" fillId="15" borderId="5" xfId="1" applyNumberFormat="1" applyFont="1" applyFill="1" applyBorder="1" applyAlignment="1">
      <alignment horizontal="center" vertical="center"/>
    </xf>
    <xf numFmtId="0" fontId="1" fillId="0" borderId="4" xfId="1" applyBorder="1"/>
    <xf numFmtId="0" fontId="1" fillId="0" borderId="3" xfId="1" applyBorder="1"/>
    <xf numFmtId="0" fontId="1" fillId="0" borderId="2" xfId="1" applyBorder="1"/>
    <xf numFmtId="0" fontId="1" fillId="4" borderId="10" xfId="1" applyFill="1" applyBorder="1" applyAlignment="1">
      <alignment horizontal="center"/>
    </xf>
    <xf numFmtId="0" fontId="1" fillId="15" borderId="0" xfId="1" applyFill="1" applyAlignment="1">
      <alignment horizontal="center" vertical="center"/>
    </xf>
    <xf numFmtId="0" fontId="1" fillId="14" borderId="10" xfId="1" applyFill="1" applyBorder="1" applyAlignment="1">
      <alignment horizontal="center"/>
    </xf>
    <xf numFmtId="0" fontId="1" fillId="13" borderId="11" xfId="1" applyFill="1" applyBorder="1" applyAlignment="1">
      <alignment horizontal="center"/>
    </xf>
    <xf numFmtId="0" fontId="1" fillId="10" borderId="0" xfId="1" applyFill="1" applyAlignment="1">
      <alignment horizontal="center"/>
    </xf>
    <xf numFmtId="0" fontId="1" fillId="9" borderId="10" xfId="1" applyFill="1" applyBorder="1" applyAlignment="1">
      <alignment horizontal="center"/>
    </xf>
    <xf numFmtId="0" fontId="1" fillId="8" borderId="0" xfId="1" applyFill="1" applyAlignment="1">
      <alignment horizontal="center"/>
    </xf>
    <xf numFmtId="0" fontId="1" fillId="7" borderId="0" xfId="1" applyFill="1" applyAlignment="1">
      <alignment horizontal="center"/>
    </xf>
    <xf numFmtId="0" fontId="1" fillId="5" borderId="0" xfId="1" applyFill="1" applyAlignment="1">
      <alignment horizontal="center"/>
    </xf>
    <xf numFmtId="0" fontId="1" fillId="6" borderId="0" xfId="1" applyFill="1" applyAlignment="1">
      <alignment horizontal="center"/>
    </xf>
    <xf numFmtId="0" fontId="1" fillId="12" borderId="10" xfId="1" applyFill="1" applyBorder="1" applyAlignment="1">
      <alignment horizontal="center"/>
    </xf>
    <xf numFmtId="0" fontId="1" fillId="12" borderId="0" xfId="1" applyFill="1"/>
  </cellXfs>
  <cellStyles count="3">
    <cellStyle name="Normal" xfId="0" builtinId="0"/>
    <cellStyle name="Normal 2" xfId="1" xr:uid="{05BD67A4-28B2-45AB-AC77-A474AA668914}"/>
    <cellStyle name="Normal 3" xfId="2" xr:uid="{24A8B78E-47B2-4B7B-8762-C0C0EFA242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alcChain" Target="calcChain.xml"/><Relationship Id="rId3" Type="http://purl.oclc.org/ooxml/officeDocument/relationships/worksheet" Target="worksheets/sheet3.xml"/><Relationship Id="rId7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tyles" Target="styles.xml"/><Relationship Id="rId5" Type="http://purl.oclc.org/ooxml/officeDocument/relationships/theme" Target="theme/theme1.xml"/><Relationship Id="rId4" Type="http://purl.oclc.org/ooxml/officeDocument/relationships/worksheet" Target="worksheets/sheet4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F4CAF-9BF0-4FA4-90D1-6DC4457B195C}">
  <dimension ref="A1:K6"/>
  <sheetViews>
    <sheetView tabSelected="1" topLeftCell="B1" workbookViewId="0">
      <selection activeCell="J14" sqref="J14"/>
    </sheetView>
  </sheetViews>
  <sheetFormatPr defaultRowHeight="14.5" x14ac:dyDescent="0.35"/>
  <cols>
    <col min="1" max="1" width="8.7265625" style="1"/>
    <col min="2" max="2" width="22.26953125" style="1" bestFit="1" customWidth="1"/>
    <col min="3" max="3" width="22.453125" style="1" bestFit="1" customWidth="1"/>
    <col min="4" max="4" width="11.81640625" style="2" bestFit="1" customWidth="1"/>
    <col min="5" max="5" width="6.81640625" style="1" bestFit="1" customWidth="1"/>
    <col min="6" max="6" width="10.1796875" style="2" bestFit="1" customWidth="1"/>
    <col min="7" max="7" width="14.453125" style="1" bestFit="1" customWidth="1"/>
    <col min="8" max="8" width="19.54296875" style="1" bestFit="1" customWidth="1"/>
    <col min="9" max="9" width="20.26953125" style="1" bestFit="1" customWidth="1"/>
    <col min="10" max="10" width="35.81640625" style="1" bestFit="1" customWidth="1"/>
    <col min="11" max="11" width="33.7265625" style="1" bestFit="1" customWidth="1"/>
    <col min="12" max="16384" width="8.7265625" style="1"/>
  </cols>
  <sheetData>
    <row r="1" spans="1:11" x14ac:dyDescent="0.35">
      <c r="A1" s="9" t="s">
        <v>27</v>
      </c>
    </row>
    <row r="3" spans="1:11" x14ac:dyDescent="0.35">
      <c r="A3" s="7" t="s">
        <v>26</v>
      </c>
      <c r="B3" s="7" t="s">
        <v>25</v>
      </c>
      <c r="C3" s="7" t="s">
        <v>24</v>
      </c>
      <c r="D3" s="8" t="s">
        <v>23</v>
      </c>
      <c r="E3" s="7" t="s">
        <v>22</v>
      </c>
      <c r="F3" s="8" t="s">
        <v>21</v>
      </c>
      <c r="G3" s="7" t="s">
        <v>20</v>
      </c>
      <c r="H3" s="7" t="s">
        <v>19</v>
      </c>
      <c r="I3" s="7" t="s">
        <v>18</v>
      </c>
      <c r="J3" s="7" t="s">
        <v>17</v>
      </c>
      <c r="K3" s="7" t="s">
        <v>16</v>
      </c>
    </row>
    <row r="4" spans="1:11" x14ac:dyDescent="0.35">
      <c r="A4" s="3" t="s">
        <v>15</v>
      </c>
      <c r="B4" s="6" t="d">
        <v>2025-10-19</v>
      </c>
      <c r="C4" s="5" t="d">
        <v>18:00:00.000</v>
      </c>
      <c r="D4" s="4">
        <v>6.5</v>
      </c>
      <c r="E4" s="3" t="s">
        <v>14</v>
      </c>
      <c r="F4" s="4" t="s">
        <v>13</v>
      </c>
      <c r="G4" s="3" t="s">
        <v>12</v>
      </c>
      <c r="H4" s="3">
        <v>6</v>
      </c>
      <c r="I4" s="3" t="s">
        <v>11</v>
      </c>
      <c r="J4" s="3" t="s">
        <v>10</v>
      </c>
      <c r="K4" s="3" t="s">
        <v>0</v>
      </c>
    </row>
    <row r="5" spans="1:11" x14ac:dyDescent="0.35">
      <c r="A5" s="3" t="s">
        <v>9</v>
      </c>
      <c r="B5" s="6" t="d">
        <v>2025-10-20</v>
      </c>
      <c r="C5" s="5" t="d">
        <v>07:34:59.99999999999893725</v>
      </c>
      <c r="D5" s="4">
        <v>6</v>
      </c>
      <c r="E5" s="3" t="s">
        <v>5</v>
      </c>
      <c r="F5" s="4">
        <v>8.6</v>
      </c>
      <c r="G5" s="3" t="s">
        <v>4</v>
      </c>
      <c r="H5" s="3">
        <v>5.5</v>
      </c>
      <c r="I5" s="3" t="s">
        <v>2</v>
      </c>
      <c r="J5" s="3" t="s">
        <v>8</v>
      </c>
      <c r="K5" s="3" t="s">
        <v>7</v>
      </c>
    </row>
    <row r="6" spans="1:11" x14ac:dyDescent="0.35">
      <c r="A6" s="3" t="s">
        <v>6</v>
      </c>
      <c r="B6" s="6" t="d">
        <v>2025-10-20</v>
      </c>
      <c r="C6" s="5" t="d">
        <v>06:00:00.000</v>
      </c>
      <c r="D6" s="4">
        <v>4</v>
      </c>
      <c r="E6" s="3" t="s">
        <v>5</v>
      </c>
      <c r="F6" s="4">
        <v>6.2</v>
      </c>
      <c r="G6" s="3" t="s">
        <v>4</v>
      </c>
      <c r="H6" s="3" t="s">
        <v>3</v>
      </c>
      <c r="I6" s="3" t="s">
        <v>2</v>
      </c>
      <c r="J6" s="3" t="s">
        <v>1</v>
      </c>
      <c r="K6" s="3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22500-43E6-4DA5-B724-653E48BDBE39}">
  <dimension ref="A1:L22"/>
  <sheetViews>
    <sheetView workbookViewId="0">
      <selection activeCell="C28" sqref="C28"/>
    </sheetView>
  </sheetViews>
  <sheetFormatPr defaultRowHeight="14.5" x14ac:dyDescent="0.35"/>
  <cols>
    <col min="1" max="1" width="23.08984375" style="1" customWidth="1"/>
    <col min="2" max="2" width="8.7265625" style="1" customWidth="1"/>
    <col min="3" max="16384" width="8.7265625" style="1"/>
  </cols>
  <sheetData>
    <row r="1" spans="1:12" x14ac:dyDescent="0.35">
      <c r="A1" s="9" t="s">
        <v>62</v>
      </c>
    </row>
    <row r="3" spans="1:12" x14ac:dyDescent="0.35">
      <c r="A3" s="32"/>
      <c r="B3" s="31" t="s">
        <v>40</v>
      </c>
      <c r="C3" s="31" t="s">
        <v>38</v>
      </c>
      <c r="D3" s="31" t="s">
        <v>36</v>
      </c>
      <c r="E3" s="31" t="s">
        <v>34</v>
      </c>
      <c r="F3" s="31" t="s">
        <v>33</v>
      </c>
      <c r="G3" s="31" t="s">
        <v>32</v>
      </c>
      <c r="H3" s="31" t="s">
        <v>31</v>
      </c>
      <c r="I3" s="31" t="s">
        <v>30</v>
      </c>
      <c r="J3" s="31" t="s">
        <v>29</v>
      </c>
      <c r="K3" s="31">
        <v>10</v>
      </c>
    </row>
    <row r="4" spans="1:12" x14ac:dyDescent="0.35">
      <c r="A4" s="30" t="s">
        <v>39</v>
      </c>
      <c r="B4" s="22">
        <v>500</v>
      </c>
      <c r="C4" s="22">
        <v>250</v>
      </c>
      <c r="D4" s="22">
        <v>250</v>
      </c>
      <c r="E4" s="22">
        <v>250</v>
      </c>
      <c r="F4" s="22">
        <v>125</v>
      </c>
      <c r="G4" s="22">
        <v>0</v>
      </c>
      <c r="H4" s="22">
        <v>125</v>
      </c>
      <c r="I4" s="22">
        <v>0</v>
      </c>
      <c r="J4" s="22">
        <v>250</v>
      </c>
      <c r="K4" s="22">
        <v>0</v>
      </c>
    </row>
    <row r="5" spans="1:12" x14ac:dyDescent="0.35">
      <c r="A5" s="29" t="s">
        <v>37</v>
      </c>
      <c r="B5" s="22">
        <v>0</v>
      </c>
      <c r="C5" s="22">
        <v>250</v>
      </c>
      <c r="D5" s="22">
        <v>0</v>
      </c>
      <c r="E5" s="22">
        <v>125</v>
      </c>
      <c r="F5" s="22">
        <v>125</v>
      </c>
      <c r="G5" s="22">
        <v>250</v>
      </c>
      <c r="H5" s="22">
        <v>125</v>
      </c>
      <c r="I5" s="22">
        <v>125</v>
      </c>
      <c r="J5" s="22">
        <v>0</v>
      </c>
      <c r="K5" s="22">
        <v>250</v>
      </c>
    </row>
    <row r="6" spans="1:12" x14ac:dyDescent="0.35">
      <c r="A6" s="28" t="s">
        <v>35</v>
      </c>
      <c r="B6" s="22">
        <v>0</v>
      </c>
      <c r="C6" s="22">
        <v>0</v>
      </c>
      <c r="D6" s="22">
        <v>250</v>
      </c>
      <c r="E6" s="22">
        <v>125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</row>
    <row r="7" spans="1:12" x14ac:dyDescent="0.35">
      <c r="A7" s="27" t="s">
        <v>61</v>
      </c>
      <c r="B7" s="22">
        <v>0</v>
      </c>
      <c r="C7" s="22">
        <v>0</v>
      </c>
      <c r="D7" s="22">
        <v>0</v>
      </c>
      <c r="E7" s="22">
        <v>0</v>
      </c>
      <c r="F7" s="22">
        <v>250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</row>
    <row r="8" spans="1:12" x14ac:dyDescent="0.35">
      <c r="A8" s="26" t="s">
        <v>60</v>
      </c>
      <c r="B8" s="22">
        <v>0</v>
      </c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22">
        <v>250</v>
      </c>
      <c r="I8" s="22">
        <v>0</v>
      </c>
      <c r="J8" s="22">
        <v>0</v>
      </c>
      <c r="K8" s="22">
        <v>0</v>
      </c>
    </row>
    <row r="9" spans="1:12" x14ac:dyDescent="0.35">
      <c r="A9" s="25" t="s">
        <v>59</v>
      </c>
      <c r="B9" s="22">
        <v>0</v>
      </c>
      <c r="C9" s="22">
        <v>0</v>
      </c>
      <c r="D9" s="22">
        <v>0</v>
      </c>
      <c r="E9" s="22">
        <v>0</v>
      </c>
      <c r="F9" s="22">
        <v>0</v>
      </c>
      <c r="G9" s="22">
        <v>250</v>
      </c>
      <c r="H9" s="22">
        <v>0</v>
      </c>
      <c r="I9" s="22">
        <v>0</v>
      </c>
      <c r="J9" s="22">
        <v>0</v>
      </c>
      <c r="K9" s="22">
        <v>0</v>
      </c>
    </row>
    <row r="10" spans="1:12" x14ac:dyDescent="0.35">
      <c r="A10" s="24" t="s">
        <v>28</v>
      </c>
      <c r="B10" s="22">
        <v>0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250</v>
      </c>
      <c r="J10" s="22">
        <v>250</v>
      </c>
      <c r="K10" s="22">
        <v>250</v>
      </c>
    </row>
    <row r="11" spans="1:12" x14ac:dyDescent="0.35">
      <c r="A11" s="23" t="s">
        <v>58</v>
      </c>
      <c r="B11" s="22">
        <v>0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125</v>
      </c>
      <c r="J11" s="22">
        <v>0</v>
      </c>
      <c r="K11" s="22">
        <v>0</v>
      </c>
    </row>
    <row r="13" spans="1:12" x14ac:dyDescent="0.35">
      <c r="A13" s="1" t="s">
        <v>57</v>
      </c>
    </row>
    <row r="14" spans="1:12" x14ac:dyDescent="0.35">
      <c r="A14" s="21" t="s">
        <v>56</v>
      </c>
      <c r="B14" s="93" t="s">
        <v>55</v>
      </c>
      <c r="C14" s="94"/>
      <c r="D14" s="94"/>
      <c r="E14" s="94"/>
      <c r="F14" s="12"/>
      <c r="G14" s="12"/>
      <c r="H14" s="12"/>
      <c r="I14" s="12"/>
      <c r="J14" s="12"/>
      <c r="K14" s="12"/>
      <c r="L14" s="11"/>
    </row>
    <row r="15" spans="1:12" x14ac:dyDescent="0.35">
      <c r="A15" s="20" t="s">
        <v>54</v>
      </c>
      <c r="B15" s="93" t="s">
        <v>53</v>
      </c>
      <c r="C15" s="94"/>
      <c r="D15" s="94"/>
      <c r="E15" s="94"/>
      <c r="F15" s="12"/>
      <c r="G15" s="12"/>
      <c r="H15" s="12"/>
      <c r="I15" s="12"/>
      <c r="J15" s="12"/>
      <c r="K15" s="12"/>
      <c r="L15" s="11"/>
    </row>
    <row r="16" spans="1:12" x14ac:dyDescent="0.35">
      <c r="A16" s="18" t="s">
        <v>52</v>
      </c>
      <c r="B16" s="17"/>
      <c r="C16" s="12"/>
      <c r="D16" s="12"/>
      <c r="E16" s="12"/>
      <c r="F16" s="12"/>
      <c r="G16" s="12"/>
      <c r="H16" s="12"/>
      <c r="I16" s="12"/>
      <c r="J16" s="12"/>
      <c r="K16" s="12"/>
      <c r="L16" s="11"/>
    </row>
    <row r="17" spans="1:12" x14ac:dyDescent="0.35">
      <c r="A17" s="19" t="s">
        <v>51</v>
      </c>
      <c r="B17" s="93" t="s">
        <v>50</v>
      </c>
      <c r="C17" s="94"/>
      <c r="D17" s="94"/>
      <c r="E17" s="94"/>
      <c r="F17" s="94"/>
      <c r="G17" s="94"/>
      <c r="H17" s="94"/>
      <c r="I17" s="94"/>
      <c r="J17" s="94"/>
      <c r="K17" s="94"/>
      <c r="L17" s="11"/>
    </row>
    <row r="18" spans="1:12" x14ac:dyDescent="0.35">
      <c r="A18" s="18" t="s">
        <v>49</v>
      </c>
      <c r="B18" s="17"/>
      <c r="C18" s="12"/>
      <c r="D18" s="12"/>
      <c r="E18" s="12"/>
      <c r="F18" s="12"/>
      <c r="G18" s="12"/>
      <c r="H18" s="12"/>
      <c r="I18" s="12"/>
      <c r="J18" s="12"/>
      <c r="K18" s="12"/>
      <c r="L18" s="11"/>
    </row>
    <row r="19" spans="1:12" x14ac:dyDescent="0.35">
      <c r="A19" s="16" t="s">
        <v>48</v>
      </c>
      <c r="B19" s="93" t="s">
        <v>47</v>
      </c>
      <c r="C19" s="94"/>
      <c r="D19" s="94"/>
      <c r="E19" s="94"/>
      <c r="F19" s="94"/>
      <c r="G19" s="94"/>
      <c r="H19" s="94"/>
      <c r="I19" s="94"/>
      <c r="J19" s="94"/>
      <c r="K19" s="94"/>
      <c r="L19" s="95"/>
    </row>
    <row r="20" spans="1:12" x14ac:dyDescent="0.35">
      <c r="A20" s="15" t="s">
        <v>46</v>
      </c>
      <c r="B20" s="93" t="s">
        <v>45</v>
      </c>
      <c r="C20" s="94"/>
      <c r="D20" s="94"/>
      <c r="E20" s="94"/>
      <c r="F20" s="94"/>
      <c r="G20" s="94"/>
      <c r="H20" s="94"/>
      <c r="I20" s="94"/>
      <c r="J20" s="94"/>
      <c r="K20" s="94"/>
      <c r="L20" s="95"/>
    </row>
    <row r="21" spans="1:12" x14ac:dyDescent="0.35">
      <c r="A21" s="14" t="s">
        <v>44</v>
      </c>
      <c r="B21" s="93" t="s">
        <v>43</v>
      </c>
      <c r="C21" s="94"/>
      <c r="D21" s="94"/>
      <c r="E21" s="94"/>
      <c r="F21" s="94"/>
      <c r="G21" s="94"/>
      <c r="H21" s="94"/>
      <c r="I21" s="94"/>
      <c r="J21" s="94"/>
      <c r="K21" s="94"/>
      <c r="L21" s="95"/>
    </row>
    <row r="22" spans="1:12" x14ac:dyDescent="0.35">
      <c r="A22" s="13" t="s">
        <v>42</v>
      </c>
      <c r="B22" s="93" t="s">
        <v>41</v>
      </c>
      <c r="C22" s="94"/>
      <c r="D22" s="94"/>
      <c r="E22" s="94"/>
      <c r="F22" s="94"/>
      <c r="G22" s="94"/>
      <c r="H22" s="94"/>
      <c r="I22" s="94"/>
      <c r="J22" s="94"/>
      <c r="K22" s="94"/>
      <c r="L22" s="95"/>
    </row>
  </sheetData>
  <mergeCells count="7">
    <mergeCell ref="B22:L22"/>
    <mergeCell ref="B14:E14"/>
    <mergeCell ref="B15:E15"/>
    <mergeCell ref="B17:K17"/>
    <mergeCell ref="B19:L19"/>
    <mergeCell ref="B20:L20"/>
    <mergeCell ref="B21:L21"/>
  </mergeCell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3DE6E-33A0-462A-92CF-67E7EF74F534}">
  <dimension ref="A1:AA143"/>
  <sheetViews>
    <sheetView workbookViewId="0">
      <selection activeCell="S15" sqref="S15"/>
    </sheetView>
  </sheetViews>
  <sheetFormatPr defaultRowHeight="14.5" x14ac:dyDescent="0.35"/>
  <cols>
    <col min="1" max="1" width="8.7265625" style="1" customWidth="1"/>
    <col min="2" max="16384" width="8.7265625" style="1"/>
  </cols>
  <sheetData>
    <row r="1" spans="1:13" x14ac:dyDescent="0.35">
      <c r="A1" s="9" t="s">
        <v>111</v>
      </c>
    </row>
    <row r="3" spans="1:13" x14ac:dyDescent="0.35">
      <c r="A3" s="97" t="s">
        <v>110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</row>
    <row r="4" spans="1:13" x14ac:dyDescent="0.35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</row>
    <row r="5" spans="1:13" x14ac:dyDescent="0.35">
      <c r="A5" s="98" t="s">
        <v>109</v>
      </c>
      <c r="B5" s="98"/>
      <c r="C5" s="98"/>
      <c r="D5" s="98"/>
      <c r="E5" s="98"/>
    </row>
    <row r="6" spans="1:13" x14ac:dyDescent="0.35">
      <c r="A6" s="99" t="s">
        <v>108</v>
      </c>
      <c r="B6" s="99"/>
      <c r="C6" s="99"/>
      <c r="D6" s="99"/>
      <c r="E6" s="99"/>
    </row>
    <row r="7" spans="1:13" x14ac:dyDescent="0.35">
      <c r="A7" s="34"/>
      <c r="B7" s="34">
        <v>1</v>
      </c>
      <c r="C7" s="34" t="s">
        <v>80</v>
      </c>
      <c r="D7" s="34" t="s">
        <v>79</v>
      </c>
      <c r="E7" s="34" t="s">
        <v>78</v>
      </c>
      <c r="F7" s="34" t="s">
        <v>77</v>
      </c>
      <c r="G7" s="34" t="s">
        <v>76</v>
      </c>
      <c r="H7" s="34" t="s">
        <v>75</v>
      </c>
      <c r="I7" s="34" t="s">
        <v>74</v>
      </c>
      <c r="J7" s="34" t="s">
        <v>73</v>
      </c>
      <c r="K7" s="34" t="s">
        <v>72</v>
      </c>
      <c r="L7" s="34" t="s">
        <v>71</v>
      </c>
      <c r="M7" s="34">
        <v>12</v>
      </c>
    </row>
    <row r="8" spans="1:13" x14ac:dyDescent="0.35">
      <c r="A8" s="34" t="s">
        <v>70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</row>
    <row r="9" spans="1:13" x14ac:dyDescent="0.35">
      <c r="A9" s="34" t="s">
        <v>69</v>
      </c>
      <c r="B9" s="33"/>
      <c r="C9" s="64" t="s">
        <v>107</v>
      </c>
      <c r="D9" s="64" t="s">
        <v>107</v>
      </c>
      <c r="E9" s="64" t="s">
        <v>107</v>
      </c>
      <c r="F9" s="64" t="s">
        <v>107</v>
      </c>
      <c r="G9" s="64" t="s">
        <v>107</v>
      </c>
      <c r="H9" s="64" t="s">
        <v>107</v>
      </c>
      <c r="I9" s="64" t="s">
        <v>107</v>
      </c>
      <c r="J9" s="64" t="s">
        <v>107</v>
      </c>
      <c r="K9" s="64" t="s">
        <v>107</v>
      </c>
      <c r="L9" s="64" t="s">
        <v>107</v>
      </c>
      <c r="M9" s="33"/>
    </row>
    <row r="10" spans="1:13" x14ac:dyDescent="0.35">
      <c r="A10" s="34" t="s">
        <v>68</v>
      </c>
      <c r="B10" s="33"/>
      <c r="C10" s="64" t="s">
        <v>107</v>
      </c>
      <c r="D10" s="64" t="s">
        <v>107</v>
      </c>
      <c r="E10" s="64" t="s">
        <v>107</v>
      </c>
      <c r="F10" s="64" t="s">
        <v>107</v>
      </c>
      <c r="G10" s="64" t="s">
        <v>107</v>
      </c>
      <c r="H10" s="64" t="s">
        <v>107</v>
      </c>
      <c r="I10" s="64" t="s">
        <v>107</v>
      </c>
      <c r="J10" s="64" t="s">
        <v>107</v>
      </c>
      <c r="K10" s="64" t="s">
        <v>107</v>
      </c>
      <c r="L10" s="64" t="s">
        <v>107</v>
      </c>
      <c r="M10" s="33"/>
    </row>
    <row r="11" spans="1:13" ht="14.5" customHeight="1" x14ac:dyDescent="0.35">
      <c r="A11" s="34" t="s">
        <v>67</v>
      </c>
      <c r="B11" s="33"/>
      <c r="C11" s="64" t="s">
        <v>107</v>
      </c>
      <c r="D11" s="64" t="s">
        <v>107</v>
      </c>
      <c r="E11" s="64" t="s">
        <v>107</v>
      </c>
      <c r="F11" s="64" t="s">
        <v>107</v>
      </c>
      <c r="G11" s="64" t="s">
        <v>107</v>
      </c>
      <c r="H11" s="64" t="s">
        <v>107</v>
      </c>
      <c r="I11" s="64" t="s">
        <v>107</v>
      </c>
      <c r="J11" s="64" t="s">
        <v>107</v>
      </c>
      <c r="K11" s="64" t="s">
        <v>107</v>
      </c>
      <c r="L11" s="64" t="s">
        <v>107</v>
      </c>
      <c r="M11" s="33"/>
    </row>
    <row r="12" spans="1:13" x14ac:dyDescent="0.35">
      <c r="A12" s="34" t="s">
        <v>66</v>
      </c>
      <c r="B12" s="33"/>
      <c r="C12" s="63" t="s">
        <v>107</v>
      </c>
      <c r="D12" s="63" t="s">
        <v>107</v>
      </c>
      <c r="E12" s="63" t="s">
        <v>107</v>
      </c>
      <c r="F12" s="63" t="s">
        <v>107</v>
      </c>
      <c r="G12" s="63" t="s">
        <v>107</v>
      </c>
      <c r="H12" s="63" t="s">
        <v>107</v>
      </c>
      <c r="I12" s="63" t="s">
        <v>107</v>
      </c>
      <c r="J12" s="63" t="s">
        <v>107</v>
      </c>
      <c r="K12" s="63" t="s">
        <v>107</v>
      </c>
      <c r="L12" s="63" t="s">
        <v>107</v>
      </c>
      <c r="M12" s="33"/>
    </row>
    <row r="13" spans="1:13" x14ac:dyDescent="0.35">
      <c r="A13" s="34" t="s">
        <v>65</v>
      </c>
      <c r="B13" s="33"/>
      <c r="C13" s="63" t="s">
        <v>107</v>
      </c>
      <c r="D13" s="63" t="s">
        <v>107</v>
      </c>
      <c r="E13" s="63" t="s">
        <v>107</v>
      </c>
      <c r="F13" s="63" t="s">
        <v>107</v>
      </c>
      <c r="G13" s="63" t="s">
        <v>107</v>
      </c>
      <c r="H13" s="63" t="s">
        <v>107</v>
      </c>
      <c r="I13" s="63" t="s">
        <v>107</v>
      </c>
      <c r="J13" s="63" t="s">
        <v>107</v>
      </c>
      <c r="K13" s="63" t="s">
        <v>107</v>
      </c>
      <c r="L13" s="63" t="s">
        <v>107</v>
      </c>
      <c r="M13" s="33"/>
    </row>
    <row r="14" spans="1:13" x14ac:dyDescent="0.35">
      <c r="A14" s="34" t="s">
        <v>64</v>
      </c>
      <c r="B14" s="33"/>
      <c r="C14" s="63" t="s">
        <v>107</v>
      </c>
      <c r="D14" s="63" t="s">
        <v>107</v>
      </c>
      <c r="E14" s="63" t="s">
        <v>107</v>
      </c>
      <c r="F14" s="63" t="s">
        <v>107</v>
      </c>
      <c r="G14" s="63" t="s">
        <v>107</v>
      </c>
      <c r="H14" s="63" t="s">
        <v>107</v>
      </c>
      <c r="I14" s="63" t="s">
        <v>107</v>
      </c>
      <c r="J14" s="63" t="s">
        <v>107</v>
      </c>
      <c r="K14" s="63" t="s">
        <v>107</v>
      </c>
      <c r="L14" s="63" t="s">
        <v>107</v>
      </c>
      <c r="M14" s="33"/>
    </row>
    <row r="15" spans="1:13" x14ac:dyDescent="0.35">
      <c r="A15" s="34" t="s">
        <v>63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</row>
    <row r="17" spans="1:21" x14ac:dyDescent="0.35">
      <c r="A17" s="100" t="s">
        <v>106</v>
      </c>
      <c r="B17" s="100"/>
      <c r="C17" s="100"/>
      <c r="D17" s="100"/>
      <c r="E17" s="100"/>
    </row>
    <row r="18" spans="1:21" x14ac:dyDescent="0.35">
      <c r="A18" s="34"/>
      <c r="B18" s="34">
        <v>1</v>
      </c>
      <c r="C18" s="34" t="s">
        <v>80</v>
      </c>
      <c r="D18" s="34" t="s">
        <v>79</v>
      </c>
      <c r="E18" s="34" t="s">
        <v>78</v>
      </c>
      <c r="F18" s="34" t="s">
        <v>77</v>
      </c>
      <c r="G18" s="34" t="s">
        <v>76</v>
      </c>
      <c r="H18" s="34" t="s">
        <v>75</v>
      </c>
      <c r="I18" s="34" t="s">
        <v>74</v>
      </c>
      <c r="J18" s="34" t="s">
        <v>73</v>
      </c>
      <c r="K18" s="34" t="s">
        <v>72</v>
      </c>
      <c r="L18" s="34" t="s">
        <v>71</v>
      </c>
      <c r="M18" s="34">
        <v>12</v>
      </c>
    </row>
    <row r="19" spans="1:21" x14ac:dyDescent="0.35">
      <c r="A19" s="34" t="s">
        <v>70</v>
      </c>
      <c r="B19" s="33">
        <v>2000</v>
      </c>
      <c r="C19" s="33">
        <v>2000</v>
      </c>
      <c r="D19" s="33">
        <v>2000</v>
      </c>
      <c r="E19" s="33">
        <v>2000</v>
      </c>
      <c r="F19" s="33">
        <v>2000</v>
      </c>
      <c r="G19" s="33">
        <v>2000</v>
      </c>
      <c r="H19" s="33">
        <v>2000</v>
      </c>
      <c r="I19" s="33">
        <v>2000</v>
      </c>
      <c r="J19" s="33">
        <v>2000</v>
      </c>
      <c r="K19" s="33">
        <v>2000</v>
      </c>
      <c r="L19" s="33">
        <v>2000</v>
      </c>
      <c r="M19" s="33">
        <v>2000</v>
      </c>
    </row>
    <row r="20" spans="1:21" x14ac:dyDescent="0.35">
      <c r="A20" s="34" t="s">
        <v>69</v>
      </c>
      <c r="B20" s="33">
        <v>2000</v>
      </c>
      <c r="C20" s="33">
        <v>500</v>
      </c>
      <c r="D20" s="33">
        <v>250</v>
      </c>
      <c r="E20" s="33">
        <v>250</v>
      </c>
      <c r="F20" s="33">
        <v>250</v>
      </c>
      <c r="G20" s="33">
        <v>125</v>
      </c>
      <c r="H20" s="34"/>
      <c r="I20" s="33">
        <v>125</v>
      </c>
      <c r="J20" s="34"/>
      <c r="K20" s="33">
        <v>250</v>
      </c>
      <c r="L20" s="34"/>
      <c r="M20" s="33">
        <v>2000</v>
      </c>
    </row>
    <row r="21" spans="1:21" x14ac:dyDescent="0.35">
      <c r="A21" s="34" t="s">
        <v>68</v>
      </c>
      <c r="B21" s="33">
        <v>2000</v>
      </c>
      <c r="C21" s="33">
        <v>500</v>
      </c>
      <c r="D21" s="33">
        <v>250</v>
      </c>
      <c r="E21" s="33">
        <v>250</v>
      </c>
      <c r="F21" s="33">
        <v>250</v>
      </c>
      <c r="G21" s="33">
        <v>125</v>
      </c>
      <c r="H21" s="34"/>
      <c r="I21" s="33">
        <v>125</v>
      </c>
      <c r="J21" s="34"/>
      <c r="K21" s="33">
        <v>250</v>
      </c>
      <c r="L21" s="34"/>
      <c r="M21" s="33">
        <v>2000</v>
      </c>
    </row>
    <row r="22" spans="1:21" ht="14.5" customHeight="1" x14ac:dyDescent="0.35">
      <c r="A22" s="34" t="s">
        <v>67</v>
      </c>
      <c r="B22" s="33">
        <v>2000</v>
      </c>
      <c r="C22" s="33">
        <v>500</v>
      </c>
      <c r="D22" s="33">
        <v>250</v>
      </c>
      <c r="E22" s="33">
        <v>250</v>
      </c>
      <c r="F22" s="33">
        <v>250</v>
      </c>
      <c r="G22" s="33">
        <v>125</v>
      </c>
      <c r="H22" s="34"/>
      <c r="I22" s="33">
        <v>125</v>
      </c>
      <c r="J22" s="34"/>
      <c r="K22" s="33">
        <v>250</v>
      </c>
      <c r="L22" s="34"/>
      <c r="M22" s="33">
        <v>2000</v>
      </c>
    </row>
    <row r="23" spans="1:21" x14ac:dyDescent="0.35">
      <c r="A23" s="34" t="s">
        <v>66</v>
      </c>
      <c r="B23" s="33">
        <v>2000</v>
      </c>
      <c r="C23" s="33">
        <v>500</v>
      </c>
      <c r="D23" s="33">
        <v>250</v>
      </c>
      <c r="E23" s="33">
        <v>250</v>
      </c>
      <c r="F23" s="33">
        <v>250</v>
      </c>
      <c r="G23" s="33">
        <v>125</v>
      </c>
      <c r="H23" s="34"/>
      <c r="I23" s="33">
        <v>125</v>
      </c>
      <c r="J23" s="34"/>
      <c r="K23" s="33">
        <v>250</v>
      </c>
      <c r="L23" s="34"/>
      <c r="M23" s="33">
        <v>2000</v>
      </c>
    </row>
    <row r="24" spans="1:21" x14ac:dyDescent="0.35">
      <c r="A24" s="34" t="s">
        <v>65</v>
      </c>
      <c r="B24" s="33">
        <v>2000</v>
      </c>
      <c r="C24" s="33">
        <v>500</v>
      </c>
      <c r="D24" s="33">
        <v>250</v>
      </c>
      <c r="E24" s="33">
        <v>250</v>
      </c>
      <c r="F24" s="33">
        <v>250</v>
      </c>
      <c r="G24" s="33">
        <v>125</v>
      </c>
      <c r="H24" s="34"/>
      <c r="I24" s="33">
        <v>125</v>
      </c>
      <c r="J24" s="34"/>
      <c r="K24" s="33">
        <v>250</v>
      </c>
      <c r="L24" s="34"/>
      <c r="M24" s="33">
        <v>2000</v>
      </c>
    </row>
    <row r="25" spans="1:21" x14ac:dyDescent="0.35">
      <c r="A25" s="34" t="s">
        <v>64</v>
      </c>
      <c r="B25" s="33">
        <v>2000</v>
      </c>
      <c r="C25" s="33">
        <v>500</v>
      </c>
      <c r="D25" s="33">
        <v>250</v>
      </c>
      <c r="E25" s="33">
        <v>250</v>
      </c>
      <c r="F25" s="33">
        <v>250</v>
      </c>
      <c r="G25" s="33">
        <v>125</v>
      </c>
      <c r="H25" s="34"/>
      <c r="I25" s="33">
        <v>125</v>
      </c>
      <c r="J25" s="34"/>
      <c r="K25" s="33">
        <v>250</v>
      </c>
      <c r="L25" s="34"/>
      <c r="M25" s="33">
        <v>2000</v>
      </c>
    </row>
    <row r="26" spans="1:21" x14ac:dyDescent="0.35">
      <c r="A26" s="34" t="s">
        <v>63</v>
      </c>
      <c r="B26" s="33">
        <v>2000</v>
      </c>
      <c r="C26" s="33">
        <v>2000</v>
      </c>
      <c r="D26" s="33">
        <v>2000</v>
      </c>
      <c r="E26" s="33">
        <v>2000</v>
      </c>
      <c r="F26" s="33">
        <v>2000</v>
      </c>
      <c r="G26" s="33">
        <v>2000</v>
      </c>
      <c r="H26" s="33">
        <v>2000</v>
      </c>
      <c r="I26" s="33">
        <v>2000</v>
      </c>
      <c r="J26" s="33">
        <v>2000</v>
      </c>
      <c r="K26" s="33">
        <v>2000</v>
      </c>
      <c r="L26" s="33">
        <v>2000</v>
      </c>
      <c r="M26" s="33">
        <v>2000</v>
      </c>
    </row>
    <row r="28" spans="1:21" x14ac:dyDescent="0.35">
      <c r="A28" s="101" t="s">
        <v>105</v>
      </c>
      <c r="B28" s="101"/>
      <c r="C28" s="101"/>
      <c r="D28" s="101"/>
      <c r="E28" s="101"/>
      <c r="P28" s="9" t="s">
        <v>104</v>
      </c>
    </row>
    <row r="29" spans="1:21" x14ac:dyDescent="0.35">
      <c r="A29" s="34"/>
      <c r="B29" s="34">
        <v>1</v>
      </c>
      <c r="C29" s="34" t="s">
        <v>80</v>
      </c>
      <c r="D29" s="34" t="s">
        <v>79</v>
      </c>
      <c r="E29" s="34" t="s">
        <v>78</v>
      </c>
      <c r="F29" s="34" t="s">
        <v>77</v>
      </c>
      <c r="G29" s="34" t="s">
        <v>76</v>
      </c>
      <c r="H29" s="34" t="s">
        <v>75</v>
      </c>
      <c r="I29" s="34" t="s">
        <v>74</v>
      </c>
      <c r="J29" s="34" t="s">
        <v>73</v>
      </c>
      <c r="K29" s="34" t="s">
        <v>72</v>
      </c>
      <c r="L29" s="34" t="s">
        <v>71</v>
      </c>
      <c r="M29" s="34">
        <v>12</v>
      </c>
      <c r="P29" s="62" t="s">
        <v>85</v>
      </c>
      <c r="Q29" s="62"/>
      <c r="R29" s="62">
        <f>(36*2+10.5)*3*1.3</f>
        <v>321.75</v>
      </c>
      <c r="S29" s="62" t="s">
        <v>84</v>
      </c>
    </row>
    <row r="30" spans="1:21" x14ac:dyDescent="0.35">
      <c r="A30" s="34" t="s">
        <v>70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</row>
    <row r="31" spans="1:21" x14ac:dyDescent="0.35">
      <c r="A31" s="34" t="s">
        <v>69</v>
      </c>
      <c r="B31" s="33"/>
      <c r="C31" s="34"/>
      <c r="D31" s="57">
        <v>250</v>
      </c>
      <c r="E31" s="34"/>
      <c r="F31" s="57">
        <v>125</v>
      </c>
      <c r="G31" s="57">
        <v>125</v>
      </c>
      <c r="H31" s="57">
        <v>250</v>
      </c>
      <c r="I31" s="57">
        <v>125</v>
      </c>
      <c r="J31" s="57">
        <v>125</v>
      </c>
      <c r="K31" s="34"/>
      <c r="L31" s="57">
        <v>250</v>
      </c>
      <c r="M31" s="33"/>
      <c r="P31" s="61" t="s">
        <v>103</v>
      </c>
      <c r="Q31" s="60"/>
      <c r="R31" s="60"/>
      <c r="S31" s="60"/>
      <c r="T31" s="60"/>
      <c r="U31" s="60"/>
    </row>
    <row r="32" spans="1:21" x14ac:dyDescent="0.35">
      <c r="A32" s="34" t="s">
        <v>68</v>
      </c>
      <c r="B32" s="33"/>
      <c r="C32" s="34"/>
      <c r="D32" s="57">
        <v>250</v>
      </c>
      <c r="E32" s="34"/>
      <c r="F32" s="57">
        <v>125</v>
      </c>
      <c r="G32" s="57">
        <v>125</v>
      </c>
      <c r="H32" s="57">
        <v>250</v>
      </c>
      <c r="I32" s="57">
        <v>125</v>
      </c>
      <c r="J32" s="57">
        <v>125</v>
      </c>
      <c r="K32" s="34"/>
      <c r="L32" s="57">
        <v>250</v>
      </c>
      <c r="M32" s="33"/>
      <c r="P32" s="59" t="s">
        <v>85</v>
      </c>
      <c r="Q32" s="59"/>
      <c r="R32" s="59">
        <f>7.5*3*1.3</f>
        <v>29.25</v>
      </c>
      <c r="S32" s="59" t="s">
        <v>84</v>
      </c>
    </row>
    <row r="33" spans="1:27" x14ac:dyDescent="0.35">
      <c r="A33" s="34" t="s">
        <v>67</v>
      </c>
      <c r="B33" s="33"/>
      <c r="C33" s="34"/>
      <c r="D33" s="57">
        <v>250</v>
      </c>
      <c r="E33" s="34"/>
      <c r="F33" s="57">
        <v>125</v>
      </c>
      <c r="G33" s="57">
        <v>125</v>
      </c>
      <c r="H33" s="57">
        <v>250</v>
      </c>
      <c r="I33" s="57">
        <v>125</v>
      </c>
      <c r="J33" s="57">
        <v>125</v>
      </c>
      <c r="K33" s="34"/>
      <c r="L33" s="57">
        <v>250</v>
      </c>
      <c r="M33" s="33"/>
    </row>
    <row r="34" spans="1:27" x14ac:dyDescent="0.35">
      <c r="A34" s="34" t="s">
        <v>66</v>
      </c>
      <c r="B34" s="33"/>
      <c r="C34" s="34"/>
      <c r="D34" s="57">
        <v>250</v>
      </c>
      <c r="E34" s="34"/>
      <c r="F34" s="57">
        <v>125</v>
      </c>
      <c r="G34" s="57">
        <v>125</v>
      </c>
      <c r="H34" s="57">
        <v>250</v>
      </c>
      <c r="I34" s="57">
        <v>125</v>
      </c>
      <c r="J34" s="57">
        <v>125</v>
      </c>
      <c r="K34" s="34"/>
      <c r="L34" s="57">
        <v>250</v>
      </c>
      <c r="M34" s="33"/>
      <c r="P34" s="9" t="s">
        <v>102</v>
      </c>
    </row>
    <row r="35" spans="1:27" x14ac:dyDescent="0.35">
      <c r="A35" s="34" t="s">
        <v>65</v>
      </c>
      <c r="B35" s="33"/>
      <c r="C35" s="34"/>
      <c r="D35" s="57">
        <v>250</v>
      </c>
      <c r="E35" s="34"/>
      <c r="F35" s="57">
        <v>125</v>
      </c>
      <c r="G35" s="57">
        <v>125</v>
      </c>
      <c r="H35" s="57">
        <v>250</v>
      </c>
      <c r="I35" s="57">
        <v>125</v>
      </c>
      <c r="J35" s="57">
        <v>125</v>
      </c>
      <c r="K35" s="34"/>
      <c r="L35" s="57">
        <v>250</v>
      </c>
      <c r="M35" s="33"/>
      <c r="P35" s="58">
        <v>1</v>
      </c>
      <c r="Q35" s="58">
        <v>2</v>
      </c>
      <c r="R35" s="58">
        <v>3</v>
      </c>
      <c r="S35" s="58" t="s">
        <v>101</v>
      </c>
      <c r="T35" s="58" t="s">
        <v>100</v>
      </c>
      <c r="U35" s="58" t="s">
        <v>99</v>
      </c>
      <c r="V35" s="58" t="s">
        <v>98</v>
      </c>
      <c r="W35" s="58" t="s">
        <v>97</v>
      </c>
      <c r="X35" s="58" t="s">
        <v>96</v>
      </c>
      <c r="Y35" s="58">
        <v>10</v>
      </c>
      <c r="Z35" s="58">
        <v>11</v>
      </c>
      <c r="AA35" s="58">
        <v>12</v>
      </c>
    </row>
    <row r="36" spans="1:27" x14ac:dyDescent="0.35">
      <c r="A36" s="34" t="s">
        <v>64</v>
      </c>
      <c r="B36" s="33"/>
      <c r="C36" s="34"/>
      <c r="D36" s="57">
        <v>250</v>
      </c>
      <c r="E36" s="34"/>
      <c r="F36" s="57">
        <v>125</v>
      </c>
      <c r="G36" s="57">
        <v>125</v>
      </c>
      <c r="H36" s="57">
        <v>250</v>
      </c>
      <c r="I36" s="57">
        <v>125</v>
      </c>
      <c r="J36" s="57">
        <v>125</v>
      </c>
      <c r="K36" s="34"/>
      <c r="L36" s="57">
        <v>250</v>
      </c>
      <c r="M36" s="33"/>
      <c r="P36" s="34"/>
      <c r="Q36" s="34"/>
      <c r="R36" s="34"/>
      <c r="S36" s="51">
        <f>1.5*3*1.3</f>
        <v>5.8500000000000005</v>
      </c>
      <c r="T36" s="51">
        <f>0.75*3*1.3</f>
        <v>2.9250000000000003</v>
      </c>
      <c r="U36" s="50">
        <f>1.5*3*1.3</f>
        <v>5.8500000000000005</v>
      </c>
      <c r="V36" s="49">
        <f>S36</f>
        <v>5.8500000000000005</v>
      </c>
      <c r="W36" s="56">
        <f>S36</f>
        <v>5.8500000000000005</v>
      </c>
      <c r="X36" s="47">
        <f>T36</f>
        <v>2.9250000000000003</v>
      </c>
      <c r="Y36" s="34"/>
      <c r="Z36" s="34"/>
      <c r="AA36" s="34"/>
    </row>
    <row r="37" spans="1:27" x14ac:dyDescent="0.35">
      <c r="A37" s="34" t="s">
        <v>63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</row>
    <row r="39" spans="1:27" x14ac:dyDescent="0.35">
      <c r="A39" s="102" t="s">
        <v>95</v>
      </c>
      <c r="B39" s="102"/>
      <c r="C39" s="102"/>
      <c r="D39" s="102"/>
      <c r="E39" s="102"/>
      <c r="P39" s="9" t="s">
        <v>94</v>
      </c>
      <c r="U39" s="9" t="s">
        <v>93</v>
      </c>
    </row>
    <row r="40" spans="1:27" x14ac:dyDescent="0.35">
      <c r="A40" s="103" t="s">
        <v>92</v>
      </c>
      <c r="B40" s="103"/>
      <c r="C40" s="103"/>
      <c r="D40" s="103"/>
      <c r="E40" s="103"/>
      <c r="P40" s="55" t="s">
        <v>91</v>
      </c>
      <c r="Q40" s="55"/>
      <c r="R40" s="55">
        <f>4.5*3*1.3</f>
        <v>17.55</v>
      </c>
      <c r="S40" s="55" t="s">
        <v>84</v>
      </c>
      <c r="U40" s="54" t="s">
        <v>85</v>
      </c>
      <c r="V40" s="54"/>
      <c r="W40" s="54">
        <f>(1.5*3*10)*4*1.3</f>
        <v>234</v>
      </c>
      <c r="X40" s="54" t="s">
        <v>84</v>
      </c>
    </row>
    <row r="41" spans="1:27" x14ac:dyDescent="0.35">
      <c r="A41" s="104" t="s">
        <v>90</v>
      </c>
      <c r="B41" s="104"/>
      <c r="C41" s="104"/>
      <c r="D41" s="104"/>
      <c r="E41" s="104"/>
      <c r="F41" s="10"/>
      <c r="G41" s="10"/>
      <c r="H41" s="10"/>
      <c r="I41" s="10"/>
      <c r="J41" s="10"/>
    </row>
    <row r="42" spans="1:27" x14ac:dyDescent="0.35">
      <c r="A42" s="105" t="s">
        <v>89</v>
      </c>
      <c r="B42" s="105"/>
      <c r="C42" s="105"/>
      <c r="D42" s="105"/>
      <c r="E42" s="105"/>
      <c r="F42" s="10"/>
      <c r="P42" s="9" t="s">
        <v>88</v>
      </c>
      <c r="U42" s="9" t="s">
        <v>87</v>
      </c>
    </row>
    <row r="43" spans="1:27" x14ac:dyDescent="0.35">
      <c r="A43" s="106" t="s">
        <v>86</v>
      </c>
      <c r="B43" s="106"/>
      <c r="C43" s="106"/>
      <c r="D43" s="106"/>
      <c r="E43" s="106"/>
      <c r="F43" s="10"/>
      <c r="G43" s="10"/>
      <c r="H43" s="10"/>
      <c r="I43" s="10"/>
      <c r="J43" s="10"/>
      <c r="P43" s="53" t="s">
        <v>85</v>
      </c>
      <c r="Q43" s="53"/>
      <c r="R43" s="53">
        <f>(0.02*10*6)*3*1.3</f>
        <v>4.6800000000000006</v>
      </c>
      <c r="S43" s="53" t="s">
        <v>84</v>
      </c>
      <c r="U43" s="52" t="s">
        <v>85</v>
      </c>
      <c r="V43" s="52"/>
      <c r="W43" s="52">
        <f>W40</f>
        <v>234</v>
      </c>
      <c r="X43" s="52" t="s">
        <v>84</v>
      </c>
    </row>
    <row r="44" spans="1:27" x14ac:dyDescent="0.35">
      <c r="A44" s="34"/>
      <c r="B44" s="34">
        <v>1</v>
      </c>
      <c r="C44" s="34" t="s">
        <v>80</v>
      </c>
      <c r="D44" s="34" t="s">
        <v>79</v>
      </c>
      <c r="E44" s="34" t="s">
        <v>78</v>
      </c>
      <c r="F44" s="34" t="s">
        <v>77</v>
      </c>
      <c r="G44" s="34" t="s">
        <v>76</v>
      </c>
      <c r="H44" s="34" t="s">
        <v>75</v>
      </c>
      <c r="I44" s="34" t="s">
        <v>74</v>
      </c>
      <c r="J44" s="34" t="s">
        <v>73</v>
      </c>
      <c r="K44" s="34" t="s">
        <v>72</v>
      </c>
      <c r="L44" s="34" t="s">
        <v>71</v>
      </c>
      <c r="M44" s="34">
        <v>12</v>
      </c>
    </row>
    <row r="45" spans="1:27" x14ac:dyDescent="0.35">
      <c r="A45" s="34" t="s">
        <v>70</v>
      </c>
      <c r="B45" s="33"/>
      <c r="C45" s="33"/>
      <c r="D45" s="33"/>
      <c r="E45" s="33"/>
      <c r="F45" s="33"/>
      <c r="G45" s="33"/>
      <c r="H45" s="33"/>
      <c r="I45" s="33"/>
      <c r="J45" s="45"/>
      <c r="K45" s="45"/>
      <c r="L45" s="45"/>
      <c r="M45" s="33"/>
    </row>
    <row r="46" spans="1:27" x14ac:dyDescent="0.35">
      <c r="A46" s="34" t="s">
        <v>69</v>
      </c>
      <c r="B46" s="33"/>
      <c r="C46" s="34"/>
      <c r="D46" s="34"/>
      <c r="E46" s="51">
        <v>250</v>
      </c>
      <c r="F46" s="51">
        <v>125</v>
      </c>
      <c r="G46" s="50">
        <v>250</v>
      </c>
      <c r="H46" s="49">
        <v>250</v>
      </c>
      <c r="I46" s="48">
        <v>250</v>
      </c>
      <c r="J46" s="47">
        <v>125</v>
      </c>
      <c r="K46" s="43"/>
      <c r="L46" s="43"/>
      <c r="M46" s="46"/>
    </row>
    <row r="47" spans="1:27" x14ac:dyDescent="0.35">
      <c r="A47" s="34" t="s">
        <v>68</v>
      </c>
      <c r="B47" s="33"/>
      <c r="C47" s="34"/>
      <c r="D47" s="34"/>
      <c r="E47" s="51">
        <v>250</v>
      </c>
      <c r="F47" s="51">
        <v>125</v>
      </c>
      <c r="G47" s="50">
        <v>250</v>
      </c>
      <c r="H47" s="49">
        <v>250</v>
      </c>
      <c r="I47" s="48">
        <v>250</v>
      </c>
      <c r="J47" s="47">
        <v>125</v>
      </c>
      <c r="K47" s="43"/>
      <c r="L47" s="43"/>
      <c r="M47" s="46"/>
    </row>
    <row r="48" spans="1:27" x14ac:dyDescent="0.35">
      <c r="A48" s="34" t="s">
        <v>67</v>
      </c>
      <c r="B48" s="33"/>
      <c r="C48" s="34"/>
      <c r="D48" s="34"/>
      <c r="E48" s="51">
        <v>250</v>
      </c>
      <c r="F48" s="51">
        <v>125</v>
      </c>
      <c r="G48" s="50">
        <v>250</v>
      </c>
      <c r="H48" s="49">
        <v>250</v>
      </c>
      <c r="I48" s="48">
        <v>250</v>
      </c>
      <c r="J48" s="47">
        <v>125</v>
      </c>
      <c r="K48" s="43"/>
      <c r="L48" s="43"/>
      <c r="M48" s="46"/>
    </row>
    <row r="49" spans="1:13" x14ac:dyDescent="0.35">
      <c r="A49" s="34" t="s">
        <v>66</v>
      </c>
      <c r="B49" s="33"/>
      <c r="C49" s="34"/>
      <c r="D49" s="34"/>
      <c r="E49" s="51">
        <v>250</v>
      </c>
      <c r="F49" s="51">
        <v>125</v>
      </c>
      <c r="G49" s="50">
        <v>250</v>
      </c>
      <c r="H49" s="49">
        <v>250</v>
      </c>
      <c r="I49" s="48">
        <v>250</v>
      </c>
      <c r="J49" s="47">
        <v>125</v>
      </c>
      <c r="K49" s="43"/>
      <c r="L49" s="43"/>
      <c r="M49" s="46"/>
    </row>
    <row r="50" spans="1:13" x14ac:dyDescent="0.35">
      <c r="A50" s="34" t="s">
        <v>65</v>
      </c>
      <c r="B50" s="33"/>
      <c r="C50" s="34"/>
      <c r="D50" s="34"/>
      <c r="E50" s="51">
        <v>250</v>
      </c>
      <c r="F50" s="51">
        <v>125</v>
      </c>
      <c r="G50" s="50">
        <v>250</v>
      </c>
      <c r="H50" s="49">
        <v>250</v>
      </c>
      <c r="I50" s="48">
        <v>250</v>
      </c>
      <c r="J50" s="47">
        <v>125</v>
      </c>
      <c r="K50" s="43"/>
      <c r="L50" s="43"/>
      <c r="M50" s="46"/>
    </row>
    <row r="51" spans="1:13" x14ac:dyDescent="0.35">
      <c r="A51" s="34" t="s">
        <v>64</v>
      </c>
      <c r="B51" s="33"/>
      <c r="C51" s="34"/>
      <c r="D51" s="34"/>
      <c r="E51" s="51">
        <v>250</v>
      </c>
      <c r="F51" s="51">
        <v>125</v>
      </c>
      <c r="G51" s="50">
        <v>250</v>
      </c>
      <c r="H51" s="49">
        <v>250</v>
      </c>
      <c r="I51" s="48">
        <v>250</v>
      </c>
      <c r="J51" s="47">
        <v>125</v>
      </c>
      <c r="K51" s="43"/>
      <c r="L51" s="43"/>
      <c r="M51" s="46"/>
    </row>
    <row r="52" spans="1:13" x14ac:dyDescent="0.35">
      <c r="A52" s="34" t="s">
        <v>63</v>
      </c>
      <c r="B52" s="33"/>
      <c r="C52" s="33"/>
      <c r="D52" s="33"/>
      <c r="E52" s="33"/>
      <c r="F52" s="33"/>
      <c r="G52" s="33"/>
      <c r="H52" s="33"/>
      <c r="I52" s="33"/>
      <c r="J52" s="40"/>
      <c r="K52" s="40"/>
      <c r="L52" s="40"/>
      <c r="M52" s="33"/>
    </row>
    <row r="54" spans="1:13" x14ac:dyDescent="0.35">
      <c r="A54" s="96" t="s">
        <v>83</v>
      </c>
      <c r="B54" s="96"/>
      <c r="C54" s="96"/>
      <c r="D54" s="96"/>
      <c r="E54" s="96"/>
    </row>
    <row r="55" spans="1:13" x14ac:dyDescent="0.35">
      <c r="A55" s="34"/>
      <c r="B55" s="34">
        <v>1</v>
      </c>
      <c r="C55" s="34" t="s">
        <v>80</v>
      </c>
      <c r="D55" s="34" t="s">
        <v>79</v>
      </c>
      <c r="E55" s="34" t="s">
        <v>78</v>
      </c>
      <c r="F55" s="34" t="s">
        <v>77</v>
      </c>
      <c r="G55" s="34" t="s">
        <v>76</v>
      </c>
      <c r="H55" s="34" t="s">
        <v>75</v>
      </c>
      <c r="I55" s="34" t="s">
        <v>74</v>
      </c>
      <c r="J55" s="34" t="s">
        <v>73</v>
      </c>
      <c r="K55" s="34" t="s">
        <v>72</v>
      </c>
      <c r="L55" s="34" t="s">
        <v>71</v>
      </c>
      <c r="M55" s="34">
        <v>12</v>
      </c>
    </row>
    <row r="56" spans="1:13" x14ac:dyDescent="0.35">
      <c r="A56" s="34" t="s">
        <v>70</v>
      </c>
      <c r="B56" s="33"/>
      <c r="C56" s="33"/>
      <c r="D56" s="33"/>
      <c r="E56" s="45"/>
      <c r="F56" s="45"/>
      <c r="G56" s="45"/>
      <c r="H56" s="45"/>
      <c r="I56" s="45"/>
      <c r="J56" s="45"/>
      <c r="K56" s="33"/>
      <c r="L56" s="33"/>
      <c r="M56" s="33"/>
    </row>
    <row r="57" spans="1:13" x14ac:dyDescent="0.35">
      <c r="A57" s="34" t="s">
        <v>69</v>
      </c>
      <c r="B57" s="33"/>
      <c r="C57" s="34"/>
      <c r="D57" s="44"/>
      <c r="E57" s="43"/>
      <c r="F57" s="43"/>
      <c r="G57" s="43"/>
      <c r="H57" s="34"/>
      <c r="I57" s="34"/>
      <c r="J57" s="41">
        <v>250</v>
      </c>
      <c r="K57" s="42">
        <v>250</v>
      </c>
      <c r="L57" s="41">
        <v>250</v>
      </c>
      <c r="M57" s="33"/>
    </row>
    <row r="58" spans="1:13" x14ac:dyDescent="0.35">
      <c r="A58" s="34" t="s">
        <v>68</v>
      </c>
      <c r="B58" s="33"/>
      <c r="C58" s="34"/>
      <c r="D58" s="44"/>
      <c r="E58" s="43"/>
      <c r="F58" s="43"/>
      <c r="G58" s="43"/>
      <c r="H58" s="34"/>
      <c r="I58" s="34"/>
      <c r="J58" s="41">
        <v>250</v>
      </c>
      <c r="K58" s="42">
        <v>250</v>
      </c>
      <c r="L58" s="41">
        <v>250</v>
      </c>
      <c r="M58" s="33"/>
    </row>
    <row r="59" spans="1:13" x14ac:dyDescent="0.35">
      <c r="A59" s="34" t="s">
        <v>67</v>
      </c>
      <c r="B59" s="33"/>
      <c r="C59" s="34"/>
      <c r="D59" s="44"/>
      <c r="E59" s="43"/>
      <c r="F59" s="43"/>
      <c r="G59" s="43"/>
      <c r="H59" s="34"/>
      <c r="I59" s="34"/>
      <c r="J59" s="41">
        <v>250</v>
      </c>
      <c r="K59" s="42">
        <v>250</v>
      </c>
      <c r="L59" s="41">
        <v>250</v>
      </c>
      <c r="M59" s="33"/>
    </row>
    <row r="60" spans="1:13" x14ac:dyDescent="0.35">
      <c r="A60" s="34" t="s">
        <v>66</v>
      </c>
      <c r="B60" s="33"/>
      <c r="C60" s="34"/>
      <c r="D60" s="44"/>
      <c r="E60" s="43"/>
      <c r="F60" s="43"/>
      <c r="G60" s="43"/>
      <c r="H60" s="34"/>
      <c r="I60" s="34"/>
      <c r="J60" s="41">
        <v>250</v>
      </c>
      <c r="K60" s="42">
        <v>250</v>
      </c>
      <c r="L60" s="41">
        <v>250</v>
      </c>
      <c r="M60" s="33"/>
    </row>
    <row r="61" spans="1:13" x14ac:dyDescent="0.35">
      <c r="A61" s="34" t="s">
        <v>65</v>
      </c>
      <c r="B61" s="33"/>
      <c r="C61" s="34"/>
      <c r="D61" s="44"/>
      <c r="E61" s="43"/>
      <c r="F61" s="43"/>
      <c r="G61" s="43"/>
      <c r="H61" s="34"/>
      <c r="I61" s="34"/>
      <c r="J61" s="41">
        <v>250</v>
      </c>
      <c r="K61" s="42">
        <v>250</v>
      </c>
      <c r="L61" s="41">
        <v>250</v>
      </c>
      <c r="M61" s="33"/>
    </row>
    <row r="62" spans="1:13" x14ac:dyDescent="0.35">
      <c r="A62" s="34" t="s">
        <v>64</v>
      </c>
      <c r="B62" s="33"/>
      <c r="C62" s="34"/>
      <c r="D62" s="44"/>
      <c r="E62" s="43"/>
      <c r="F62" s="43"/>
      <c r="G62" s="43"/>
      <c r="H62" s="34"/>
      <c r="I62" s="34"/>
      <c r="J62" s="41">
        <v>250</v>
      </c>
      <c r="K62" s="42">
        <v>250</v>
      </c>
      <c r="L62" s="41">
        <v>250</v>
      </c>
      <c r="M62" s="33"/>
    </row>
    <row r="63" spans="1:13" x14ac:dyDescent="0.35">
      <c r="A63" s="34" t="s">
        <v>63</v>
      </c>
      <c r="B63" s="33"/>
      <c r="C63" s="33"/>
      <c r="D63" s="33"/>
      <c r="E63" s="40"/>
      <c r="F63" s="40"/>
      <c r="G63" s="40"/>
      <c r="H63" s="40"/>
      <c r="I63" s="40"/>
      <c r="J63" s="40"/>
      <c r="K63" s="33"/>
      <c r="L63" s="33"/>
      <c r="M63" s="33"/>
    </row>
    <row r="64" spans="1:13" x14ac:dyDescent="0.35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</row>
    <row r="65" spans="1:13" x14ac:dyDescent="0.35">
      <c r="A65" s="39" t="s">
        <v>82</v>
      </c>
      <c r="B65" s="39"/>
      <c r="C65" s="39"/>
      <c r="D65" s="39"/>
      <c r="E65" s="39"/>
      <c r="F65" s="39"/>
      <c r="G65" s="39"/>
      <c r="H65" s="37"/>
      <c r="I65" s="37"/>
      <c r="J65" s="37"/>
      <c r="K65" s="37"/>
      <c r="L65" s="36"/>
      <c r="M65" s="36"/>
    </row>
    <row r="66" spans="1:13" x14ac:dyDescent="0.35">
      <c r="A66" s="36"/>
      <c r="B66" s="36"/>
      <c r="C66" s="36"/>
      <c r="D66" s="36"/>
      <c r="E66" s="36"/>
      <c r="F66" s="36"/>
      <c r="G66" s="36"/>
      <c r="H66" s="36"/>
      <c r="I66" s="36"/>
      <c r="J66" s="36"/>
      <c r="L66" s="36"/>
      <c r="M66" s="36"/>
    </row>
    <row r="67" spans="1:13" x14ac:dyDescent="0.35">
      <c r="A67" s="38" t="s">
        <v>81</v>
      </c>
      <c r="B67" s="37"/>
      <c r="C67" s="37"/>
      <c r="D67" s="37"/>
      <c r="E67" s="37"/>
      <c r="F67" s="36"/>
      <c r="G67" s="36"/>
      <c r="H67" s="36"/>
      <c r="I67" s="36"/>
      <c r="J67" s="36"/>
      <c r="K67" s="36"/>
      <c r="L67" s="36"/>
      <c r="M67" s="36"/>
    </row>
    <row r="68" spans="1:13" x14ac:dyDescent="0.35">
      <c r="A68" s="34"/>
      <c r="B68" s="34">
        <v>1</v>
      </c>
      <c r="C68" s="34" t="s">
        <v>80</v>
      </c>
      <c r="D68" s="34" t="s">
        <v>79</v>
      </c>
      <c r="E68" s="34" t="s">
        <v>78</v>
      </c>
      <c r="F68" s="34" t="s">
        <v>77</v>
      </c>
      <c r="G68" s="34" t="s">
        <v>76</v>
      </c>
      <c r="H68" s="34" t="s">
        <v>75</v>
      </c>
      <c r="I68" s="34" t="s">
        <v>74</v>
      </c>
      <c r="J68" s="34" t="s">
        <v>73</v>
      </c>
      <c r="K68" s="34" t="s">
        <v>72</v>
      </c>
      <c r="L68" s="34" t="s">
        <v>71</v>
      </c>
      <c r="M68" s="34">
        <v>12</v>
      </c>
    </row>
    <row r="69" spans="1:13" x14ac:dyDescent="0.35">
      <c r="A69" s="34" t="s">
        <v>70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</row>
    <row r="70" spans="1:13" x14ac:dyDescent="0.35">
      <c r="A70" s="34" t="s">
        <v>69</v>
      </c>
      <c r="B70" s="33"/>
      <c r="C70" s="35">
        <v>20</v>
      </c>
      <c r="D70" s="35">
        <v>20</v>
      </c>
      <c r="E70" s="35">
        <v>20</v>
      </c>
      <c r="F70" s="35">
        <v>20</v>
      </c>
      <c r="G70" s="35">
        <v>20</v>
      </c>
      <c r="H70" s="35">
        <v>20</v>
      </c>
      <c r="I70" s="35">
        <v>20</v>
      </c>
      <c r="J70" s="35">
        <v>20</v>
      </c>
      <c r="K70" s="35">
        <v>20</v>
      </c>
      <c r="L70" s="35">
        <v>20</v>
      </c>
      <c r="M70" s="33"/>
    </row>
    <row r="71" spans="1:13" x14ac:dyDescent="0.35">
      <c r="A71" s="34" t="s">
        <v>68</v>
      </c>
      <c r="B71" s="33"/>
      <c r="C71" s="35">
        <v>20</v>
      </c>
      <c r="D71" s="35">
        <v>20</v>
      </c>
      <c r="E71" s="35">
        <v>20</v>
      </c>
      <c r="F71" s="35">
        <v>20</v>
      </c>
      <c r="G71" s="35">
        <v>20</v>
      </c>
      <c r="H71" s="35">
        <v>20</v>
      </c>
      <c r="I71" s="35">
        <v>20</v>
      </c>
      <c r="J71" s="35">
        <v>20</v>
      </c>
      <c r="K71" s="35">
        <v>20</v>
      </c>
      <c r="L71" s="35">
        <v>20</v>
      </c>
      <c r="M71" s="33"/>
    </row>
    <row r="72" spans="1:13" x14ac:dyDescent="0.35">
      <c r="A72" s="34" t="s">
        <v>67</v>
      </c>
      <c r="B72" s="33"/>
      <c r="C72" s="35">
        <v>20</v>
      </c>
      <c r="D72" s="35">
        <v>20</v>
      </c>
      <c r="E72" s="35">
        <v>20</v>
      </c>
      <c r="F72" s="35">
        <v>20</v>
      </c>
      <c r="G72" s="35">
        <v>20</v>
      </c>
      <c r="H72" s="35">
        <v>20</v>
      </c>
      <c r="I72" s="35">
        <v>20</v>
      </c>
      <c r="J72" s="35">
        <v>20</v>
      </c>
      <c r="K72" s="35">
        <v>20</v>
      </c>
      <c r="L72" s="35">
        <v>20</v>
      </c>
      <c r="M72" s="33"/>
    </row>
    <row r="73" spans="1:13" x14ac:dyDescent="0.35">
      <c r="A73" s="34" t="s">
        <v>66</v>
      </c>
      <c r="B73" s="33"/>
      <c r="C73" s="35">
        <v>20</v>
      </c>
      <c r="D73" s="35">
        <v>20</v>
      </c>
      <c r="E73" s="35">
        <v>20</v>
      </c>
      <c r="F73" s="35">
        <v>20</v>
      </c>
      <c r="G73" s="35">
        <v>20</v>
      </c>
      <c r="H73" s="35">
        <v>20</v>
      </c>
      <c r="I73" s="35">
        <v>20</v>
      </c>
      <c r="J73" s="35">
        <v>20</v>
      </c>
      <c r="K73" s="35">
        <v>20</v>
      </c>
      <c r="L73" s="35">
        <v>20</v>
      </c>
      <c r="M73" s="33"/>
    </row>
    <row r="74" spans="1:13" x14ac:dyDescent="0.35">
      <c r="A74" s="34" t="s">
        <v>65</v>
      </c>
      <c r="B74" s="33"/>
      <c r="C74" s="35">
        <v>20</v>
      </c>
      <c r="D74" s="35">
        <v>20</v>
      </c>
      <c r="E74" s="35">
        <v>20</v>
      </c>
      <c r="F74" s="35">
        <v>20</v>
      </c>
      <c r="G74" s="35">
        <v>20</v>
      </c>
      <c r="H74" s="35">
        <v>20</v>
      </c>
      <c r="I74" s="35">
        <v>20</v>
      </c>
      <c r="J74" s="35">
        <v>20</v>
      </c>
      <c r="K74" s="35">
        <v>20</v>
      </c>
      <c r="L74" s="35">
        <v>20</v>
      </c>
      <c r="M74" s="33"/>
    </row>
    <row r="75" spans="1:13" x14ac:dyDescent="0.35">
      <c r="A75" s="34" t="s">
        <v>64</v>
      </c>
      <c r="B75" s="33"/>
      <c r="C75" s="35">
        <v>20</v>
      </c>
      <c r="D75" s="35">
        <v>20</v>
      </c>
      <c r="E75" s="35">
        <v>20</v>
      </c>
      <c r="F75" s="35">
        <v>20</v>
      </c>
      <c r="G75" s="35">
        <v>20</v>
      </c>
      <c r="H75" s="35">
        <v>20</v>
      </c>
      <c r="I75" s="35">
        <v>20</v>
      </c>
      <c r="J75" s="35">
        <v>20</v>
      </c>
      <c r="K75" s="35">
        <v>20</v>
      </c>
      <c r="L75" s="35">
        <v>20</v>
      </c>
      <c r="M75" s="33"/>
    </row>
    <row r="76" spans="1:13" x14ac:dyDescent="0.35">
      <c r="A76" s="34" t="s">
        <v>63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</row>
    <row r="81" ht="14.5" customHeight="1" x14ac:dyDescent="0.35"/>
    <row r="82" ht="24" customHeight="1" x14ac:dyDescent="0.35"/>
    <row r="83" ht="24" customHeight="1" x14ac:dyDescent="0.35"/>
    <row r="84" ht="24" customHeight="1" x14ac:dyDescent="0.35"/>
    <row r="85" ht="24" customHeight="1" x14ac:dyDescent="0.35"/>
    <row r="86" ht="24" customHeight="1" x14ac:dyDescent="0.35"/>
    <row r="87" ht="24" customHeight="1" x14ac:dyDescent="0.35"/>
    <row r="88" ht="24" customHeight="1" x14ac:dyDescent="0.35"/>
    <row r="89" ht="24" customHeight="1" x14ac:dyDescent="0.35"/>
    <row r="90" ht="24" customHeight="1" x14ac:dyDescent="0.35"/>
    <row r="91" ht="7" customHeight="1" x14ac:dyDescent="0.35"/>
    <row r="92" ht="10" customHeight="1" x14ac:dyDescent="0.35"/>
    <row r="93" ht="24" customHeight="1" x14ac:dyDescent="0.35"/>
    <row r="94" ht="24" customHeight="1" x14ac:dyDescent="0.35"/>
    <row r="95" ht="24" customHeight="1" x14ac:dyDescent="0.35"/>
    <row r="96" ht="24" customHeight="1" x14ac:dyDescent="0.35"/>
    <row r="97" ht="24" customHeight="1" x14ac:dyDescent="0.35"/>
    <row r="98" ht="24" customHeight="1" x14ac:dyDescent="0.35"/>
    <row r="99" ht="24" customHeight="1" x14ac:dyDescent="0.35"/>
    <row r="100" ht="24" customHeight="1" x14ac:dyDescent="0.35"/>
    <row r="101" ht="24" customHeight="1" x14ac:dyDescent="0.35"/>
    <row r="102" ht="10" customHeight="1" x14ac:dyDescent="0.35"/>
    <row r="103" ht="24" customHeight="1" x14ac:dyDescent="0.35"/>
    <row r="104" ht="24" customHeight="1" x14ac:dyDescent="0.35"/>
    <row r="105" ht="24" customHeight="1" x14ac:dyDescent="0.35"/>
    <row r="106" ht="24" customHeight="1" x14ac:dyDescent="0.35"/>
    <row r="107" ht="24" customHeight="1" x14ac:dyDescent="0.35"/>
    <row r="108" ht="24" customHeight="1" x14ac:dyDescent="0.35"/>
    <row r="109" ht="24" customHeight="1" x14ac:dyDescent="0.35"/>
    <row r="110" ht="24" customHeight="1" x14ac:dyDescent="0.35"/>
    <row r="111" ht="24" customHeight="1" x14ac:dyDescent="0.35"/>
    <row r="112" ht="7" customHeight="1" x14ac:dyDescent="0.35"/>
    <row r="113" ht="10" customHeight="1" x14ac:dyDescent="0.35"/>
    <row r="114" ht="24" customHeight="1" x14ac:dyDescent="0.35"/>
    <row r="115" ht="24" customHeight="1" x14ac:dyDescent="0.35"/>
    <row r="116" ht="24" customHeight="1" x14ac:dyDescent="0.35"/>
    <row r="117" ht="24" customHeight="1" x14ac:dyDescent="0.35"/>
    <row r="118" ht="24" customHeight="1" x14ac:dyDescent="0.35"/>
    <row r="119" ht="24" customHeight="1" x14ac:dyDescent="0.35"/>
    <row r="120" ht="24" customHeight="1" x14ac:dyDescent="0.35"/>
    <row r="121" ht="24" customHeight="1" x14ac:dyDescent="0.35"/>
    <row r="122" ht="24" customHeight="1" x14ac:dyDescent="0.35"/>
    <row r="123" ht="10" customHeight="1" x14ac:dyDescent="0.35"/>
    <row r="124" ht="24" customHeight="1" x14ac:dyDescent="0.35"/>
    <row r="125" ht="24" customHeight="1" x14ac:dyDescent="0.35"/>
    <row r="126" ht="24" customHeight="1" x14ac:dyDescent="0.35"/>
    <row r="127" ht="24" customHeight="1" x14ac:dyDescent="0.35"/>
    <row r="128" ht="24" customHeight="1" x14ac:dyDescent="0.35"/>
    <row r="129" ht="24" customHeight="1" x14ac:dyDescent="0.35"/>
    <row r="130" ht="24" customHeight="1" x14ac:dyDescent="0.35"/>
    <row r="131" ht="24" customHeight="1" x14ac:dyDescent="0.35"/>
    <row r="132" ht="24" customHeight="1" x14ac:dyDescent="0.35"/>
    <row r="133" ht="7" customHeight="1" x14ac:dyDescent="0.35"/>
    <row r="134" ht="10" customHeight="1" x14ac:dyDescent="0.35"/>
    <row r="135" ht="24" customHeight="1" x14ac:dyDescent="0.35"/>
    <row r="136" ht="24" customHeight="1" x14ac:dyDescent="0.35"/>
    <row r="137" ht="24" customHeight="1" x14ac:dyDescent="0.35"/>
    <row r="138" ht="24" customHeight="1" x14ac:dyDescent="0.35"/>
    <row r="139" ht="24" customHeight="1" x14ac:dyDescent="0.35"/>
    <row r="140" ht="24" customHeight="1" x14ac:dyDescent="0.35"/>
    <row r="141" ht="24" customHeight="1" x14ac:dyDescent="0.35"/>
    <row r="142" ht="24" customHeight="1" x14ac:dyDescent="0.35"/>
    <row r="143" ht="24" customHeight="1" x14ac:dyDescent="0.35"/>
  </sheetData>
  <mergeCells count="11">
    <mergeCell ref="A54:E54"/>
    <mergeCell ref="A3:M3"/>
    <mergeCell ref="A5:E5"/>
    <mergeCell ref="A6:E6"/>
    <mergeCell ref="A17:E17"/>
    <mergeCell ref="A28:E28"/>
    <mergeCell ref="A39:E39"/>
    <mergeCell ref="A40:E40"/>
    <mergeCell ref="A41:E41"/>
    <mergeCell ref="A42:E42"/>
    <mergeCell ref="A43:E43"/>
  </mergeCells>
  <pageMargins left="0.70000000000000007" right="0.70000000000000007" top="0.75" bottom="0.75" header="0.30000000000000004" footer="0.30000000000000004"/>
  <pageSetup paperSize="0" fitToWidth="0" fitToHeight="0" orientation="landscape" horizontalDpi="0" verticalDpi="0" copies="0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D5BFE-831D-43E3-9A85-947A75F5008E}">
  <dimension ref="A1:M28"/>
  <sheetViews>
    <sheetView zoomScale="91" workbookViewId="0">
      <selection activeCell="I30" sqref="I30"/>
    </sheetView>
  </sheetViews>
  <sheetFormatPr defaultRowHeight="14.5" x14ac:dyDescent="0.35"/>
  <cols>
    <col min="1" max="1" width="8.7265625" style="1" customWidth="1"/>
    <col min="2" max="16384" width="8.7265625" style="1"/>
  </cols>
  <sheetData>
    <row r="1" spans="1:13" x14ac:dyDescent="0.35">
      <c r="A1" s="9" t="s">
        <v>119</v>
      </c>
    </row>
    <row r="3" spans="1:13" x14ac:dyDescent="0.35">
      <c r="A3" s="9" t="s">
        <v>118</v>
      </c>
    </row>
    <row r="4" spans="1:13" x14ac:dyDescent="0.35">
      <c r="A4" s="65"/>
      <c r="B4" s="65">
        <v>1</v>
      </c>
      <c r="C4" s="65">
        <v>2</v>
      </c>
      <c r="D4" s="65">
        <v>3</v>
      </c>
      <c r="E4" s="65">
        <v>4</v>
      </c>
      <c r="F4" s="65">
        <v>5</v>
      </c>
      <c r="G4" s="65">
        <v>6</v>
      </c>
      <c r="H4" s="65">
        <v>7</v>
      </c>
      <c r="I4" s="65">
        <v>8</v>
      </c>
      <c r="J4" s="65">
        <v>9</v>
      </c>
      <c r="K4" s="65">
        <v>10</v>
      </c>
      <c r="L4" s="66">
        <v>11</v>
      </c>
      <c r="M4" s="66">
        <v>12</v>
      </c>
    </row>
    <row r="5" spans="1:13" ht="15.5" x14ac:dyDescent="0.35">
      <c r="A5" s="65" t="s">
        <v>70</v>
      </c>
      <c r="B5" s="92">
        <v>3.1352966228944941</v>
      </c>
      <c r="C5" s="92">
        <v>1.8336875457552428</v>
      </c>
      <c r="D5" s="92">
        <v>6.6475233692176801</v>
      </c>
      <c r="E5" s="92">
        <v>2.6009689917284433</v>
      </c>
      <c r="F5" s="92">
        <v>26.608244298112858</v>
      </c>
      <c r="G5" s="92">
        <v>6.4324890786264639</v>
      </c>
      <c r="H5" s="92">
        <v>2.3810475581692456</v>
      </c>
      <c r="I5" s="92">
        <v>11.516746812983914</v>
      </c>
      <c r="J5" s="92">
        <v>3.974256165731433</v>
      </c>
      <c r="K5" s="91">
        <v>4.585149036729204</v>
      </c>
      <c r="L5" s="72">
        <v>-1.7192653919677947</v>
      </c>
      <c r="M5" s="72">
        <v>-1.7208944396237889</v>
      </c>
    </row>
    <row r="6" spans="1:13" ht="15.5" x14ac:dyDescent="0.35">
      <c r="A6" s="65" t="s">
        <v>69</v>
      </c>
      <c r="B6" s="90">
        <v>25.814898089643748</v>
      </c>
      <c r="C6" s="90">
        <v>38.133756464270803</v>
      </c>
      <c r="D6" s="90">
        <v>50.721407702136879</v>
      </c>
      <c r="E6" s="90">
        <v>69.385406696860798</v>
      </c>
      <c r="F6" s="90">
        <v>95.650542054452956</v>
      </c>
      <c r="G6" s="90">
        <v>35.978526415390675</v>
      </c>
      <c r="H6" s="90">
        <v>40.319938418614825</v>
      </c>
      <c r="I6" s="90">
        <v>41.263157011435389</v>
      </c>
      <c r="J6" s="90">
        <v>28.414858148610264</v>
      </c>
      <c r="K6" s="89">
        <v>38.804924098540354</v>
      </c>
      <c r="L6" s="69">
        <v>-1.7241525349357769</v>
      </c>
      <c r="M6" s="69">
        <v>-1.7208944396237886</v>
      </c>
    </row>
    <row r="7" spans="1:13" ht="15.5" x14ac:dyDescent="0.35">
      <c r="A7" s="65" t="s">
        <v>68</v>
      </c>
      <c r="B7" s="88">
        <v>0.72175753855841851</v>
      </c>
      <c r="C7" s="88">
        <v>-0.17719097378420057</v>
      </c>
      <c r="D7" s="88">
        <v>-0.17816097487655841</v>
      </c>
      <c r="E7" s="88">
        <v>-0.19731849645062557</v>
      </c>
      <c r="F7" s="88">
        <v>3.1045652219354283</v>
      </c>
      <c r="G7" s="88">
        <v>0.27822453907780065</v>
      </c>
      <c r="H7" s="88">
        <v>2.3933119209640492</v>
      </c>
      <c r="I7" s="88">
        <v>1.3920282933776791</v>
      </c>
      <c r="J7" s="88">
        <v>0.65919246810133847</v>
      </c>
      <c r="K7" s="88">
        <v>0.60972241239108915</v>
      </c>
      <c r="L7" s="69">
        <v>-1.7241525349357769</v>
      </c>
      <c r="M7" s="69">
        <v>-1.7257815825917708</v>
      </c>
    </row>
    <row r="8" spans="1:13" ht="15.5" x14ac:dyDescent="0.35">
      <c r="A8" s="65" t="s">
        <v>67</v>
      </c>
      <c r="B8" s="86">
        <v>23.667813279043585</v>
      </c>
      <c r="C8" s="86">
        <v>6.1490347864834991</v>
      </c>
      <c r="D8" s="86">
        <v>21.963829430873801</v>
      </c>
      <c r="E8" s="86">
        <v>23.464182322044326</v>
      </c>
      <c r="F8" s="86">
        <v>24.446498058608743</v>
      </c>
      <c r="G8" s="87">
        <v>3.1959878248901537</v>
      </c>
      <c r="H8" s="86">
        <v>1.1169065771178579</v>
      </c>
      <c r="I8" s="86">
        <v>13.108326372890108</v>
      </c>
      <c r="J8" s="86">
        <v>7.2437548113115042</v>
      </c>
      <c r="K8" s="85">
        <v>6.0936471661797</v>
      </c>
      <c r="L8" s="69">
        <v>-1.7225234872797828</v>
      </c>
      <c r="M8" s="69">
        <v>-1.7176363443118006</v>
      </c>
    </row>
    <row r="9" spans="1:13" ht="15.5" x14ac:dyDescent="0.35">
      <c r="A9" s="65" t="s">
        <v>66</v>
      </c>
      <c r="B9" s="84">
        <v>3.4985742501811687</v>
      </c>
      <c r="C9" s="84">
        <v>3.018005191662922</v>
      </c>
      <c r="D9" s="84">
        <v>4.8669742812161765</v>
      </c>
      <c r="E9" s="84">
        <v>4.0410471196271889</v>
      </c>
      <c r="F9" s="84">
        <v>14.067835442270606</v>
      </c>
      <c r="G9" s="84">
        <v>5.8248543029406816</v>
      </c>
      <c r="H9" s="84">
        <v>26.217272860674282</v>
      </c>
      <c r="I9" s="84">
        <v>27.238685740982554</v>
      </c>
      <c r="J9" s="84">
        <v>3.4073475814455012</v>
      </c>
      <c r="K9" s="83">
        <v>5.1373961921111899</v>
      </c>
      <c r="L9" s="69">
        <v>-1.6817972958799312</v>
      </c>
      <c r="M9" s="69">
        <v>-1.7208944396237886</v>
      </c>
    </row>
    <row r="10" spans="1:13" ht="15.5" x14ac:dyDescent="0.35">
      <c r="A10" s="65" t="s">
        <v>65</v>
      </c>
      <c r="B10" s="82">
        <v>40.736974618549311</v>
      </c>
      <c r="C10" s="82">
        <v>67.64395475260315</v>
      </c>
      <c r="D10" s="82">
        <v>39.676464594497176</v>
      </c>
      <c r="E10" s="82">
        <v>46.368592365320765</v>
      </c>
      <c r="F10" s="82">
        <v>54.398168261715469</v>
      </c>
      <c r="G10" s="82">
        <v>37.866592648687778</v>
      </c>
      <c r="H10" s="82">
        <v>33.764650650894751</v>
      </c>
      <c r="I10" s="82">
        <v>18.748089357941531</v>
      </c>
      <c r="J10" s="82">
        <v>143.5852693320781</v>
      </c>
      <c r="K10" s="81">
        <v>145.95227557623744</v>
      </c>
      <c r="L10" s="69">
        <v>-1.7176363443118006</v>
      </c>
      <c r="M10" s="69">
        <v>-1.7257815825917708</v>
      </c>
    </row>
    <row r="11" spans="1:13" ht="15.5" x14ac:dyDescent="0.35">
      <c r="A11" s="65" t="s">
        <v>64</v>
      </c>
      <c r="B11" s="80">
        <v>7.1867381433517128</v>
      </c>
      <c r="C11" s="80">
        <v>4.9337652351119328</v>
      </c>
      <c r="D11" s="79">
        <v>14.651034503116481</v>
      </c>
      <c r="E11" s="79">
        <v>14.831858792931822</v>
      </c>
      <c r="F11" s="78">
        <v>52.242938212835327</v>
      </c>
      <c r="G11" s="78">
        <v>43.37603182125968</v>
      </c>
      <c r="H11" s="69">
        <v>-0.88030584913085552</v>
      </c>
      <c r="I11" s="69">
        <v>-0.9177739452187188</v>
      </c>
      <c r="J11" s="77">
        <v>32.681333959658701</v>
      </c>
      <c r="K11" s="77">
        <v>36.907083579307283</v>
      </c>
      <c r="L11" s="76">
        <v>13.945656868071055</v>
      </c>
      <c r="M11" s="76">
        <v>9.770407725758286</v>
      </c>
    </row>
    <row r="12" spans="1:13" ht="15.5" x14ac:dyDescent="0.35">
      <c r="A12" s="65" t="s">
        <v>63</v>
      </c>
      <c r="B12" s="69">
        <v>-1.7192653919677947</v>
      </c>
      <c r="C12" s="69">
        <v>-1.7225234872797828</v>
      </c>
      <c r="D12" s="69">
        <v>-1.7208944396237886</v>
      </c>
      <c r="E12" s="69">
        <v>-1.7208944396237886</v>
      </c>
      <c r="F12" s="69">
        <v>-1.7208944396237889</v>
      </c>
      <c r="G12" s="69">
        <v>-1.7078620583758362</v>
      </c>
      <c r="H12" s="69">
        <v>-1.6997168200958659</v>
      </c>
      <c r="I12" s="69">
        <v>-1.7176363443118006</v>
      </c>
      <c r="J12" s="75">
        <v>-1.7225234872797828</v>
      </c>
      <c r="K12" s="75">
        <v>-1.7225234872797828</v>
      </c>
      <c r="L12" s="69">
        <v>-1.7208944396237886</v>
      </c>
      <c r="M12" s="69">
        <v>-1.7241525349357769</v>
      </c>
    </row>
    <row r="13" spans="1:13" x14ac:dyDescent="0.35">
      <c r="A13" s="74" t="s">
        <v>117</v>
      </c>
    </row>
    <row r="15" spans="1:13" x14ac:dyDescent="0.35">
      <c r="A15" s="73" t="s">
        <v>116</v>
      </c>
    </row>
    <row r="16" spans="1:13" x14ac:dyDescent="0.35">
      <c r="A16" s="65"/>
      <c r="B16" s="65">
        <v>1</v>
      </c>
      <c r="C16" s="65">
        <v>2</v>
      </c>
      <c r="D16" s="65">
        <v>3</v>
      </c>
      <c r="E16" s="65">
        <v>4</v>
      </c>
      <c r="F16" s="65">
        <v>5</v>
      </c>
      <c r="G16" s="65">
        <v>6</v>
      </c>
      <c r="H16" s="65">
        <v>7</v>
      </c>
      <c r="I16" s="65">
        <v>8</v>
      </c>
      <c r="J16" s="65">
        <v>9</v>
      </c>
      <c r="K16" s="65">
        <v>10</v>
      </c>
      <c r="L16" s="66">
        <v>11</v>
      </c>
      <c r="M16" s="66">
        <v>12</v>
      </c>
    </row>
    <row r="17" spans="1:13" ht="15.5" x14ac:dyDescent="0.35">
      <c r="A17" s="65" t="s">
        <v>70</v>
      </c>
      <c r="B17" s="71">
        <f t="shared" ref="B17:K17" si="0">$D$27*$D$26/(B5-$D$27)</f>
        <v>-134.06958075448097</v>
      </c>
      <c r="C17" s="71">
        <f t="shared" si="0"/>
        <v>-78.956200189545456</v>
      </c>
      <c r="D17" s="71">
        <f t="shared" si="0"/>
        <v>151.74291586450244</v>
      </c>
      <c r="E17" s="71">
        <f t="shared" si="0"/>
        <v>-104.20874058652494</v>
      </c>
      <c r="F17" s="69">
        <f t="shared" si="0"/>
        <v>11.569658161530208</v>
      </c>
      <c r="G17" s="71">
        <f t="shared" si="0"/>
        <v>174.52140035839676</v>
      </c>
      <c r="H17" s="71">
        <f t="shared" si="0"/>
        <v>-95.458014436199463</v>
      </c>
      <c r="I17" s="71">
        <f t="shared" si="0"/>
        <v>38.362699545408454</v>
      </c>
      <c r="J17" s="71">
        <f t="shared" si="0"/>
        <v>-243.72556933600185</v>
      </c>
      <c r="K17" s="71">
        <f t="shared" si="0"/>
        <v>-602.62605642501865</v>
      </c>
      <c r="L17" s="72"/>
      <c r="M17" s="72"/>
    </row>
    <row r="18" spans="1:13" ht="15.5" x14ac:dyDescent="0.35">
      <c r="A18" s="65" t="s">
        <v>69</v>
      </c>
      <c r="B18" s="69">
        <f t="shared" ref="B18:K18" si="1">$D$27*$D$26/(B6-$D$27)</f>
        <v>12.010628105087148</v>
      </c>
      <c r="C18" s="69">
        <f t="shared" si="1"/>
        <v>7.5451752737297699</v>
      </c>
      <c r="D18" s="69">
        <f t="shared" si="1"/>
        <v>5.4678981370977287</v>
      </c>
      <c r="E18" s="69">
        <f t="shared" si="1"/>
        <v>3.8828674512696542</v>
      </c>
      <c r="F18" s="69">
        <f t="shared" si="1"/>
        <v>2.7578434098036313</v>
      </c>
      <c r="G18" s="69">
        <f t="shared" si="1"/>
        <v>8.0701062616004755</v>
      </c>
      <c r="H18" s="69">
        <f t="shared" si="1"/>
        <v>7.0781550363134658</v>
      </c>
      <c r="I18" s="69">
        <f t="shared" si="1"/>
        <v>6.8940495148054497</v>
      </c>
      <c r="J18" s="69">
        <f t="shared" si="1"/>
        <v>10.676981189178726</v>
      </c>
      <c r="K18" s="69">
        <f t="shared" si="1"/>
        <v>7.3953723212410534</v>
      </c>
      <c r="L18" s="69"/>
      <c r="M18" s="69"/>
    </row>
    <row r="19" spans="1:13" ht="15.5" x14ac:dyDescent="0.35">
      <c r="A19" s="65" t="s">
        <v>68</v>
      </c>
      <c r="B19" s="71">
        <f t="shared" ref="B19:K19" si="2">$D$27*$D$26/(B7-$D$27)</f>
        <v>-58.43521077946594</v>
      </c>
      <c r="C19" s="71">
        <f t="shared" si="2"/>
        <v>-48.288734424889441</v>
      </c>
      <c r="D19" s="71">
        <f t="shared" si="2"/>
        <v>-48.279688718244167</v>
      </c>
      <c r="E19" s="71">
        <f t="shared" si="2"/>
        <v>-48.101727875774984</v>
      </c>
      <c r="F19" s="71">
        <f t="shared" si="2"/>
        <v>-131.89585993313628</v>
      </c>
      <c r="G19" s="71">
        <f t="shared" si="2"/>
        <v>-52.946185617893207</v>
      </c>
      <c r="H19" s="71">
        <f t="shared" si="2"/>
        <v>-95.907140563001008</v>
      </c>
      <c r="I19" s="71">
        <f t="shared" si="2"/>
        <v>-69.291009001299187</v>
      </c>
      <c r="J19" s="71">
        <f t="shared" si="2"/>
        <v>-57.592970469863339</v>
      </c>
      <c r="K19" s="71">
        <f t="shared" si="2"/>
        <v>-56.94400752827071</v>
      </c>
      <c r="L19" s="69"/>
      <c r="M19" s="69"/>
    </row>
    <row r="20" spans="1:13" ht="15.5" x14ac:dyDescent="0.35">
      <c r="A20" s="65" t="s">
        <v>67</v>
      </c>
      <c r="B20" s="69">
        <f t="shared" ref="B20:K20" si="3">$D$27*$D$26/(B8-$D$27)</f>
        <v>13.392034528256668</v>
      </c>
      <c r="C20" s="71">
        <f t="shared" si="3"/>
        <v>217.57391764012547</v>
      </c>
      <c r="D20" s="69">
        <f t="shared" si="3"/>
        <v>14.737238488439729</v>
      </c>
      <c r="E20" s="69">
        <f t="shared" si="3"/>
        <v>13.539727654309708</v>
      </c>
      <c r="F20" s="69">
        <f t="shared" si="3"/>
        <v>12.855785100563535</v>
      </c>
      <c r="G20" s="71">
        <f t="shared" si="3"/>
        <v>-138.5799959940833</v>
      </c>
      <c r="H20" s="71">
        <f t="shared" si="3"/>
        <v>-64.381659871176339</v>
      </c>
      <c r="I20" s="71">
        <f t="shared" si="3"/>
        <v>30.832503343213446</v>
      </c>
      <c r="J20" s="71">
        <f t="shared" si="3"/>
        <v>111.4203738927569</v>
      </c>
      <c r="K20" s="71">
        <f t="shared" si="3"/>
        <v>228.59292076190673</v>
      </c>
      <c r="L20" s="69"/>
      <c r="M20" s="69"/>
    </row>
    <row r="21" spans="1:13" ht="15.5" x14ac:dyDescent="0.35">
      <c r="A21" s="65" t="s">
        <v>66</v>
      </c>
      <c r="B21" s="71">
        <f t="shared" ref="B21:K21" si="4">$D$27*$D$26/(B9-$D$27)</f>
        <v>-166.50840045214764</v>
      </c>
      <c r="C21" s="71">
        <f t="shared" si="4"/>
        <v>-126.13554735279735</v>
      </c>
      <c r="D21" s="71">
        <f t="shared" si="4"/>
        <v>-1879.3358328419799</v>
      </c>
      <c r="E21" s="71">
        <f t="shared" si="4"/>
        <v>-260.70102620976303</v>
      </c>
      <c r="F21" s="69">
        <f t="shared" si="4"/>
        <v>27.569975391767745</v>
      </c>
      <c r="G21" s="71">
        <f t="shared" si="4"/>
        <v>303.08382839093758</v>
      </c>
      <c r="H21" s="69">
        <f t="shared" si="4"/>
        <v>11.782852661680623</v>
      </c>
      <c r="I21" s="69">
        <f t="shared" si="4"/>
        <v>11.241671513856037</v>
      </c>
      <c r="J21" s="71">
        <f t="shared" si="4"/>
        <v>-156.97084755435938</v>
      </c>
      <c r="K21" s="71">
        <f t="shared" si="4"/>
        <v>1819.5555215801305</v>
      </c>
      <c r="L21" s="69"/>
      <c r="M21" s="69"/>
    </row>
    <row r="22" spans="1:13" ht="15.5" x14ac:dyDescent="0.35">
      <c r="A22" s="65" t="s">
        <v>65</v>
      </c>
      <c r="B22" s="69">
        <f t="shared" ref="B22:K22" si="5">$D$27*$D$26/(B10-$D$27)</f>
        <v>6.9955557981183238</v>
      </c>
      <c r="C22" s="69">
        <f t="shared" si="5"/>
        <v>3.9908080673915518</v>
      </c>
      <c r="D22" s="69">
        <f t="shared" si="5"/>
        <v>7.2095008220553316</v>
      </c>
      <c r="E22" s="69">
        <f t="shared" si="5"/>
        <v>6.0432319715469616</v>
      </c>
      <c r="F22" s="69">
        <f t="shared" si="5"/>
        <v>5.0609164023143505</v>
      </c>
      <c r="G22" s="69">
        <f t="shared" si="5"/>
        <v>7.6065080025866756</v>
      </c>
      <c r="H22" s="69">
        <f t="shared" si="5"/>
        <v>8.6912232320896798</v>
      </c>
      <c r="I22" s="69">
        <f t="shared" si="5"/>
        <v>18.18434500177208</v>
      </c>
      <c r="J22" s="69">
        <f t="shared" si="5"/>
        <v>1.8039435302532036</v>
      </c>
      <c r="K22" s="69">
        <f t="shared" si="5"/>
        <v>1.7736499746311756</v>
      </c>
      <c r="L22" s="69"/>
      <c r="M22" s="69"/>
    </row>
    <row r="23" spans="1:13" ht="15.5" x14ac:dyDescent="0.35">
      <c r="A23" s="65" t="s">
        <v>64</v>
      </c>
      <c r="B23" s="71">
        <f t="shared" ref="B23:K23" si="6">$D$27*$D$26/(B11-$D$27)</f>
        <v>114.32553127591841</v>
      </c>
      <c r="C23" s="71">
        <f t="shared" si="6"/>
        <v>-3774.4528937708915</v>
      </c>
      <c r="D23" s="71">
        <f t="shared" si="6"/>
        <v>25.903958784860919</v>
      </c>
      <c r="E23" s="71">
        <f t="shared" si="6"/>
        <v>25.427541756369241</v>
      </c>
      <c r="F23" s="69">
        <f t="shared" si="6"/>
        <v>5.2917961807057559</v>
      </c>
      <c r="G23" s="69">
        <f t="shared" si="6"/>
        <v>6.51448282001643</v>
      </c>
      <c r="H23" s="71">
        <f t="shared" si="6"/>
        <v>-42.514795388908475</v>
      </c>
      <c r="I23" s="71">
        <f t="shared" si="6"/>
        <v>-42.245615042796317</v>
      </c>
      <c r="J23" s="69">
        <f t="shared" si="6"/>
        <v>9.0313566667103782</v>
      </c>
      <c r="K23" s="69">
        <f t="shared" si="6"/>
        <v>7.8352507329166441</v>
      </c>
      <c r="L23" s="71">
        <f>$D$27*$D$26/(L11-$D$27)</f>
        <v>27.946522394828598</v>
      </c>
      <c r="M23" s="71">
        <f>$D$27*$D$26/(M11-$D$27)</f>
        <v>52.406421918633995</v>
      </c>
    </row>
    <row r="24" spans="1:13" ht="15.5" x14ac:dyDescent="0.35">
      <c r="A24" s="65" t="s">
        <v>63</v>
      </c>
      <c r="B24" s="69"/>
      <c r="C24" s="69"/>
      <c r="D24" s="69"/>
      <c r="E24" s="69"/>
      <c r="F24" s="69"/>
      <c r="G24" s="69"/>
      <c r="H24" s="69"/>
      <c r="I24" s="69"/>
      <c r="J24" s="70"/>
      <c r="K24" s="70"/>
      <c r="L24" s="69"/>
      <c r="M24" s="69"/>
    </row>
    <row r="25" spans="1:13" x14ac:dyDescent="0.35">
      <c r="I25" s="107" t="s">
        <v>115</v>
      </c>
      <c r="J25" s="107"/>
      <c r="K25" s="107"/>
      <c r="L25" s="107"/>
    </row>
    <row r="26" spans="1:13" x14ac:dyDescent="0.35">
      <c r="A26" s="68" t="s">
        <v>114</v>
      </c>
      <c r="B26" s="67"/>
      <c r="D26" s="1">
        <v>50</v>
      </c>
    </row>
    <row r="27" spans="1:13" x14ac:dyDescent="0.35">
      <c r="A27" s="68" t="s">
        <v>113</v>
      </c>
      <c r="B27" s="67"/>
      <c r="D27" s="1">
        <v>5</v>
      </c>
    </row>
    <row r="28" spans="1:13" x14ac:dyDescent="0.35">
      <c r="A28" s="1" t="s">
        <v>112</v>
      </c>
    </row>
  </sheetData>
  <mergeCells count="1">
    <mergeCell ref="I25:L25"/>
  </mergeCells>
  <pageMargins left="0.70000000000000007" right="0.70000000000000007" top="0.75" bottom="0.75" header="0.30000000000000004" footer="0.30000000000000004"/>
  <pageSetup paperSize="0" fitToWidth="0" fitToHeight="0" orientation="landscape" horizontalDpi="0" verticalDpi="0" copies="0"/>
</worksheet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1</vt:lpstr>
      <vt:lpstr>2</vt:lpstr>
      <vt:lpstr>3</vt:lpstr>
      <vt:lpstr>4</vt:lpstr>
      <vt:lpstr>'3'!Print_Area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 Van Der Meer</dc:creator>
  <cp:lastModifiedBy>Mila Van Der Meer</cp:lastModifiedBy>
  <dcterms:created xsi:type="dcterms:W3CDTF">2025-12-06T16:51:55Z</dcterms:created>
  <dcterms:modified xsi:type="dcterms:W3CDTF">2025-12-09T18:25:42Z</dcterms:modified>
</cp:coreProperties>
</file>